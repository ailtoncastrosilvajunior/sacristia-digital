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encial" sheetId="1" r:id="rId5"/>
    <sheet state="visible" name="Dashboard" sheetId="2" r:id="rId6"/>
    <sheet state="visible" name="Entradas" sheetId="3" r:id="rId7"/>
    <sheet state="visible" name="Despesas" sheetId="4" r:id="rId8"/>
    <sheet state="visible" name="Sacerdotes" sheetId="5" r:id="rId9"/>
    <sheet state="visible" name="Limpeza" sheetId="6" r:id="rId10"/>
    <sheet state="visible" name="Tabelas Básicas" sheetId="7" r:id="rId11"/>
    <sheet state="visible" name="Tapete Corpus Christi" sheetId="8" r:id="rId12"/>
    <sheet state="visible" name="Plano de Contas" sheetId="9" r:id="rId13"/>
  </sheets>
  <definedNames>
    <definedName hidden="1" localSheetId="2" name="_xlnm._FilterDatabase">Entradas!$A$407:$X$443</definedName>
    <definedName hidden="1" localSheetId="4" name="_xlnm._FilterDatabase">Sacerdotes!$K$49:$Q$61</definedName>
  </definedNames>
  <calcPr/>
</workbook>
</file>

<file path=xl/sharedStrings.xml><?xml version="1.0" encoding="utf-8"?>
<sst xmlns="http://schemas.openxmlformats.org/spreadsheetml/2006/main" count="17552" uniqueCount="2111">
  <si>
    <t>conta</t>
  </si>
  <si>
    <t>Série Histórica Mensal</t>
  </si>
  <si>
    <t>Conta</t>
  </si>
  <si>
    <t>Descrição</t>
  </si>
  <si>
    <t>Selecionar Mês Referência</t>
  </si>
  <si>
    <t>x</t>
  </si>
  <si>
    <t>Data</t>
  </si>
  <si>
    <t>Qtde</t>
  </si>
  <si>
    <t>Vlr. Unit</t>
  </si>
  <si>
    <t>Valor</t>
  </si>
  <si>
    <t>Valor Doc</t>
  </si>
  <si>
    <t>Padres</t>
  </si>
  <si>
    <t>Fornecedor</t>
  </si>
  <si>
    <t>Observação</t>
  </si>
  <si>
    <t>Nota</t>
  </si>
  <si>
    <t>2026/10</t>
  </si>
  <si>
    <t>Recibo</t>
  </si>
  <si>
    <t>Tapete</t>
  </si>
  <si>
    <t>2026/09</t>
  </si>
  <si>
    <t>2026/08</t>
  </si>
  <si>
    <t>2026/07</t>
  </si>
  <si>
    <t>2026/06</t>
  </si>
  <si>
    <t>2026/05</t>
  </si>
  <si>
    <t>2026/04</t>
  </si>
  <si>
    <t>2026/03</t>
  </si>
  <si>
    <t>2026/02</t>
  </si>
  <si>
    <t>2026/01</t>
  </si>
  <si>
    <t>2025/12</t>
  </si>
  <si>
    <t>2025/11</t>
  </si>
  <si>
    <t>2025/10</t>
  </si>
  <si>
    <t>2025/09</t>
  </si>
  <si>
    <t>Novembro/2023</t>
  </si>
  <si>
    <t>2025/08</t>
  </si>
  <si>
    <t>2025/07</t>
  </si>
  <si>
    <t>2025/06</t>
  </si>
  <si>
    <t>2025/05</t>
  </si>
  <si>
    <t>2025/04</t>
  </si>
  <si>
    <t>2025/03</t>
  </si>
  <si>
    <t>2025/02</t>
  </si>
  <si>
    <t>2025/01</t>
  </si>
  <si>
    <t>2024/12</t>
  </si>
  <si>
    <t>2024/11</t>
  </si>
  <si>
    <t>2024/10</t>
  </si>
  <si>
    <t>2024/09</t>
  </si>
  <si>
    <t>2024/08</t>
  </si>
  <si>
    <t>2024/07</t>
  </si>
  <si>
    <t>2024/06</t>
  </si>
  <si>
    <t>2024/05</t>
  </si>
  <si>
    <t>2024/04</t>
  </si>
  <si>
    <t>2024/03</t>
  </si>
  <si>
    <t>2024/02</t>
  </si>
  <si>
    <t>2024/01</t>
  </si>
  <si>
    <t>2023/12</t>
  </si>
  <si>
    <t>2023/11</t>
  </si>
  <si>
    <t>Saldo Anterior</t>
  </si>
  <si>
    <t>Velas ( Altar, Santíssimo e diárias )</t>
  </si>
  <si>
    <t>Renna Luz</t>
  </si>
  <si>
    <t>Velas 15 x 7 - Coroa do Advento. Recibo 30/10</t>
  </si>
  <si>
    <t>Carvão Tablete</t>
  </si>
  <si>
    <t>Casa de Maria</t>
  </si>
  <si>
    <t>Carvão</t>
  </si>
  <si>
    <t>Espórtulas</t>
  </si>
  <si>
    <t>Padre Marcos</t>
  </si>
  <si>
    <t>Missa manhã</t>
  </si>
  <si>
    <t>Padre Josieldo</t>
  </si>
  <si>
    <t>Missa das Famílias</t>
  </si>
  <si>
    <t>Velas 15 x 7 Brancas</t>
  </si>
  <si>
    <t>Padre Raphael</t>
  </si>
  <si>
    <t>Missa noite</t>
  </si>
  <si>
    <t>Papel toalha</t>
  </si>
  <si>
    <t>Center Box</t>
  </si>
  <si>
    <t>Água Sanitária</t>
  </si>
  <si>
    <t>1</t>
  </si>
  <si>
    <t>RECEITAS</t>
  </si>
  <si>
    <t>Cheirinho ( anti-môfo)</t>
  </si>
  <si>
    <t>Partículas</t>
  </si>
  <si>
    <t>Mosteiro da Imaculada Conceição e São José</t>
  </si>
  <si>
    <t>hóstias pequenas. Pct com 1k</t>
  </si>
  <si>
    <t>Hóstias 10 cm. pct com 10 und</t>
  </si>
  <si>
    <t>Hóstias 14 cm. pct com 10 und</t>
  </si>
  <si>
    <t>Água</t>
  </si>
  <si>
    <t>Posto Caribe</t>
  </si>
  <si>
    <t>Garrafão 20 lts indaiá</t>
  </si>
  <si>
    <t>Missa 07/11 - manhã</t>
  </si>
  <si>
    <t>Alcóol</t>
  </si>
  <si>
    <t xml:space="preserve"> </t>
  </si>
  <si>
    <t>Frangolândia</t>
  </si>
  <si>
    <t>Devolução de Empréstimos</t>
  </si>
  <si>
    <t>Valor usado para pgto de espórtulas dos dias 3 e 5</t>
  </si>
  <si>
    <t>Missa sexta - 10/11 - manhã</t>
  </si>
  <si>
    <t>COLETAS</t>
  </si>
  <si>
    <t>INTENÇÕES</t>
  </si>
  <si>
    <t>Velas cast lisa (par)</t>
  </si>
  <si>
    <t>Lavanderia</t>
  </si>
  <si>
    <t>Lavanderia Lig-Lave</t>
  </si>
  <si>
    <t>EMPRÉSTIMOS</t>
  </si>
  <si>
    <t>Túnicas dos padres</t>
  </si>
  <si>
    <t>Outros</t>
  </si>
  <si>
    <t>Chaveiro</t>
  </si>
  <si>
    <t>Fechadura armário sacristia</t>
  </si>
  <si>
    <t>1.1</t>
  </si>
  <si>
    <t>Entradas</t>
  </si>
  <si>
    <t>Missa domingo 10/11 - manhã</t>
  </si>
  <si>
    <t>Dia</t>
  </si>
  <si>
    <t>Turno</t>
  </si>
  <si>
    <t>Padre Watson</t>
  </si>
  <si>
    <t>Missa domingo 10/11 - noite</t>
  </si>
  <si>
    <t>Celebrante</t>
  </si>
  <si>
    <t>Coletas</t>
  </si>
  <si>
    <t>Valor coleta</t>
  </si>
  <si>
    <t>Responsáveis</t>
  </si>
  <si>
    <t>Missa  terça-feira 14/11 manhã</t>
  </si>
  <si>
    <t>Produtos de limpeza</t>
  </si>
  <si>
    <t>Distrilimp ind. com...</t>
  </si>
  <si>
    <t>Limpeza do banheiro da sacristia</t>
  </si>
  <si>
    <t>Dia da semana</t>
  </si>
  <si>
    <t>Descartáveis (Copos, pratos)</t>
  </si>
  <si>
    <t>Centerbox</t>
  </si>
  <si>
    <t>Manhã</t>
  </si>
  <si>
    <t>Monsenhor Idelfonso</t>
  </si>
  <si>
    <t>Partos descartáveis</t>
  </si>
  <si>
    <t>Fraternidade | Aniversariantes</t>
  </si>
  <si>
    <t>Oscar e Milena</t>
  </si>
  <si>
    <t>Guardanapos</t>
  </si>
  <si>
    <t>Palitos de dente</t>
  </si>
  <si>
    <t>Quarta-feira</t>
  </si>
  <si>
    <t>Nilda pgto espórtulas dias 3 e 5</t>
  </si>
  <si>
    <t>Vela vulcão</t>
  </si>
  <si>
    <t>Multiuso Veja</t>
  </si>
  <si>
    <t>Wilson e Aucilene</t>
  </si>
  <si>
    <t>Lustra móveis</t>
  </si>
  <si>
    <t>Esponja</t>
  </si>
  <si>
    <t>Detergente líquido</t>
  </si>
  <si>
    <t>Desinfetante kalipto</t>
  </si>
  <si>
    <t>João Paulo e Neide</t>
  </si>
  <si>
    <t>Pedra sanitário</t>
  </si>
  <si>
    <t>Noite</t>
  </si>
  <si>
    <t>Vieira e Wandson</t>
  </si>
  <si>
    <t>Polidor silvo 2ooml</t>
  </si>
  <si>
    <t>Missa das famílias</t>
  </si>
  <si>
    <t>Missa sexta-feira 17/11 - manhã</t>
  </si>
  <si>
    <t>Wandson e Ailton</t>
  </si>
  <si>
    <t>Missa domingo 19/11 - manhã</t>
  </si>
  <si>
    <t>Padre Paulo Aniceto</t>
  </si>
  <si>
    <t>Missa domingo 19/11 - noite</t>
  </si>
  <si>
    <t>Padre Pafael Maciel</t>
  </si>
  <si>
    <t>Ana Lúcia e Alberto</t>
  </si>
  <si>
    <t>Clean&amp;Soft Lavanderia</t>
  </si>
  <si>
    <t>Ana Lúcia e Oscar</t>
  </si>
  <si>
    <t>Toalhas diversas</t>
  </si>
  <si>
    <t>Vieira e Clediana</t>
  </si>
  <si>
    <t>4 Casulas | 3-Estolas | 1-Batina | 1 manta altar | 1-toalha credença</t>
  </si>
  <si>
    <t>Livro Diretório</t>
  </si>
  <si>
    <t>Neide e Tânia</t>
  </si>
  <si>
    <t>Sávio e Albaniza</t>
  </si>
  <si>
    <t>Edições Paulinas</t>
  </si>
  <si>
    <t>Livro diretório</t>
  </si>
  <si>
    <t>Mosteiro Imaculada Conceição</t>
  </si>
  <si>
    <t>Partículas assembléia</t>
  </si>
  <si>
    <t>Material administrativo</t>
  </si>
  <si>
    <t>sexta-feira</t>
  </si>
  <si>
    <t>Padre Virgínio</t>
  </si>
  <si>
    <t>Milena, Ailton, Liliane, Eduardo, Adaila</t>
  </si>
  <si>
    <t>Missa da Crisma</t>
  </si>
  <si>
    <t>sábado</t>
  </si>
  <si>
    <t>Padre Santino Sacramento</t>
  </si>
  <si>
    <t>Oscar, Vieira, Albaniza</t>
  </si>
  <si>
    <t>Danart</t>
  </si>
  <si>
    <t>Missa da Catequese</t>
  </si>
  <si>
    <t>3 pastas colecioandora pequenas</t>
  </si>
  <si>
    <t xml:space="preserve">1 clipes cx com 100 </t>
  </si>
  <si>
    <t>Decoração Capela</t>
  </si>
  <si>
    <t>Kato Flores</t>
  </si>
  <si>
    <t>Rosas para capela missa Célia Nóbrega | Cristo Rei</t>
  </si>
  <si>
    <t>1.2</t>
  </si>
  <si>
    <t>Wilson Camelo e Eduardo</t>
  </si>
  <si>
    <t>Intenções</t>
  </si>
  <si>
    <t>Missa sexta-feira 24-11 manhã</t>
  </si>
  <si>
    <t>Padre  Watson</t>
  </si>
  <si>
    <t>Wandson e Lidia</t>
  </si>
  <si>
    <t>Missa domingo 26/11 - manhã</t>
  </si>
  <si>
    <t>Ana Lúcia e Alaide</t>
  </si>
  <si>
    <t>Missas/Confissões do mês de novembro</t>
  </si>
  <si>
    <t>Marcos</t>
  </si>
  <si>
    <t>Clediana e Tânia</t>
  </si>
  <si>
    <t>Normatel</t>
  </si>
  <si>
    <t>Tinta spray metálico ouro</t>
  </si>
  <si>
    <t>Vieira e Myrtes</t>
  </si>
  <si>
    <t>Repasse AFC</t>
  </si>
  <si>
    <t>Ailton e Milena</t>
  </si>
  <si>
    <t>Financeiro FACE</t>
  </si>
  <si>
    <t>Repasse de saldo da coleta das missas</t>
  </si>
  <si>
    <t>Totais</t>
  </si>
  <si>
    <t>João Paulo e Alda</t>
  </si>
  <si>
    <t>N/A</t>
  </si>
  <si>
    <t>Total</t>
  </si>
  <si>
    <t>Dezembro/2023</t>
  </si>
  <si>
    <t>Marquinhos</t>
  </si>
  <si>
    <t>Missa sexta-feira 01-12 manhã</t>
  </si>
  <si>
    <t>Padre Paulo</t>
  </si>
  <si>
    <t>Jarbas e Eduardo</t>
  </si>
  <si>
    <t>20 batas leitores</t>
  </si>
  <si>
    <t>Ana Lucia e Alaide</t>
  </si>
  <si>
    <t>Clediana e Alda</t>
  </si>
  <si>
    <t>Sávio e Tânia</t>
  </si>
  <si>
    <t>Sávio e Milena</t>
  </si>
  <si>
    <t>2 Águas indaiá</t>
  </si>
  <si>
    <t>João Paulo e Tânia</t>
  </si>
  <si>
    <t>Missa sábado 02-12 retiro juventude</t>
  </si>
  <si>
    <t>Padre Diego Juaçaba</t>
  </si>
  <si>
    <t>Pe Diego Juaçaba</t>
  </si>
  <si>
    <t>Missa Célia Nóbrega</t>
  </si>
  <si>
    <t>Padre Edvânio</t>
  </si>
  <si>
    <t>Missa domingo 03-12 manhã</t>
  </si>
  <si>
    <t>Frei Ricardo Régis</t>
  </si>
  <si>
    <t>Neidinha e Vieira</t>
  </si>
  <si>
    <t>Missa terça-feira 05-12 manhã</t>
  </si>
  <si>
    <t>Lena e Eduardo</t>
  </si>
  <si>
    <t>Clediana e Sávio</t>
  </si>
  <si>
    <t>Ailton e Liliane</t>
  </si>
  <si>
    <t>papel higiênico</t>
  </si>
  <si>
    <t>Vieira e Ana Lúcia</t>
  </si>
  <si>
    <t>alcóol</t>
  </si>
  <si>
    <t>Pilha</t>
  </si>
  <si>
    <t>pilha palito</t>
  </si>
  <si>
    <t>Paulinas</t>
  </si>
  <si>
    <t>Partículas 12 cm sacerdote</t>
  </si>
  <si>
    <t>1.3</t>
  </si>
  <si>
    <t>Doações - Face</t>
  </si>
  <si>
    <t>Centrebox</t>
  </si>
  <si>
    <t>papel toalha</t>
  </si>
  <si>
    <t>Acessórios sacristia</t>
  </si>
  <si>
    <t>pote para armazenar partículas sacerdote</t>
  </si>
  <si>
    <t>Padre Diogo Félix</t>
  </si>
  <si>
    <t>Missa domingo 10-12 manhã</t>
  </si>
  <si>
    <t>Missa domingo 10-12 noite</t>
  </si>
  <si>
    <t>Pe Marcos</t>
  </si>
  <si>
    <t>Oscar e Neide</t>
  </si>
  <si>
    <t>Missa terça-feira 12-12 manhã</t>
  </si>
  <si>
    <t>Padre Neto</t>
  </si>
  <si>
    <t>Missa natal face quarta-feira 13-12 noite</t>
  </si>
  <si>
    <t>Rosas para o altar - missa de natal - 13/12</t>
  </si>
  <si>
    <t>Pe Edvânio</t>
  </si>
  <si>
    <t>Marcos e Vieira</t>
  </si>
  <si>
    <t>Missa sexta-feira 15-12 manhã</t>
  </si>
  <si>
    <t>Missa domingo 17-12 manhã</t>
  </si>
  <si>
    <t>Lidia e Myrtes</t>
  </si>
  <si>
    <t>produtos de limpeza</t>
  </si>
  <si>
    <t>Repasse Paróquia São Vicente</t>
  </si>
  <si>
    <t>Repasse paróquia São Vicente</t>
  </si>
  <si>
    <t>Liliane e Ana Lúcia</t>
  </si>
  <si>
    <t>1 toalha | 1 passadeira | 1 pano de bandeja</t>
  </si>
  <si>
    <t>Partículas assembléia | magnas</t>
  </si>
  <si>
    <t>Alda  e Clediana</t>
  </si>
  <si>
    <t>Rena Comercial</t>
  </si>
  <si>
    <t>3 pct de velas | 3 velas c7x15</t>
  </si>
  <si>
    <t>Missa terça-feira 19-12 manhã</t>
  </si>
  <si>
    <t>Vieira e Sávio</t>
  </si>
  <si>
    <t>Jocelia Guedes</t>
  </si>
  <si>
    <t>2 eletroduto roscavel</t>
  </si>
  <si>
    <t>João Paulo e Edna</t>
  </si>
  <si>
    <t>Supplex</t>
  </si>
  <si>
    <t>Fita dupla face</t>
  </si>
  <si>
    <t>Monsenho Idelfonso</t>
  </si>
  <si>
    <t>Missas do mês de dezembro</t>
  </si>
  <si>
    <t>Pe Diego Félix</t>
  </si>
  <si>
    <t>Wandson e Aucilente</t>
  </si>
  <si>
    <t>Missa sexta-feira 22-12 manhã</t>
  </si>
  <si>
    <t>Adaila e Eduardo</t>
  </si>
  <si>
    <t>Missa sábado 23-12 noite (4o domingo advento)</t>
  </si>
  <si>
    <t>Missa domingo 24-12 manhã (4o domingo advento)</t>
  </si>
  <si>
    <t>Missa domingo 24-12 noite ( missa virgilia do natal)</t>
  </si>
  <si>
    <t>Pe Neto</t>
  </si>
  <si>
    <t>Williams Correia</t>
  </si>
  <si>
    <t>Flores para o altar - missa de natal - 24/12</t>
  </si>
  <si>
    <t>Missa segunda 25-12 noite ( missa do natal)</t>
  </si>
  <si>
    <t>Milena e Sávio</t>
  </si>
  <si>
    <t>1.4</t>
  </si>
  <si>
    <t>João Paulo e Vieira</t>
  </si>
  <si>
    <t>Doações - Outras</t>
  </si>
  <si>
    <t>Padre marcos</t>
  </si>
  <si>
    <t>Missa terça 26-12 noite</t>
  </si>
  <si>
    <t>Pe. Josieldo</t>
  </si>
  <si>
    <t>Vieira</t>
  </si>
  <si>
    <t>2 água indaiá</t>
  </si>
  <si>
    <t>Wandson e Eduardo</t>
  </si>
  <si>
    <t>1 casula | 1 Batina | 1 Passadeira | 1 estola | 1 toalha rosto | pano de chão | 3 Toalhas | 1 Toalha ambão | 1 Protetor altar | 1 pano de chão | 1 pacjo copa</t>
  </si>
  <si>
    <t>Bernardo e Ana Lúcia</t>
  </si>
  <si>
    <t>Eduardo</t>
  </si>
  <si>
    <t>Missa sexta 29-12 noite</t>
  </si>
  <si>
    <t>Milena e Alaide</t>
  </si>
  <si>
    <t>Padre João Paulo</t>
  </si>
  <si>
    <t>Missa domingo 31-12 manhã</t>
  </si>
  <si>
    <t>Missa domingo 31-12 noite</t>
  </si>
  <si>
    <t>Transporte solicitado pelo sacerdote</t>
  </si>
  <si>
    <t>Oscar e Edna</t>
  </si>
  <si>
    <t>Pe Josieldo</t>
  </si>
  <si>
    <t>Eduardo e Vieira</t>
  </si>
  <si>
    <t>Marcos e William</t>
  </si>
  <si>
    <t>Wandson e Myrtes</t>
  </si>
  <si>
    <t>Ailton e Vieira</t>
  </si>
  <si>
    <t>Edna e Clediana</t>
  </si>
  <si>
    <t>Janeiro/2024</t>
  </si>
  <si>
    <t>Wilson e Alaide</t>
  </si>
  <si>
    <t>Missa segunda 31-01 noite ( missa Santa Mãe de Deus)</t>
  </si>
  <si>
    <t>Padre Willame</t>
  </si>
  <si>
    <t>Missa terça manhã</t>
  </si>
  <si>
    <t>Eduardo e Wandson</t>
  </si>
  <si>
    <t>Alfaias litúrgicas ( corporal e sanguíneo )</t>
  </si>
  <si>
    <t>Tecido para alfaias</t>
  </si>
  <si>
    <t>Missa sexta manhã</t>
  </si>
  <si>
    <t>Missa da família - sexta - noite</t>
  </si>
  <si>
    <t>Desodorante em spray para capela do santíssimo</t>
  </si>
  <si>
    <t>Missa doming manhã</t>
  </si>
  <si>
    <t>Missa doming noite</t>
  </si>
  <si>
    <t>Vinho</t>
  </si>
  <si>
    <t>vinho</t>
  </si>
  <si>
    <t>pc 12cm</t>
  </si>
  <si>
    <t>Mosteiro da Imaculada</t>
  </si>
  <si>
    <t>2.ooo partículas e 1 pc de 10cm</t>
  </si>
  <si>
    <t>Pe Willame</t>
  </si>
  <si>
    <t>Novidart</t>
  </si>
  <si>
    <t>Material de escritório</t>
  </si>
  <si>
    <t>Monsenhor Idlefonso</t>
  </si>
  <si>
    <t>Ailton e Edna</t>
  </si>
  <si>
    <t>Pe Jocenilton</t>
  </si>
  <si>
    <t>Missa sábado manhã</t>
  </si>
  <si>
    <t>2</t>
  </si>
  <si>
    <t>DESPESAS</t>
  </si>
  <si>
    <t>Missa domingo manhã</t>
  </si>
  <si>
    <t>Missa domingo noite</t>
  </si>
  <si>
    <t>João Paulo e Bernardo</t>
  </si>
  <si>
    <t>Paulus</t>
  </si>
  <si>
    <t>Vinho canônico</t>
  </si>
  <si>
    <t>Plástico &amp; Cia</t>
  </si>
  <si>
    <t>Copos descartáveis</t>
  </si>
  <si>
    <t>William e Myrtes</t>
  </si>
  <si>
    <t>Clean &amp; Soft</t>
  </si>
  <si>
    <t>Tapete e roupas dos acólitos</t>
  </si>
  <si>
    <t>água indaia</t>
  </si>
  <si>
    <t>Wilson Correia</t>
  </si>
  <si>
    <t>alça apoio para box alum</t>
  </si>
  <si>
    <t>Pe Watson</t>
  </si>
  <si>
    <t>Silvana e Myrthes</t>
  </si>
  <si>
    <t>DOAÇÃO</t>
  </si>
  <si>
    <t>2.1</t>
  </si>
  <si>
    <t>Wilson e Clediana</t>
  </si>
  <si>
    <t>Outras</t>
  </si>
  <si>
    <t>Artigos para sacristia</t>
  </si>
  <si>
    <t>Oscar</t>
  </si>
  <si>
    <t>Estacionamento Eduardo e Adaila para comprar Artigos para sacristia</t>
  </si>
  <si>
    <t>Liliane e Adaila</t>
  </si>
  <si>
    <t>Espórtulas do mês de Jan/2024</t>
  </si>
  <si>
    <t>Asa Sul Ind. Com.</t>
  </si>
  <si>
    <t>Bordados das alfaias</t>
  </si>
  <si>
    <t>Pe Paulo Aniceto</t>
  </si>
  <si>
    <t>CR2 Paramentos Litúrgicos</t>
  </si>
  <si>
    <t>Incenso gramas olibano 500g</t>
  </si>
  <si>
    <t>Incenso angelus rosa fatima 500g</t>
  </si>
  <si>
    <t>Clediana e Edna</t>
  </si>
  <si>
    <t>Uber entrega</t>
  </si>
  <si>
    <t>Entrega produtos CR2 Paramentos litúrgicos</t>
  </si>
  <si>
    <t>Vieria e João Paulo</t>
  </si>
  <si>
    <t>Paulo Aniceto</t>
  </si>
  <si>
    <t>Verônica e Marcos</t>
  </si>
  <si>
    <t>Wilsom e Oscar</t>
  </si>
  <si>
    <t>Fevereiro/2024</t>
  </si>
  <si>
    <t>Sávio e Liliane</t>
  </si>
  <si>
    <t>Mosteiro da Imaculada Coneição</t>
  </si>
  <si>
    <t>3 m hóstia pequena | 1 pct hóstia 14 cm</t>
  </si>
  <si>
    <t>Edna e Aaide</t>
  </si>
  <si>
    <t>João Paulo e Lidia</t>
  </si>
  <si>
    <t>MIssa sexta-feira manhã</t>
  </si>
  <si>
    <t>Pe Raphael</t>
  </si>
  <si>
    <t>Missa sexta-feira das famílias</t>
  </si>
  <si>
    <t>Eduardo e Myrthes</t>
  </si>
  <si>
    <t>Ana Lucia e Alda</t>
  </si>
  <si>
    <t>Flores</t>
  </si>
  <si>
    <t>Sávio e Clediana</t>
  </si>
  <si>
    <t>Missa retiro consagrados</t>
  </si>
  <si>
    <t>Liliane e Alda</t>
  </si>
  <si>
    <t>MIssa terça-feira manhã</t>
  </si>
  <si>
    <t>dagmar Alves Papa</t>
  </si>
  <si>
    <t>recuperaçãode bacia e manga do círio pascal</t>
  </si>
  <si>
    <t>Missa sexta-feira manhã</t>
  </si>
  <si>
    <t>Tolha de mesa e almofadas</t>
  </si>
  <si>
    <t>Supermercado Guara</t>
  </si>
  <si>
    <t>Milena e Edna</t>
  </si>
  <si>
    <t>Estacionamento</t>
  </si>
  <si>
    <t>Adyla compra círio e prataria</t>
  </si>
  <si>
    <t>Círio pascal 60cm</t>
  </si>
  <si>
    <t>O Espanhol - Arte em metais</t>
  </si>
  <si>
    <t>Recuperação da naveta</t>
  </si>
  <si>
    <t>Mormaço</t>
  </si>
  <si>
    <t>Pe. Watson</t>
  </si>
  <si>
    <t>Missa quarta-feira de cinzas</t>
  </si>
  <si>
    <t>Williams e Verônica</t>
  </si>
  <si>
    <t>Blusa crerical - presente Dom Gergório</t>
  </si>
  <si>
    <t>Casas Freitas</t>
  </si>
  <si>
    <t>Lixeira inox para banheiro sacristia</t>
  </si>
  <si>
    <t>Monsteiro da Imaculada</t>
  </si>
  <si>
    <t>3000 partículas</t>
  </si>
  <si>
    <t>Clediana</t>
  </si>
  <si>
    <t>Caracol</t>
  </si>
  <si>
    <t>Interruptor elétrico para o banheiro da sacristia</t>
  </si>
  <si>
    <t>Talimpo</t>
  </si>
  <si>
    <t>Saboneteira montana</t>
  </si>
  <si>
    <t>Mercadinhos São Luiz</t>
  </si>
  <si>
    <t>Tira M por vanish</t>
  </si>
  <si>
    <t>Marcos Assunção</t>
  </si>
  <si>
    <t>Missa terça-feira manhã</t>
  </si>
  <si>
    <t>Milena e Bernardo</t>
  </si>
  <si>
    <t>Missa sábado - Reavivar</t>
  </si>
  <si>
    <t>Pe Paulo</t>
  </si>
  <si>
    <t>Ana Lúcia e Wilson</t>
  </si>
  <si>
    <t>Pe Jsé Willame</t>
  </si>
  <si>
    <t>Vieira e Neidinha</t>
  </si>
  <si>
    <t>Vela cast lisa 00</t>
  </si>
  <si>
    <t>Vela cast lisa 01</t>
  </si>
  <si>
    <t>Vela text c7x15</t>
  </si>
  <si>
    <t>2 pct de particulas assembleia</t>
  </si>
  <si>
    <t>CARNAVAL</t>
  </si>
  <si>
    <t>2 pct de particulas de 8cm e 10cm</t>
  </si>
  <si>
    <t>Espórtulas referente ao mês de fevereiro</t>
  </si>
  <si>
    <t>Cinzas</t>
  </si>
  <si>
    <t>Bernardo e não identificado</t>
  </si>
  <si>
    <t>Oscar e Wilson</t>
  </si>
  <si>
    <t>Março/2024</t>
  </si>
  <si>
    <t>Vieira e Albaniza</t>
  </si>
  <si>
    <t>Myrtes e Marcos</t>
  </si>
  <si>
    <t>MIssa sexta-feira noite - familias</t>
  </si>
  <si>
    <t>1- Batina | Véu umeral | Toalha amão | Toalha altar</t>
  </si>
  <si>
    <t>Alaide e Ana Lúcia</t>
  </si>
  <si>
    <t>Clediana e Oscar</t>
  </si>
  <si>
    <t xml:space="preserve">Tânia e </t>
  </si>
  <si>
    <t>Pão de Açúcar</t>
  </si>
  <si>
    <t>Williams e Eduardo</t>
  </si>
  <si>
    <t>Dom Gregório</t>
  </si>
  <si>
    <t>Vieira e Eduardo</t>
  </si>
  <si>
    <t>2.2</t>
  </si>
  <si>
    <t>AnaLúcia e Alaide</t>
  </si>
  <si>
    <t>Plásticos &amp; cia</t>
  </si>
  <si>
    <t>6 pct de copos descartáveis</t>
  </si>
  <si>
    <t>Milena e Alda</t>
  </si>
  <si>
    <t>Plástico bolha - Imagem Nsa sra de Fátima</t>
  </si>
  <si>
    <t>Envelope</t>
  </si>
  <si>
    <t>Dagmar Alves Papa</t>
  </si>
  <si>
    <t>Manutenção no trono do santíssimo</t>
  </si>
  <si>
    <t>Pe Bessa</t>
  </si>
  <si>
    <t>Evandro Técnico em Refrigerações</t>
  </si>
  <si>
    <t>Manutenção no gelágua</t>
  </si>
  <si>
    <t>SOS Água System</t>
  </si>
  <si>
    <t>2 garrafões de água</t>
  </si>
  <si>
    <t>4000 partículas</t>
  </si>
  <si>
    <t>Wandson e Vieira</t>
  </si>
  <si>
    <t>MISSA DAS FAMÍLIAS</t>
  </si>
  <si>
    <t>Pe Santino</t>
  </si>
  <si>
    <t>CAMINHADA PENITENCIAL</t>
  </si>
  <si>
    <t>Wandson e Wilson</t>
  </si>
  <si>
    <t>3 Batinas | 1 - estola</t>
  </si>
  <si>
    <t>Tinta spary | fita fixa forte</t>
  </si>
  <si>
    <t>Tânia e Wilson</t>
  </si>
  <si>
    <t>Repasse</t>
  </si>
  <si>
    <t>Campanha da fraternidade</t>
  </si>
  <si>
    <t>Velas</t>
  </si>
  <si>
    <t>Vieira e Adayla</t>
  </si>
  <si>
    <t>Espórtulas referente ao mês de março/2024</t>
  </si>
  <si>
    <t>Missa quarta-feira noite</t>
  </si>
  <si>
    <t>Wilson e ana Lúcia</t>
  </si>
  <si>
    <t>Confissão</t>
  </si>
  <si>
    <t>Confissão quarta-feira noite</t>
  </si>
  <si>
    <t>Missa quinta-feira Santa</t>
  </si>
  <si>
    <t>Tríduo Pascal</t>
  </si>
  <si>
    <t>Gráfica na Hora</t>
  </si>
  <si>
    <t>Xerox folhetos da missa</t>
  </si>
  <si>
    <t>Casa Plaza</t>
  </si>
  <si>
    <t>Pão para ceia da missa quinta-feira santa</t>
  </si>
  <si>
    <t>Cacau Show</t>
  </si>
  <si>
    <t>Lembrança para os sacerdotes</t>
  </si>
  <si>
    <t>Mercadinho São Luiz</t>
  </si>
  <si>
    <t>Uva para a o tríduo pascal</t>
  </si>
  <si>
    <t>Uila Ramos</t>
  </si>
  <si>
    <t>Wedna e Ailton</t>
  </si>
  <si>
    <t>Adoração a Santa Cruz - Sexta-feria Santa</t>
  </si>
  <si>
    <t>Igreja São Vicente</t>
  </si>
  <si>
    <t>Repasse Camapanha da Fraternidade</t>
  </si>
  <si>
    <t>Pe Almeida</t>
  </si>
  <si>
    <t>Missa sábado - Vígilia Pascal</t>
  </si>
  <si>
    <t>Decoração capela</t>
  </si>
  <si>
    <t>Bernardo e Edna</t>
  </si>
  <si>
    <t>Pe Glailson</t>
  </si>
  <si>
    <t>Missa domingo de Páscoa - manhã</t>
  </si>
  <si>
    <t>Ailton e Tânia</t>
  </si>
  <si>
    <t>Missa domingo de Páscoa - noite</t>
  </si>
  <si>
    <t>Edna e Sávio</t>
  </si>
  <si>
    <t>Face de Cristo</t>
  </si>
  <si>
    <t>Repasse Face de Cristo</t>
  </si>
  <si>
    <t>Eduardoe João Paulo</t>
  </si>
  <si>
    <t>Wandson</t>
  </si>
  <si>
    <t>Abril/2024</t>
  </si>
  <si>
    <t>SupermercadoGuará</t>
  </si>
  <si>
    <t>2 pct papel toalha</t>
  </si>
  <si>
    <t>Pe.Marcos</t>
  </si>
  <si>
    <t>Missa terça-feira - manhã</t>
  </si>
  <si>
    <t>2 pct partículas pequenas</t>
  </si>
  <si>
    <t>Eduardo e Ailton</t>
  </si>
  <si>
    <t>1 lt vinho do padre</t>
  </si>
  <si>
    <t>Ailton e William</t>
  </si>
  <si>
    <t>Lugares Santos</t>
  </si>
  <si>
    <t>1 pct partículas 12 cm</t>
  </si>
  <si>
    <t>Missa sexta-feira - noite - famílias</t>
  </si>
  <si>
    <t>Missa sábado - manhã</t>
  </si>
  <si>
    <t>Decoração Festa da misericórdia</t>
  </si>
  <si>
    <t>Missa domingo - manhã</t>
  </si>
  <si>
    <t>Missa domingo - noite</t>
  </si>
  <si>
    <t>3 pct partículas pequenas | 1 pct particulas 14 cm</t>
  </si>
  <si>
    <t>Wilson e Ana Lúcia</t>
  </si>
  <si>
    <t>6 batinas | 1 manta | 1 toalha mesa</t>
  </si>
  <si>
    <t>Wilson e Neide</t>
  </si>
  <si>
    <t>2.3</t>
  </si>
  <si>
    <t>Plásticos &amp; Cia</t>
  </si>
  <si>
    <t>6 pct copos</t>
  </si>
  <si>
    <t>2 acendedores com isqueiro</t>
  </si>
  <si>
    <t>1 durex</t>
  </si>
  <si>
    <t>1 etiqueta adesiva</t>
  </si>
  <si>
    <t>2 blocos de recibo</t>
  </si>
  <si>
    <t>Manga p/ castiçal</t>
  </si>
  <si>
    <t>Missa sexta-feira - manhã</t>
  </si>
  <si>
    <t>Eduado e Adayla</t>
  </si>
  <si>
    <t>esponja | papel toalha | desinfetante</t>
  </si>
  <si>
    <t xml:space="preserve">Clediana </t>
  </si>
  <si>
    <t>Manix</t>
  </si>
  <si>
    <t>Arranjo de flores</t>
  </si>
  <si>
    <t>Ailton e Neide</t>
  </si>
  <si>
    <t>Serviço de montagem do arranjo de flores</t>
  </si>
  <si>
    <t>Missa sexya-feira - manhã</t>
  </si>
  <si>
    <t>CR2 com de Paramentos</t>
  </si>
  <si>
    <t>manutenção da coroa de Nsa. Sra,</t>
  </si>
  <si>
    <t>O Espanhol</t>
  </si>
  <si>
    <t>Manutenção do Ostensório e cálice</t>
  </si>
  <si>
    <t>Estacionamento Eduardo para pegar o cálice e a coroa</t>
  </si>
  <si>
    <t>Oscar e Ailton</t>
  </si>
  <si>
    <t>Pe Francisco Mota</t>
  </si>
  <si>
    <t>Liliane e Bernardo</t>
  </si>
  <si>
    <t>Missa segunda-feira - manhã</t>
  </si>
  <si>
    <t>Edna e Alaide</t>
  </si>
  <si>
    <t>3 pct partículas pequenas</t>
  </si>
  <si>
    <t>Vaso de vidro para círio</t>
  </si>
  <si>
    <t>Milena e Wilson</t>
  </si>
  <si>
    <t>Restauração coroa de Nsa Sra</t>
  </si>
  <si>
    <t>Edna e Magdala</t>
  </si>
  <si>
    <t>Missa domingo - noite 23:00hs - Relíquias</t>
  </si>
  <si>
    <t>Missa segunda-feira - manhã - Relíquias</t>
  </si>
  <si>
    <t>Serviço prestado no mês de abril/2024</t>
  </si>
  <si>
    <t>Eduardo e Wilson</t>
  </si>
  <si>
    <t>Pe Mota</t>
  </si>
  <si>
    <t>Clediana e Poliana</t>
  </si>
  <si>
    <t>2 garrafões naturágua</t>
  </si>
  <si>
    <t>Vidraçaria Verona</t>
  </si>
  <si>
    <t>Corte em vaso de vidro para servir de manga pro círio</t>
  </si>
  <si>
    <t>Magdala e João Paulo</t>
  </si>
  <si>
    <t>Verônica</t>
  </si>
  <si>
    <t>Italo Dias</t>
  </si>
  <si>
    <t>Ailton e Eduardo</t>
  </si>
  <si>
    <t>Maio/2024</t>
  </si>
  <si>
    <t>Edivânio e Apolônio</t>
  </si>
  <si>
    <t>Ailton e Wilson</t>
  </si>
  <si>
    <t>Relíquias Sta Terezinha</t>
  </si>
  <si>
    <t>Wilson e Aucilente</t>
  </si>
  <si>
    <t>Vieria e Clediana</t>
  </si>
  <si>
    <t>Supermercado Cometa</t>
  </si>
  <si>
    <t>Vela Text 7 x 15</t>
  </si>
  <si>
    <t>Vela Text 8 x 30</t>
  </si>
  <si>
    <t>Silvana e Tânia</t>
  </si>
  <si>
    <t>Distrilimp Ind. e Com.</t>
  </si>
  <si>
    <t>Garrafa 15ml pet - bico spray pro alcóol</t>
  </si>
  <si>
    <t>Pano de chão flanelado</t>
  </si>
  <si>
    <t>Myrthes e Magdala</t>
  </si>
  <si>
    <t>Papel higiênico</t>
  </si>
  <si>
    <t>Wandson e Lena</t>
  </si>
  <si>
    <t>Eduardo e Adaila</t>
  </si>
  <si>
    <t>Pct com 24 hóstias de 10cm</t>
  </si>
  <si>
    <t>Silvana e Albaniza</t>
  </si>
  <si>
    <t>Pct com 12 hóstias de 12cm</t>
  </si>
  <si>
    <t>Alda e Ana Lúcia</t>
  </si>
  <si>
    <t>Flores para a capela</t>
  </si>
  <si>
    <t>Neide e Liliane</t>
  </si>
  <si>
    <t>Missa sexta-feira - noite - Famílias</t>
  </si>
  <si>
    <t>Bernardo e Williams</t>
  </si>
  <si>
    <t>Marcos e Magdala</t>
  </si>
  <si>
    <t>Pulverizador spray para plantas da capela</t>
  </si>
  <si>
    <t>Eduardo Lidia</t>
  </si>
  <si>
    <t>Cópia da chave do sacrário para Neide</t>
  </si>
  <si>
    <t>2.4</t>
  </si>
  <si>
    <t>Ceará Flores</t>
  </si>
  <si>
    <t>Flores variadas</t>
  </si>
  <si>
    <t>Neide e Magdala</t>
  </si>
  <si>
    <t>Missa domingo - Noite</t>
  </si>
  <si>
    <t>Oscar e Liliane</t>
  </si>
  <si>
    <t>Mosteiro da Imaculada Conceição</t>
  </si>
  <si>
    <t>3 pct hóstias pequenas</t>
  </si>
  <si>
    <t>Vieira e João Paulo</t>
  </si>
  <si>
    <t>1 vassoura</t>
  </si>
  <si>
    <t>Essencia</t>
  </si>
  <si>
    <t>Odorizante de ambientes e tecidos</t>
  </si>
  <si>
    <t>Marcos e Oscar</t>
  </si>
  <si>
    <t>Limp casa &amp; perfume</t>
  </si>
  <si>
    <t>Wandson e Bernardo</t>
  </si>
  <si>
    <t>Vila Ramos e Aguiar</t>
  </si>
  <si>
    <t>Garrafão de água naturágua</t>
  </si>
  <si>
    <t>Liliane a Alaide</t>
  </si>
  <si>
    <t>Oscar e Ana Lúcia</t>
  </si>
  <si>
    <t>Kalunga S.A</t>
  </si>
  <si>
    <t>Malote de transporte</t>
  </si>
  <si>
    <t>Rena Comercial Ltda</t>
  </si>
  <si>
    <t>Velas Menorá</t>
  </si>
  <si>
    <t>Wilson eJoão Paulo</t>
  </si>
  <si>
    <t>Renata e Myrthes</t>
  </si>
  <si>
    <t>Kato Flores - Capela</t>
  </si>
  <si>
    <t>Pe Edivânio</t>
  </si>
  <si>
    <t>Marcos e Ailton</t>
  </si>
  <si>
    <t>Flores naturais - Pentecoste</t>
  </si>
  <si>
    <t>Missa sábado - noite</t>
  </si>
  <si>
    <t>Bernardo e Adayla</t>
  </si>
  <si>
    <t>5 batinas | 4 toalhas</t>
  </si>
  <si>
    <t>Vendedor Ambulante</t>
  </si>
  <si>
    <t>Neide e Wilson</t>
  </si>
  <si>
    <t>Flores dia das mães</t>
  </si>
  <si>
    <t>Real Construções</t>
  </si>
  <si>
    <t>Tinta corante para o tapete</t>
  </si>
  <si>
    <t>Vieira e Ailton</t>
  </si>
  <si>
    <t>Magdala e Alda</t>
  </si>
  <si>
    <t>Páticos e Cia</t>
  </si>
  <si>
    <t>Sacolas para preparar a tintura do sal grosso</t>
  </si>
  <si>
    <t>Talimpo Com. Produtos</t>
  </si>
  <si>
    <t>Luvas para usar no tapete</t>
  </si>
  <si>
    <t>Tapete para banheiro</t>
  </si>
  <si>
    <t>Junho/2024</t>
  </si>
  <si>
    <t>Flores e Rosas</t>
  </si>
  <si>
    <t>Bacia descartável (embalagem)</t>
  </si>
  <si>
    <t>Williams e Edna</t>
  </si>
  <si>
    <t>\\]\</t>
  </si>
  <si>
    <t>1 PCT Sacola reciclável</t>
  </si>
  <si>
    <t>Pe Glaison</t>
  </si>
  <si>
    <t>1 pct copo semi-acrílico</t>
  </si>
  <si>
    <t>1 pct colher descartável</t>
  </si>
  <si>
    <t>Fortaleza Tintas</t>
  </si>
  <si>
    <t>6 Corantes xadrez</t>
  </si>
  <si>
    <t>Depósito Edvaldo</t>
  </si>
  <si>
    <t>7 Corantes xadrez</t>
  </si>
  <si>
    <t>Magdala e Ana Lúcia</t>
  </si>
  <si>
    <t>Tinta 250 ml</t>
  </si>
  <si>
    <t>Tinta metálica</t>
  </si>
  <si>
    <t>Luvas procedimento</t>
  </si>
  <si>
    <t>Neide e João Paulo</t>
  </si>
  <si>
    <t>Missas e confissões no mês de maio/2024</t>
  </si>
  <si>
    <t>Pe Jorge Hermes</t>
  </si>
  <si>
    <t>Missa quinta-feira - manhã</t>
  </si>
  <si>
    <t>Cura e perdão</t>
  </si>
  <si>
    <t>Oscar e Alda</t>
  </si>
  <si>
    <t>Wandson e Liliane</t>
  </si>
  <si>
    <t>3 pct de partículas pequenas com 1.000 cada</t>
  </si>
  <si>
    <t>Tânia e Edna</t>
  </si>
  <si>
    <t>2 pct de hóstias grandes</t>
  </si>
  <si>
    <t>Vieira de João Paulo</t>
  </si>
  <si>
    <t>cx com 10 hóstias sacerdote 12cm</t>
  </si>
  <si>
    <t>2.5</t>
  </si>
  <si>
    <t>Aucilente e Vieira</t>
  </si>
  <si>
    <t>carvão para turíbulo</t>
  </si>
  <si>
    <t>Itens de Consumo</t>
  </si>
  <si>
    <t>João Paulo e Wilson</t>
  </si>
  <si>
    <t>Óbulo de são Pedro</t>
  </si>
  <si>
    <t>Toalhas</t>
  </si>
  <si>
    <t>Oscar e João Paulo</t>
  </si>
  <si>
    <t>Bernardo e Eduardo</t>
  </si>
  <si>
    <t>Julho/2024</t>
  </si>
  <si>
    <t>Detergente</t>
  </si>
  <si>
    <t>2.5.1</t>
  </si>
  <si>
    <t>Missas: sexta, sábado e domingo - manhã - cura e perdão</t>
  </si>
  <si>
    <t>Clediana e Magdala</t>
  </si>
  <si>
    <t>Limpeza da sacristia</t>
  </si>
  <si>
    <t>Supermercado Guará</t>
  </si>
  <si>
    <t>3 Pano microfibra (pia)</t>
  </si>
  <si>
    <t>Ailton</t>
  </si>
  <si>
    <t>D&amp;E Gráfica Digital</t>
  </si>
  <si>
    <t>serviço de gráfica (apostila mesc)</t>
  </si>
  <si>
    <t>pct vela castiçal</t>
  </si>
  <si>
    <t>Vela 7 x 15</t>
  </si>
  <si>
    <t>3 pct de particulas pequenas com 1000 cada</t>
  </si>
  <si>
    <t>Magdfala e Clediana</t>
  </si>
  <si>
    <t>Placa sinalizadora piso molhado</t>
  </si>
  <si>
    <t>Liliane e Ailton</t>
  </si>
  <si>
    <t>Vieria e Oscar</t>
  </si>
  <si>
    <t>Tânia e João Paulo</t>
  </si>
  <si>
    <t>1- toalha | 1 - caminho de mesa</t>
  </si>
  <si>
    <t>Missa quinta-feira aniversário de sacerdócio + espórtulas de junho/2024</t>
  </si>
  <si>
    <t>Flores decoração capela</t>
  </si>
  <si>
    <t>Oscar e Vieira</t>
  </si>
  <si>
    <t>Óbulo de São Pedro</t>
  </si>
  <si>
    <t>Verônica e João Paulo</t>
  </si>
  <si>
    <t>Florais</t>
  </si>
  <si>
    <t>Oscar e Renata</t>
  </si>
  <si>
    <t>Marcos e Jarbas</t>
  </si>
  <si>
    <t>Lidya e Eduardo</t>
  </si>
  <si>
    <t>Paróquia São Vicente</t>
  </si>
  <si>
    <t>Liliane e Wilson</t>
  </si>
  <si>
    <t>Oscar e Sávio</t>
  </si>
  <si>
    <t>Albaniza e Vieira</t>
  </si>
  <si>
    <t>5 batinas | 2 caminhos de mesa | 1 toalha</t>
  </si>
  <si>
    <t>Center box</t>
  </si>
  <si>
    <t>Isqueiro bic</t>
  </si>
  <si>
    <t>Agosto/2024</t>
  </si>
  <si>
    <t>pilhas duracell</t>
  </si>
  <si>
    <t>pano multiuso</t>
  </si>
  <si>
    <t>odorizador aer glade</t>
  </si>
  <si>
    <t>odorizador glade gel</t>
  </si>
  <si>
    <t>lustra moveis peroba</t>
  </si>
  <si>
    <t>Vieira e Milena</t>
  </si>
  <si>
    <t>água sanitária</t>
  </si>
  <si>
    <t>Missa sexta-feira noite (famílias)</t>
  </si>
  <si>
    <t>Pe Italo Dias</t>
  </si>
  <si>
    <t>Williams e Oscar</t>
  </si>
  <si>
    <t>Mangas jateadas</t>
  </si>
  <si>
    <t>pcts com 1k de partículas pequenas</t>
  </si>
  <si>
    <t>Renata e Alaide</t>
  </si>
  <si>
    <t>Hóstia sacerdote - semana</t>
  </si>
  <si>
    <t>1 túnica | 2 toalhas | 1 pano de copa | 1 tapete | 1 toaha mesa | 1 caminho mesa</t>
  </si>
  <si>
    <t>Wilson e Edna</t>
  </si>
  <si>
    <t>2 pct pequenas | 1 pct de 10cm</t>
  </si>
  <si>
    <t>1,5m Plástico transparente para cobrir a mesa</t>
  </si>
  <si>
    <t>Wandson e Marcos</t>
  </si>
  <si>
    <t>Caneta esferográfica</t>
  </si>
  <si>
    <t>Eduardo e Lydia</t>
  </si>
  <si>
    <t>Pct copos descartáveis</t>
  </si>
  <si>
    <t>Alda e Clediana</t>
  </si>
  <si>
    <t>Milena e Ailton</t>
  </si>
  <si>
    <t>Edna e João Paulo</t>
  </si>
  <si>
    <t>2.5.2</t>
  </si>
  <si>
    <t>Pe Diego</t>
  </si>
  <si>
    <t>Espórtulas do mês de julho/2024</t>
  </si>
  <si>
    <t>5aSec - Nice Lavanderia</t>
  </si>
  <si>
    <t>3 Toalhas</t>
  </si>
  <si>
    <t>João Paulo e Oscar</t>
  </si>
  <si>
    <t>Eduardo e Marcos</t>
  </si>
  <si>
    <t>Alaide e Wilson</t>
  </si>
  <si>
    <t>Osca e Neide</t>
  </si>
  <si>
    <t>Missa sexta-feira noite - famílias</t>
  </si>
  <si>
    <t>Setembro/2024</t>
  </si>
  <si>
    <t>Cometa</t>
  </si>
  <si>
    <t>3k pequenas 1pct de 10cm</t>
  </si>
  <si>
    <t>velas</t>
  </si>
  <si>
    <t>Deterg | Veja | purif | esponja | papel toalha</t>
  </si>
  <si>
    <t>Rosas</t>
  </si>
  <si>
    <t>Liliane e João Paulo</t>
  </si>
  <si>
    <t>Alda e Sávio</t>
  </si>
  <si>
    <t>1 Batina | 1 Toalha de mesa | 1 caminho de mesa</t>
  </si>
  <si>
    <t>Mecanismos completo para caixa descarga</t>
  </si>
  <si>
    <t>3k de Partículas pequenas</t>
  </si>
  <si>
    <t>Wilson e Alda</t>
  </si>
  <si>
    <t>Magdala e Clediana</t>
  </si>
  <si>
    <t>2 caminhos de mesa | 1 toalha de mesa</t>
  </si>
  <si>
    <t>Vaso de vidro</t>
  </si>
  <si>
    <t>Neide e Ailton</t>
  </si>
  <si>
    <t>Vip Construções</t>
  </si>
  <si>
    <t>T Roscável hidráulico</t>
  </si>
  <si>
    <t>Espórtulas do mês de agosto/2024</t>
  </si>
  <si>
    <t>Oscar e Verônica</t>
  </si>
  <si>
    <t>Alaide e Renata</t>
  </si>
  <si>
    <t>Pe italo</t>
  </si>
  <si>
    <t>Patículas sacerdote diária || dominical</t>
  </si>
  <si>
    <t>Vieira e Cleidiana</t>
  </si>
  <si>
    <t>João Paulo e Ailton</t>
  </si>
  <si>
    <t>Alda e Verônica</t>
  </si>
  <si>
    <t>Alaide e Edna</t>
  </si>
  <si>
    <t>Outubro/2024</t>
  </si>
  <si>
    <t>Cleidiana e Alda</t>
  </si>
  <si>
    <t>Tinta spray</t>
  </si>
  <si>
    <t>Pe Ivan Vanderlúcio</t>
  </si>
  <si>
    <t>2.5.3</t>
  </si>
  <si>
    <t>2 águas naturágua</t>
  </si>
  <si>
    <t>Flores Capela</t>
  </si>
  <si>
    <t>3 pcts particulas puequenas | 1 pct 10cm</t>
  </si>
  <si>
    <t>Oscar e Eduardo</t>
  </si>
  <si>
    <t>wandson e Lena</t>
  </si>
  <si>
    <t>Velas c7x15</t>
  </si>
  <si>
    <t>Bernardo</t>
  </si>
  <si>
    <t>Cleidiana e Sávio</t>
  </si>
  <si>
    <t>Vieira e Marcos</t>
  </si>
  <si>
    <t>Papel Toalha</t>
  </si>
  <si>
    <t>Vieira e Magdala</t>
  </si>
  <si>
    <t>Liliane e Neide</t>
  </si>
  <si>
    <t>Cas a&amp; Perfume</t>
  </si>
  <si>
    <t>Pael. higiênico</t>
  </si>
  <si>
    <t>Oscar, Albaniza e Vieira</t>
  </si>
  <si>
    <t>Pe André e Douglas</t>
  </si>
  <si>
    <t>Pe Douglas e André</t>
  </si>
  <si>
    <t>Magdala e Mirtes</t>
  </si>
  <si>
    <t>Copos descartáveis 200ml</t>
  </si>
  <si>
    <t>Marcos e Eduardo</t>
  </si>
  <si>
    <t>Acendedor</t>
  </si>
  <si>
    <t>Wandson e Lidya</t>
  </si>
  <si>
    <t>Pe Vandelúcio</t>
  </si>
  <si>
    <t>Bernardo e Myrthes</t>
  </si>
  <si>
    <t>Pe Joaquim</t>
  </si>
  <si>
    <t>Wandson e Aucilene</t>
  </si>
  <si>
    <t>Alda e Milena</t>
  </si>
  <si>
    <t>Novembro/2024</t>
  </si>
  <si>
    <t>3 pct pequenas | 1 pct 10cm</t>
  </si>
  <si>
    <t>Eduardo e Bernardo</t>
  </si>
  <si>
    <t>Espórtulas do mês de setembro/24</t>
  </si>
  <si>
    <t xml:space="preserve">7 toalhas | Vestes acólitos | batinas | </t>
  </si>
  <si>
    <t>1 pct pequenas | 1 pct 14cm</t>
  </si>
  <si>
    <t>Lydia e Eduardo</t>
  </si>
  <si>
    <t>Cleidiana e Magdala</t>
  </si>
  <si>
    <t>RenaLuz</t>
  </si>
  <si>
    <t>4 cast lisa | 4 7x15 | 2 8x10 | 2 8x25</t>
  </si>
  <si>
    <t>Sávio e Vieira</t>
  </si>
  <si>
    <t>Pe. Bruno</t>
  </si>
  <si>
    <t>Crisma</t>
  </si>
  <si>
    <t>Wanson e Lena</t>
  </si>
  <si>
    <t>Pe Ivan</t>
  </si>
  <si>
    <t>Missa terça-feira noite - Santa Terezinha</t>
  </si>
  <si>
    <t>?</t>
  </si>
  <si>
    <t>Eduardo Lima e Tânia</t>
  </si>
  <si>
    <t>1a Eucaristia</t>
  </si>
  <si>
    <t>Panos multiuso</t>
  </si>
  <si>
    <t>Lena e Lidia</t>
  </si>
  <si>
    <t>Márcia Mindêlo</t>
  </si>
  <si>
    <t>Prestação de serviços decoração - Santa Terezinha</t>
  </si>
  <si>
    <t>Alaide</t>
  </si>
  <si>
    <t>Cleidiana e Edna</t>
  </si>
  <si>
    <t>2.5.4</t>
  </si>
  <si>
    <t>Myrthes e Eduardo</t>
  </si>
  <si>
    <t>Abertura cong MOB</t>
  </si>
  <si>
    <t>Missa sexta-feira noite - São Francisco</t>
  </si>
  <si>
    <t>Silva e Magdala</t>
  </si>
  <si>
    <t>Meio Dia</t>
  </si>
  <si>
    <t>Tânia e Verônica</t>
  </si>
  <si>
    <t>Encerramento cong MOB</t>
  </si>
  <si>
    <t>Sávio e Cleidiana</t>
  </si>
  <si>
    <t>Márcia Midelo</t>
  </si>
  <si>
    <t>Flores azuis para missa Nsa Sra Aparecida</t>
  </si>
  <si>
    <t>Wilson</t>
  </si>
  <si>
    <t>Financeiro Face</t>
  </si>
  <si>
    <t>Repasse saldo ref. setembro/2024</t>
  </si>
  <si>
    <t>Eduardo e Lena</t>
  </si>
  <si>
    <t>Renata e Tânia</t>
  </si>
  <si>
    <t>Wilson e Cleidiana</t>
  </si>
  <si>
    <t>Garrafão naturágua</t>
  </si>
  <si>
    <t>Dezembro/2024</t>
  </si>
  <si>
    <t>2 Caminho de mesa | 2 toalha de mesa | 1 batina</t>
  </si>
  <si>
    <t>Lírio da paz</t>
  </si>
  <si>
    <t>Saboneteira de vidro</t>
  </si>
  <si>
    <t>Pano de chão</t>
  </si>
  <si>
    <t>Gatilho pulverizador</t>
  </si>
  <si>
    <t>Garrafas 500 ml</t>
  </si>
  <si>
    <t>Vieira e Alaide</t>
  </si>
  <si>
    <t>letra ABC (totus tuus Mariae) São João Paulo II</t>
  </si>
  <si>
    <t>Flores missa São João Paulo II</t>
  </si>
  <si>
    <t>Pe Vanderlúcio</t>
  </si>
  <si>
    <t>Missa terça-feira noite - São João Paulo II</t>
  </si>
  <si>
    <t>Sávio e Neide</t>
  </si>
  <si>
    <t>Magdala e Neide</t>
  </si>
  <si>
    <t>Pe Ivan Dias</t>
  </si>
  <si>
    <t>Flores capela</t>
  </si>
  <si>
    <t>Eduardo e Tânia</t>
  </si>
  <si>
    <t>3 pct peq | 1 pct 10cm</t>
  </si>
  <si>
    <t>Batina</t>
  </si>
  <si>
    <t>Espórtulas mês de outubro/2024</t>
  </si>
  <si>
    <t>Ceart</t>
  </si>
  <si>
    <t>Cesta de coleta</t>
  </si>
  <si>
    <t>Jarbas e Ailton</t>
  </si>
  <si>
    <t>Repasse Paróquia</t>
  </si>
  <si>
    <t>Liddya e Mirthes</t>
  </si>
  <si>
    <t>Vieira e Edna</t>
  </si>
  <si>
    <t>Neide e Oscar</t>
  </si>
  <si>
    <t>Véspera de natal</t>
  </si>
  <si>
    <t>2.5.5</t>
  </si>
  <si>
    <t>Natal</t>
  </si>
  <si>
    <t>Oscar e Cleidiana</t>
  </si>
  <si>
    <t>Wilson e João Paulo</t>
  </si>
  <si>
    <t>Ailton e Bernardo</t>
  </si>
  <si>
    <t>Vela lista de castiçal</t>
  </si>
  <si>
    <t>Abertura Ano Jubilar</t>
  </si>
  <si>
    <t>não houve missa das 8:00hs</t>
  </si>
  <si>
    <t>Alda e Wilson</t>
  </si>
  <si>
    <t>Edna e Verônica</t>
  </si>
  <si>
    <t>Vela Tex 7x15</t>
  </si>
  <si>
    <t>Janeiro/2025</t>
  </si>
  <si>
    <t>Israel Eletrônica</t>
  </si>
  <si>
    <t>Cabos microfone</t>
  </si>
  <si>
    <t>Cleidiana e Ana Lúcia</t>
  </si>
  <si>
    <t>Grupo MSLZ</t>
  </si>
  <si>
    <t>vanish</t>
  </si>
  <si>
    <t>Magdala e Edna</t>
  </si>
  <si>
    <t>Mosteiro da Imaculada conceição e São José</t>
  </si>
  <si>
    <t>3 pct hóstias pequenas | 1 pct hóstias 10cm</t>
  </si>
  <si>
    <t>Natanael e Eduardo</t>
  </si>
  <si>
    <t>Flores naturais</t>
  </si>
  <si>
    <t>Alaide e alda</t>
  </si>
  <si>
    <t>Livro orações Eucarísticas</t>
  </si>
  <si>
    <t>Fr Ricardo Régis</t>
  </si>
  <si>
    <t>Abertura ano 2025 grupos casais de quinta-feira</t>
  </si>
  <si>
    <t>i pct Hóstia 10cm</t>
  </si>
  <si>
    <t>Bernardo e Tânia</t>
  </si>
  <si>
    <t>Lojas Renner</t>
  </si>
  <si>
    <t>Calça tricoline - presente Pe. Glailson</t>
  </si>
  <si>
    <t>Lena e Moreira</t>
  </si>
  <si>
    <t>Vieirae Albaniza</t>
  </si>
  <si>
    <t>Alda e Alaide</t>
  </si>
  <si>
    <t>Ana Lúcia e Cleidiana</t>
  </si>
  <si>
    <t>Edna e Alda</t>
  </si>
  <si>
    <t>Água 20lt</t>
  </si>
  <si>
    <t>Silvana</t>
  </si>
  <si>
    <t>Vieira e Lidya</t>
  </si>
  <si>
    <t>Cleidiana e Consuelda</t>
  </si>
  <si>
    <t>Renata</t>
  </si>
  <si>
    <t>Rabicho p fluorescente</t>
  </si>
  <si>
    <t>Silvana e Renata</t>
  </si>
  <si>
    <t>Natanael e Vieira</t>
  </si>
  <si>
    <t>Lâmpadas led</t>
  </si>
  <si>
    <t>Lâminas para estilete</t>
  </si>
  <si>
    <t>Cleidiana e João Paulo</t>
  </si>
  <si>
    <t>Fita isolante</t>
  </si>
  <si>
    <t>Ana Lúcia e Milena</t>
  </si>
  <si>
    <t>Ângela Maria Andrade Fontenele</t>
  </si>
  <si>
    <t>Repasse coleta congresso MOB</t>
  </si>
  <si>
    <t>Fevereiro/2025</t>
  </si>
  <si>
    <t>Missa segunda-feira noite - Aniversário Célia Nóbrega</t>
  </si>
  <si>
    <t>Casablanca</t>
  </si>
  <si>
    <t>Decoração advento</t>
  </si>
  <si>
    <t>Silva e João Paulo</t>
  </si>
  <si>
    <t>FLores naturais</t>
  </si>
  <si>
    <t>Mês de novembro-24</t>
  </si>
  <si>
    <t>Bernardo e Natanal</t>
  </si>
  <si>
    <t>2.5.6</t>
  </si>
  <si>
    <t>2 pct pequenas | 1 pct 10cm</t>
  </si>
  <si>
    <t>Vieira e Liliane</t>
  </si>
  <si>
    <t>Milena e Consuelda</t>
  </si>
  <si>
    <t>Folheto missa celebração da esperança</t>
  </si>
  <si>
    <t>Bernardo e Renata</t>
  </si>
  <si>
    <t>Diretório da liturgia</t>
  </si>
  <si>
    <t>Manga transparente castiçal vela</t>
  </si>
  <si>
    <t xml:space="preserve">Wandson e Lena </t>
  </si>
  <si>
    <t>Tinta spray - ouro - presépio</t>
  </si>
  <si>
    <t>Alda e Cleidiana</t>
  </si>
  <si>
    <t>Silva e Renata</t>
  </si>
  <si>
    <t>Renata e Lena</t>
  </si>
  <si>
    <t>Alda e Edna</t>
  </si>
  <si>
    <t>Pague Menos</t>
  </si>
  <si>
    <t>Cx de máscaras descartáveis</t>
  </si>
  <si>
    <t>Missa manhã - quarta-feira</t>
  </si>
  <si>
    <t>João Paulo e Verônica</t>
  </si>
  <si>
    <t>Vieira e Wilson</t>
  </si>
  <si>
    <t>Missa manhã - sexta-feira</t>
  </si>
  <si>
    <t>Missa manhã - terça-feira</t>
  </si>
  <si>
    <t>Clediana e Ana Lúcia</t>
  </si>
  <si>
    <t>Missa noite - quarta-feira - missa de natal</t>
  </si>
  <si>
    <t>Magdala e Sávio</t>
  </si>
  <si>
    <t>Batina || toalha de rsoto || toalha de mesa</t>
  </si>
  <si>
    <t>Março/2025</t>
  </si>
  <si>
    <t>Polidor alumínio</t>
  </si>
  <si>
    <t>lt Alcóol</t>
  </si>
  <si>
    <t>Lena e Wandson</t>
  </si>
  <si>
    <t>2 pct partículas peq</t>
  </si>
  <si>
    <t>Lidya e Bernardo</t>
  </si>
  <si>
    <t>lt vinho canônico</t>
  </si>
  <si>
    <t>2 garrafões</t>
  </si>
  <si>
    <t>Coleta Evangelizacao</t>
  </si>
  <si>
    <t>CINZAS</t>
  </si>
  <si>
    <t>Consuelda e João Paulo</t>
  </si>
  <si>
    <t>João Paulo e William</t>
  </si>
  <si>
    <t>Missa terça-feira noite - véspera de natal</t>
  </si>
  <si>
    <t>Missa quarta-feira noite - Natal</t>
  </si>
  <si>
    <t>Pe William</t>
  </si>
  <si>
    <t>Magdala e Wilson</t>
  </si>
  <si>
    <t>3 pct pequenas | 2 pct magnas</t>
  </si>
  <si>
    <t>Lidya e Wandson</t>
  </si>
  <si>
    <t>Hóstias 13 cm</t>
  </si>
  <si>
    <t>Clediana e Consuelda</t>
  </si>
  <si>
    <t>Pe Italo</t>
  </si>
  <si>
    <t>Velas cast lista 01</t>
  </si>
  <si>
    <t>Velas ctex c7</t>
  </si>
  <si>
    <t>Ana Lúcia e João Paulo</t>
  </si>
  <si>
    <t>Myrthes e Williams</t>
  </si>
  <si>
    <t>Copo desc 150ml</t>
  </si>
  <si>
    <t>Copo desc 180ml</t>
  </si>
  <si>
    <t>2.5.7</t>
  </si>
  <si>
    <t>Renata e Ailton</t>
  </si>
  <si>
    <t>Espórtulas do mês de dezembro/24</t>
  </si>
  <si>
    <t>Eduardo Lima</t>
  </si>
  <si>
    <t>Abril/2025</t>
  </si>
  <si>
    <t>FINANCEIRO - COMUNIDADE</t>
  </si>
  <si>
    <t>Recebido dfa Nilda</t>
  </si>
  <si>
    <t>Tarde</t>
  </si>
  <si>
    <t>3 garrafões 20lt</t>
  </si>
  <si>
    <t>Consuelda</t>
  </si>
  <si>
    <t>carvão em tablet</t>
  </si>
  <si>
    <t>João Paulo</t>
  </si>
  <si>
    <t>Mercainhos São Luiz</t>
  </si>
  <si>
    <t>Flores missa batismo de Jesus</t>
  </si>
  <si>
    <t>Ailton e Consuelda</t>
  </si>
  <si>
    <t>Renata e Verônica</t>
  </si>
  <si>
    <t>3 pct partículas peq</t>
  </si>
  <si>
    <t>Lidya e Mirthes</t>
  </si>
  <si>
    <t>Alda e Tânia</t>
  </si>
  <si>
    <t>Oscar e Consuelda</t>
  </si>
  <si>
    <t>Ailton e Alda</t>
  </si>
  <si>
    <t>Ailton e Ana Lúcia</t>
  </si>
  <si>
    <t>Limpeza casa &amp; perfume</t>
  </si>
  <si>
    <t>pe Santino</t>
  </si>
  <si>
    <t>Neide</t>
  </si>
  <si>
    <t>Bernardo e Myrhes</t>
  </si>
  <si>
    <t>Garrafão de água</t>
  </si>
  <si>
    <t>Alda e Consuelda</t>
  </si>
  <si>
    <t>Tânia</t>
  </si>
  <si>
    <t>Ana Lúcia e Alda</t>
  </si>
  <si>
    <t>William e ?</t>
  </si>
  <si>
    <t>Liliane e Verônica</t>
  </si>
  <si>
    <t>Silva e Adaila</t>
  </si>
  <si>
    <t>Pe Arthur</t>
  </si>
  <si>
    <t>Bernardo e Ailton</t>
  </si>
  <si>
    <t>Espórtulas do mês de jan/2025</t>
  </si>
  <si>
    <t>Lidya e Myrthes</t>
  </si>
  <si>
    <t>Tânia e Neide</t>
  </si>
  <si>
    <t>2.5.8</t>
  </si>
  <si>
    <t>Incenso</t>
  </si>
  <si>
    <t>Sacristia</t>
  </si>
  <si>
    <t>Presente do Monsenhor Idelfonso</t>
  </si>
  <si>
    <t>Sávio e João Paulo</t>
  </si>
  <si>
    <t>2 grf água</t>
  </si>
  <si>
    <t>Sumpercado Cometa</t>
  </si>
  <si>
    <t>3 pct pequenas</t>
  </si>
  <si>
    <t>Ana Lúcia e Myrthes</t>
  </si>
  <si>
    <t>2 pct 10 cm</t>
  </si>
  <si>
    <t>Maio/2025</t>
  </si>
  <si>
    <t>Santana Arte Sacra</t>
  </si>
  <si>
    <t>Vela de fluido</t>
  </si>
  <si>
    <t>Kit 6 Pavios para vela de fluido</t>
  </si>
  <si>
    <t>Fluido incolor garrafa</t>
  </si>
  <si>
    <t>Magdala, Milena e Myrthes</t>
  </si>
  <si>
    <t>batinas</t>
  </si>
  <si>
    <t>Silva e ?</t>
  </si>
  <si>
    <t>Microfone Lesson</t>
  </si>
  <si>
    <t>Alda e Ailton</t>
  </si>
  <si>
    <t>velas c7x15</t>
  </si>
  <si>
    <t>Lena e Jarbas</t>
  </si>
  <si>
    <t>Farmácia Pague Menos</t>
  </si>
  <si>
    <t>Dorflex | Neosaldina | Tylenol</t>
  </si>
  <si>
    <t>Silvana e ?</t>
  </si>
  <si>
    <t>Natanael e Renata</t>
  </si>
  <si>
    <t>Consuelda e Tânia</t>
  </si>
  <si>
    <t>Desinfetante Kalipto</t>
  </si>
  <si>
    <t>Alaide e Tânia</t>
  </si>
  <si>
    <t>Neide e Alda</t>
  </si>
  <si>
    <t>Tecido</t>
  </si>
  <si>
    <t>Edna e Milena</t>
  </si>
  <si>
    <t>Myrthes e Bernardo</t>
  </si>
  <si>
    <t>Buqye Folhas Bambu</t>
  </si>
  <si>
    <t>Williams e Adaila</t>
  </si>
  <si>
    <t>Silva - Neide - Lidya - Renata</t>
  </si>
  <si>
    <t>2.5.9</t>
  </si>
  <si>
    <t>Pe Giovani</t>
  </si>
  <si>
    <t>Consuelda e Alda</t>
  </si>
  <si>
    <t>Pe Nelson</t>
  </si>
  <si>
    <t>5 toalhas</t>
  </si>
  <si>
    <t>5aSec</t>
  </si>
  <si>
    <t>2 Toalhas bordadas</t>
  </si>
  <si>
    <t>Ana Lúcia e Consuelda</t>
  </si>
  <si>
    <t>2 Águas</t>
  </si>
  <si>
    <t>CR2 Paramentos</t>
  </si>
  <si>
    <t>Pe Geovani</t>
  </si>
  <si>
    <t>Tânia e Alda</t>
  </si>
  <si>
    <t>Consuelda e Neide</t>
  </si>
  <si>
    <t>Pe Williame</t>
  </si>
  <si>
    <t>Williams e Carol</t>
  </si>
  <si>
    <t>Pe Josenilton</t>
  </si>
  <si>
    <t>Wilson e Lena</t>
  </si>
  <si>
    <t>Carmelo</t>
  </si>
  <si>
    <t>Círio Pascal</t>
  </si>
  <si>
    <t>Alda e Neide</t>
  </si>
  <si>
    <t>Desinfetante (limp casa&amp;perfume)</t>
  </si>
  <si>
    <t>Vieira e Alda</t>
  </si>
  <si>
    <t>Vela 7x15</t>
  </si>
  <si>
    <t>Junho/2025</t>
  </si>
  <si>
    <t>3 pc partículas pequenas (1.000)</t>
  </si>
  <si>
    <t>1 cx partícula 10cm (diária)</t>
  </si>
  <si>
    <t>Adaila e Williams</t>
  </si>
  <si>
    <t>Frei Wilter</t>
  </si>
  <si>
    <t>pc hóstia 10cm</t>
  </si>
  <si>
    <t>pc hóstia 13cm</t>
  </si>
  <si>
    <t>2.5.10</t>
  </si>
  <si>
    <t>Naturágua</t>
  </si>
  <si>
    <t>Pe Júnior</t>
  </si>
  <si>
    <t>Túnica |Toalha</t>
  </si>
  <si>
    <t>Pe Marcos e Mons Idelfonso</t>
  </si>
  <si>
    <t>Espórtulas do mês de março/25</t>
  </si>
  <si>
    <t>Oscar e Aucilene</t>
  </si>
  <si>
    <t>Natanael e Bernardo</t>
  </si>
  <si>
    <t>Vieira e Consuelda</t>
  </si>
  <si>
    <t>Verônica e Aucilene</t>
  </si>
  <si>
    <t>Milena e Magdala</t>
  </si>
  <si>
    <t>Neide e Consuelda</t>
  </si>
  <si>
    <t>Clediana e Wilson</t>
  </si>
  <si>
    <t>Oscar e Celeste</t>
  </si>
  <si>
    <t>Missa terça-feira tarde</t>
  </si>
  <si>
    <t>Missa quarta-feira tarde</t>
  </si>
  <si>
    <t>Sávio</t>
  </si>
  <si>
    <t>Pe Giovaini</t>
  </si>
  <si>
    <t>Lena</t>
  </si>
  <si>
    <t>Magdala e Mithes</t>
  </si>
  <si>
    <t>Pe Paulo (Glória)</t>
  </si>
  <si>
    <t>Eduardo e Lidya</t>
  </si>
  <si>
    <t>Bernardo e Milena</t>
  </si>
  <si>
    <t>c7x15</t>
  </si>
  <si>
    <t>Missa quinta-feira tarde</t>
  </si>
  <si>
    <t>Vieira e Oscar</t>
  </si>
  <si>
    <t>Missa sexta-feira tarde</t>
  </si>
  <si>
    <t>Neide e Vieira</t>
  </si>
  <si>
    <t>Corpus Christi</t>
  </si>
  <si>
    <t>Ailton e Silvana</t>
  </si>
  <si>
    <t>Williams e Jarbas</t>
  </si>
  <si>
    <t>Eduardo e Natanael</t>
  </si>
  <si>
    <t>5 pct particulas pequenas</t>
  </si>
  <si>
    <t>Milena e Clediana</t>
  </si>
  <si>
    <t>Formação MESC</t>
  </si>
  <si>
    <t>Sávio e Edna</t>
  </si>
  <si>
    <t>Renata e Adaila</t>
  </si>
  <si>
    <t>Bernardo e Lena</t>
  </si>
  <si>
    <t>Grampeador</t>
  </si>
  <si>
    <t>Copo 180ml</t>
  </si>
  <si>
    <t>Julho/2025</t>
  </si>
  <si>
    <t>2.5.11</t>
  </si>
  <si>
    <t>Fita p empac</t>
  </si>
  <si>
    <t>Mangas vidro</t>
  </si>
  <si>
    <t>Sávio e Magdala</t>
  </si>
  <si>
    <t>vinho canônico</t>
  </si>
  <si>
    <t>5 cópias de chaves</t>
  </si>
  <si>
    <t>Missa domingo - tarde</t>
  </si>
  <si>
    <t>Missa segunda-feira tarde</t>
  </si>
  <si>
    <t>Formação no retiro semana Santa (segunda_feira)</t>
  </si>
  <si>
    <t>Myrthes e Ailton</t>
  </si>
  <si>
    <t>Tinta spray para pintar a base do círio</t>
  </si>
  <si>
    <t>Vieira e Aucilene</t>
  </si>
  <si>
    <t>Repasse coletas do dia 13/04</t>
  </si>
  <si>
    <t>Natanael e Wandson</t>
  </si>
  <si>
    <t>Vieira e consuelda</t>
  </si>
  <si>
    <t>R V de Alencar</t>
  </si>
  <si>
    <t>Cópias dos jornais do tríduo pascal</t>
  </si>
  <si>
    <t>oscar e Lidya</t>
  </si>
  <si>
    <t>Missa quinta-feira noite (1/3 tríduo pascal)</t>
  </si>
  <si>
    <t>Consuelda e Milena</t>
  </si>
  <si>
    <t>Pa Arthur Ricardo</t>
  </si>
  <si>
    <t>Lírio branci recife</t>
  </si>
  <si>
    <t>Verônica e Magdala</t>
  </si>
  <si>
    <t>Missa sexta-feira tarde (2/3 tríduo pascal)</t>
  </si>
  <si>
    <t>Missa sábado noite (3/3 tríduo pascal)</t>
  </si>
  <si>
    <t>Wandson e Jarbas</t>
  </si>
  <si>
    <t>Wilson e Consuelda</t>
  </si>
  <si>
    <t>Clediana e Verônica</t>
  </si>
  <si>
    <t>Hóstias 13cm</t>
  </si>
  <si>
    <t>Ailton e Oscar</t>
  </si>
  <si>
    <t>Hóstias 10cm</t>
  </si>
  <si>
    <t>Dan'Art</t>
  </si>
  <si>
    <t>Caneta tecido</t>
  </si>
  <si>
    <t>Pe Deusimar</t>
  </si>
  <si>
    <t>Vieira e Myrthes</t>
  </si>
  <si>
    <t>Silvana e Adaila</t>
  </si>
  <si>
    <t>Renata e Bernardo</t>
  </si>
  <si>
    <t>2.5.12</t>
  </si>
  <si>
    <t>Wilson e Oscar</t>
  </si>
  <si>
    <t>Renata e William</t>
  </si>
  <si>
    <t>Aucilene</t>
  </si>
  <si>
    <t>Confissão na festa da misericórdia</t>
  </si>
  <si>
    <t>Lavagens de peças diversas</t>
  </si>
  <si>
    <t>Tânia e ?</t>
  </si>
  <si>
    <t>Repasse coleta do dia 18/04 - Lugares santos</t>
  </si>
  <si>
    <t>Agosto/2025</t>
  </si>
  <si>
    <t>Espórtulas semana</t>
  </si>
  <si>
    <t>quarta-feira</t>
  </si>
  <si>
    <t>Silvana e Bernardo</t>
  </si>
  <si>
    <t>Missa quinta-feira 12:10hs</t>
  </si>
  <si>
    <t>Esportulas semana + monsenhor</t>
  </si>
  <si>
    <t>Wandson e Silvana</t>
  </si>
  <si>
    <t>Missa sexta-feira 07:00hs</t>
  </si>
  <si>
    <t>Pe Arthur Ricardo</t>
  </si>
  <si>
    <t>Albaniza e Adaila</t>
  </si>
  <si>
    <t>CenterBox</t>
  </si>
  <si>
    <t>Copo descartável</t>
  </si>
  <si>
    <t>Pano scot duramax (rolo) para usam em âmbulas e cálices</t>
  </si>
  <si>
    <t>Papel toalha (rolo)</t>
  </si>
  <si>
    <t>Oscar e Tânia</t>
  </si>
  <si>
    <t>Missa domingo - 08:00hs</t>
  </si>
  <si>
    <t>Missa domingo - 11:00hs</t>
  </si>
  <si>
    <t>Albaniza e Neide</t>
  </si>
  <si>
    <t>Missa domingo - 18:30hs</t>
  </si>
  <si>
    <t>Missa segunda-feira 12:10hs</t>
  </si>
  <si>
    <t>Liliane</t>
  </si>
  <si>
    <t>Missa terça-feira 07:00hs</t>
  </si>
  <si>
    <t>Missa terça-feira 12:10hs</t>
  </si>
  <si>
    <t>Bernarndo e Myrthes</t>
  </si>
  <si>
    <t>Túnicas</t>
  </si>
  <si>
    <t>Silvana e Magdala</t>
  </si>
  <si>
    <t>Eduardo e Adila</t>
  </si>
  <si>
    <t>Missa quarta-feira 12:10hs</t>
  </si>
  <si>
    <t>2.5.13</t>
  </si>
  <si>
    <t>Vela castiçal</t>
  </si>
  <si>
    <t>Acendedor BIC</t>
  </si>
  <si>
    <t>Nsa Sra da Assunção</t>
  </si>
  <si>
    <t>Mirthes e Williams</t>
  </si>
  <si>
    <t>Pct partículas assembléia</t>
  </si>
  <si>
    <t>Renata e Natanael</t>
  </si>
  <si>
    <t>Adaila e Lidya</t>
  </si>
  <si>
    <t>Missa sexta-feira 12:10hs</t>
  </si>
  <si>
    <t>Clediana e Silson</t>
  </si>
  <si>
    <t>Vieira e Neide</t>
  </si>
  <si>
    <t>Aiton e Consuelda</t>
  </si>
  <si>
    <t>Bernardo e Wandson</t>
  </si>
  <si>
    <t>Text C7x10</t>
  </si>
  <si>
    <t>Text C7x5</t>
  </si>
  <si>
    <t>Sávio e Alda</t>
  </si>
  <si>
    <t>William e Verônica</t>
  </si>
  <si>
    <t>Renata e Magdala</t>
  </si>
  <si>
    <t>Vieira e Verônica</t>
  </si>
  <si>
    <t>Setembro/2025</t>
  </si>
  <si>
    <t>2 pct pequenas</t>
  </si>
  <si>
    <t>2 pct de 10cm</t>
  </si>
  <si>
    <t>Base de vidro para castiçal do altar</t>
  </si>
  <si>
    <t>Liliane e Tânia</t>
  </si>
  <si>
    <t>2.5.14</t>
  </si>
  <si>
    <t>Bernardo e Myrtes</t>
  </si>
  <si>
    <t>Albaniza e Consuelda</t>
  </si>
  <si>
    <t>Bernardo e Lidya</t>
  </si>
  <si>
    <t>Alaide e Verônica</t>
  </si>
  <si>
    <t>Linha Nylon</t>
  </si>
  <si>
    <t>Tânia e Consuelda</t>
  </si>
  <si>
    <t>Wilson e Milena</t>
  </si>
  <si>
    <t>Espórtulas do Monsenhor Idelfonso no mês de maio/25</t>
  </si>
  <si>
    <t>Bernardo e Mythes</t>
  </si>
  <si>
    <t>Williams e Silvana</t>
  </si>
  <si>
    <t>6 toalhas simples | coberta de garrafão</t>
  </si>
  <si>
    <t>Jarbas e Wandson</t>
  </si>
  <si>
    <t>Rainha das Flores</t>
  </si>
  <si>
    <t>Rosas pro altar</t>
  </si>
  <si>
    <t>Lidya e Vieira</t>
  </si>
  <si>
    <t>Alda e Oscar</t>
  </si>
  <si>
    <t>Ana Lúcia e Sávio</t>
  </si>
  <si>
    <t>Renata e Silvana</t>
  </si>
  <si>
    <t>2 águas</t>
  </si>
  <si>
    <t>Alda e Vieira</t>
  </si>
  <si>
    <t>Ana Lúcia</t>
  </si>
  <si>
    <t>Pe Augusto Brasileiro</t>
  </si>
  <si>
    <t>Liliane e Consuelda</t>
  </si>
  <si>
    <t>Limp casa perfume</t>
  </si>
  <si>
    <t>Limp veja multiuso</t>
  </si>
  <si>
    <t>Viera e Eduardo</t>
  </si>
  <si>
    <t>Pano scott</t>
  </si>
  <si>
    <t>Wilson e Renata</t>
  </si>
  <si>
    <t>manga transparente para vela</t>
  </si>
  <si>
    <t>Hóstias ostensório e diária</t>
  </si>
  <si>
    <t>Outubro/2025</t>
  </si>
  <si>
    <t>Vela c7x15</t>
  </si>
  <si>
    <t>2.5.15</t>
  </si>
  <si>
    <t>Corte Manga de vela</t>
  </si>
  <si>
    <t>Missa Santa Terezinha</t>
  </si>
  <si>
    <t>pct pequenas</t>
  </si>
  <si>
    <t>Renata e Eduardo</t>
  </si>
  <si>
    <t>Lidya e Milena</t>
  </si>
  <si>
    <t>Bernardo e Clediana</t>
  </si>
  <si>
    <t>Missa renovação consgração</t>
  </si>
  <si>
    <t>Isqueiro</t>
  </si>
  <si>
    <t>Vieira e Tânia</t>
  </si>
  <si>
    <t>Edna e Ana Lúcia</t>
  </si>
  <si>
    <t>Pe Jeovani</t>
  </si>
  <si>
    <t>Plásticos e Cia</t>
  </si>
  <si>
    <t>Colher rei strava forte</t>
  </si>
  <si>
    <t>Fita 3m scoth</t>
  </si>
  <si>
    <t>Monsenhor</t>
  </si>
  <si>
    <t>Sacola recilada</t>
  </si>
  <si>
    <t>Ailton e Magdala</t>
  </si>
  <si>
    <t>Bloco de Recibo</t>
  </si>
  <si>
    <t>Pe Eusébio</t>
  </si>
  <si>
    <t>Eduardo e Renata</t>
  </si>
  <si>
    <t>Bernardo e Wilson</t>
  </si>
  <si>
    <t>Tânia e Vieira</t>
  </si>
  <si>
    <t>pct de hóstias de 14cm - Santíssimo</t>
  </si>
  <si>
    <t>Missa quinta-feira 08:00hs - Corpus Christi</t>
  </si>
  <si>
    <t>Consuelda e Celeste</t>
  </si>
  <si>
    <t>Pe Daniel Barreto</t>
  </si>
  <si>
    <t>William e Renata</t>
  </si>
  <si>
    <t>Eduardo e Albaniza</t>
  </si>
  <si>
    <t>Talimpo Comércio de Produtos de Limpeza Ltda</t>
  </si>
  <si>
    <t>Esponja hospitalar</t>
  </si>
  <si>
    <t>Funil Quality collor</t>
  </si>
  <si>
    <t>2.5.16</t>
  </si>
  <si>
    <t>Pano de chão aflanelado</t>
  </si>
  <si>
    <t>Kit pano microfibra multiuso</t>
  </si>
  <si>
    <t>Lidya e Consuelda</t>
  </si>
  <si>
    <t>Milena e Ana Lúcia</t>
  </si>
  <si>
    <t>Dom Greg'orio</t>
  </si>
  <si>
    <t>Bênção do Altar da Capela</t>
  </si>
  <si>
    <t>Não informado</t>
  </si>
  <si>
    <t>Gaurdanapos</t>
  </si>
  <si>
    <t>Wandson e Milena</t>
  </si>
  <si>
    <t>Verônica e Clediana</t>
  </si>
  <si>
    <t>Ailton e Adayla</t>
  </si>
  <si>
    <t>óleo flora nenem</t>
  </si>
  <si>
    <t>Novembro/2025</t>
  </si>
  <si>
    <t>Ailton e João Paulo</t>
  </si>
  <si>
    <t>Pe Wilson Sales</t>
  </si>
  <si>
    <t>Wandson e Myrthes</t>
  </si>
  <si>
    <t>Espórulas do mês de junho/25</t>
  </si>
  <si>
    <t>3 pct pqeuenas</t>
  </si>
  <si>
    <t>Marta M. de Oliveira</t>
  </si>
  <si>
    <t>Peças diversas no mês 06/25</t>
  </si>
  <si>
    <t>Edna e Consuelda</t>
  </si>
  <si>
    <t>Óbolo de São Pedro</t>
  </si>
  <si>
    <t>Repasse das coletas do domingo 29/06</t>
  </si>
  <si>
    <t>Pe Ruan</t>
  </si>
  <si>
    <t>Williams e Renata</t>
  </si>
  <si>
    <t>Pe Raimundo Nonato</t>
  </si>
  <si>
    <t>Eduardo e Adyla</t>
  </si>
  <si>
    <t>Missa Segunda-feira 12:10Hs</t>
  </si>
  <si>
    <t>Decor</t>
  </si>
  <si>
    <t>5lts fluido para velas</t>
  </si>
  <si>
    <t>2.5.17</t>
  </si>
  <si>
    <t>Eduardo e Neide</t>
  </si>
  <si>
    <t>Pe Diego Rocha</t>
  </si>
  <si>
    <t>vela cast lisa</t>
  </si>
  <si>
    <t>Pe Roberto Guilhermino</t>
  </si>
  <si>
    <t>vela 7x15</t>
  </si>
  <si>
    <t>Tais e Fernando</t>
  </si>
  <si>
    <t>lv roupa po omo bca</t>
  </si>
  <si>
    <t>alvejante vanish</t>
  </si>
  <si>
    <t>pct com 100 un copo desc 180ml</t>
  </si>
  <si>
    <t>Consuelda e Edna</t>
  </si>
  <si>
    <t>Borrifador para as mãos na coleta</t>
  </si>
  <si>
    <t>Ailton e Verônica</t>
  </si>
  <si>
    <t>Tânia e Albaniza</t>
  </si>
  <si>
    <t>Pct pequenas</t>
  </si>
  <si>
    <t>Clediana e Mirthes</t>
  </si>
  <si>
    <t>Renata e Wandson</t>
  </si>
  <si>
    <t>Pct 8 cm</t>
  </si>
  <si>
    <t>Dezembro/2025</t>
  </si>
  <si>
    <t>Espórtulas da semana do natal</t>
  </si>
  <si>
    <t>Espórtulas Monsenhor</t>
  </si>
  <si>
    <t>Neidinha e Albaniza</t>
  </si>
  <si>
    <t>Compl. min música</t>
  </si>
  <si>
    <t>Bernardo e Consuelda</t>
  </si>
  <si>
    <t>Tânia e Celeste</t>
  </si>
  <si>
    <t>2.5.18</t>
  </si>
  <si>
    <t>Odoriz glade</t>
  </si>
  <si>
    <t>Magdala e Lena</t>
  </si>
  <si>
    <t>Pe Tiaguinho</t>
  </si>
  <si>
    <t>Williams e Wilson</t>
  </si>
  <si>
    <t>espórtula investidura acólitos</t>
  </si>
  <si>
    <t>? Lidya</t>
  </si>
  <si>
    <t>Pe Sávio</t>
  </si>
  <si>
    <t>Vieira e Nedinha</t>
  </si>
  <si>
    <t>Sávio e Wilson</t>
  </si>
  <si>
    <t>Consuelda e Wilson</t>
  </si>
  <si>
    <t>João Paulo e Magdala</t>
  </si>
  <si>
    <t>Pe Giovanin</t>
  </si>
  <si>
    <t>Oscar e Bernardo</t>
  </si>
  <si>
    <t>Consuelda Verônica</t>
  </si>
  <si>
    <t>Vieira e Bernardo</t>
  </si>
  <si>
    <t>kza das cópias</t>
  </si>
  <si>
    <t>Espórtulas de Julho/25</t>
  </si>
  <si>
    <t>Lavelle Lavanderia</t>
  </si>
  <si>
    <t>casulas e toalhas</t>
  </si>
  <si>
    <t>Bernardo e João Paulo</t>
  </si>
  <si>
    <t>Wladia e Silvana</t>
  </si>
  <si>
    <t>Casa dos Cordões</t>
  </si>
  <si>
    <t>Rolo de pavio para velas de flúido</t>
  </si>
  <si>
    <t>Williams e Myrthes</t>
  </si>
  <si>
    <t>Albaniza e Ailton</t>
  </si>
  <si>
    <t>Tapete verde</t>
  </si>
  <si>
    <t>Clediana e Nara</t>
  </si>
  <si>
    <t>Joana e Consuelda</t>
  </si>
  <si>
    <t>Eduardo e Santos</t>
  </si>
  <si>
    <t>ONésio e Myrthes</t>
  </si>
  <si>
    <t>Nelson e Cristiano</t>
  </si>
  <si>
    <t>Pe Roberto</t>
  </si>
  <si>
    <t>Ailton e Jarbas</t>
  </si>
  <si>
    <t>Eduardo e Adayla</t>
  </si>
  <si>
    <t>Alaide e Vieira</t>
  </si>
  <si>
    <t>Uber</t>
  </si>
  <si>
    <t>Uber Padre celebração a noite</t>
  </si>
  <si>
    <t>Clediana e Bernardo</t>
  </si>
  <si>
    <t>Verônica e Joana Mary</t>
  </si>
  <si>
    <t>Janeiro/2026</t>
  </si>
  <si>
    <t>2.5.19</t>
  </si>
  <si>
    <t>Chaveiro Jorge 2000</t>
  </si>
  <si>
    <t>Cópia de 4 chaves</t>
  </si>
  <si>
    <t>Dm Alberto</t>
  </si>
  <si>
    <t>Ailton e Onésio</t>
  </si>
  <si>
    <t>Manhã Mariana</t>
  </si>
  <si>
    <t>Williams</t>
  </si>
  <si>
    <t>Vela torcida para batizados</t>
  </si>
  <si>
    <t>João Paulo e Nara</t>
  </si>
  <si>
    <t>Vela castiçal lisa amarela</t>
  </si>
  <si>
    <t>Rainha das flores</t>
  </si>
  <si>
    <t>floral</t>
  </si>
  <si>
    <t>Wilson e Nara</t>
  </si>
  <si>
    <t>Sumara e Tânia</t>
  </si>
  <si>
    <t>Hóstias pequenas</t>
  </si>
  <si>
    <t>Neide e Marlene</t>
  </si>
  <si>
    <t>Wilson e Sávio</t>
  </si>
  <si>
    <t>Tânia e Marlene</t>
  </si>
  <si>
    <t>Willaam e Santos</t>
  </si>
  <si>
    <t>Vieira e Hector</t>
  </si>
  <si>
    <t>RV de Alencar</t>
  </si>
  <si>
    <t>Digitalização A4</t>
  </si>
  <si>
    <t>Joana e Verônica</t>
  </si>
  <si>
    <t>Hector e Marlene</t>
  </si>
  <si>
    <t>Vieira e Nágila</t>
  </si>
  <si>
    <t>Cometa Supermercados</t>
  </si>
  <si>
    <t>Williams e Mirthes</t>
  </si>
  <si>
    <t>Renata e João Paulo</t>
  </si>
  <si>
    <t>Água sanitária</t>
  </si>
  <si>
    <t>Santos Wandson</t>
  </si>
  <si>
    <t>Alvejante vanish</t>
  </si>
  <si>
    <t>Consuelda e Lydia</t>
  </si>
  <si>
    <t>Albaniza e Joana</t>
  </si>
  <si>
    <t>Restauração do carrilhão</t>
  </si>
  <si>
    <t>Oscar e Marlene</t>
  </si>
  <si>
    <t>Albaniza e Nágila</t>
  </si>
  <si>
    <t>Nágila e Verônica</t>
  </si>
  <si>
    <t>Nara e Renata</t>
  </si>
  <si>
    <t>Vela Ave Maria</t>
  </si>
  <si>
    <t>Williams e Davi</t>
  </si>
  <si>
    <t>Renata e Onézio</t>
  </si>
  <si>
    <t>2.5.20</t>
  </si>
  <si>
    <t>Consuelda e Marlene</t>
  </si>
  <si>
    <t>Verônica e Joana</t>
  </si>
  <si>
    <t>Bernardo e Marlene</t>
  </si>
  <si>
    <t>Oscar e Nágila</t>
  </si>
  <si>
    <t>Partículas pequenas</t>
  </si>
  <si>
    <t>João Paulo e Sávio</t>
  </si>
  <si>
    <t>Bernardo e Silvana</t>
  </si>
  <si>
    <t>pct 12 cm</t>
  </si>
  <si>
    <t>Fevereiro/2026</t>
  </si>
  <si>
    <t>pct 13 cm</t>
  </si>
  <si>
    <t>Wandson e William</t>
  </si>
  <si>
    <t>Extrafarma</t>
  </si>
  <si>
    <t>3 pct algodão bola</t>
  </si>
  <si>
    <t>Doação presente Pe Arthur</t>
  </si>
  <si>
    <t>Pe Rodrigo Almeida</t>
  </si>
  <si>
    <t>Wilson e Nayron</t>
  </si>
  <si>
    <t>cx de máscara</t>
  </si>
  <si>
    <t>Oscar e Joana</t>
  </si>
  <si>
    <t>Mês de agosto/25</t>
  </si>
  <si>
    <t>Ailton e Marlene</t>
  </si>
  <si>
    <t>Opção 1</t>
  </si>
  <si>
    <t>Selecione o Ano</t>
  </si>
  <si>
    <t>Túnicas, toalhas</t>
  </si>
  <si>
    <t>João Paulo e Marlene</t>
  </si>
  <si>
    <t>Resumo por Período</t>
  </si>
  <si>
    <t>Cristiano e Silvana</t>
  </si>
  <si>
    <t>Eduardo e Hector</t>
  </si>
  <si>
    <t>Período</t>
  </si>
  <si>
    <t>Milena e Wandson</t>
  </si>
  <si>
    <t>Receitas</t>
  </si>
  <si>
    <t>Despesas</t>
  </si>
  <si>
    <t>Saldo</t>
  </si>
  <si>
    <t>Tânia e Joana</t>
  </si>
  <si>
    <t>Ailton e Nara</t>
  </si>
  <si>
    <t>Marlene e Oscar</t>
  </si>
  <si>
    <t>Onésio e Renata</t>
  </si>
  <si>
    <t>Mirthes e Hector</t>
  </si>
  <si>
    <t>João Paulo e Wandson</t>
  </si>
  <si>
    <t>Ailton e Hector</t>
  </si>
  <si>
    <t>Edna e Ana Angélica</t>
  </si>
  <si>
    <t>2.5.21</t>
  </si>
  <si>
    <t>Williams e Nayron</t>
  </si>
  <si>
    <t>Onésio e Santos</t>
  </si>
  <si>
    <t>Lidya e Hector</t>
  </si>
  <si>
    <t>Wilson e Wandson</t>
  </si>
  <si>
    <t>Alda e Nágila</t>
  </si>
  <si>
    <t>Sávio e Verônica</t>
  </si>
  <si>
    <t>Wilson e Tânia</t>
  </si>
  <si>
    <t>Março/2026</t>
  </si>
  <si>
    <t>Hector e Vieira</t>
  </si>
  <si>
    <t>garrafão de água</t>
  </si>
  <si>
    <t>Pe Rodrigo</t>
  </si>
  <si>
    <t>Albaniza e Cristiano</t>
  </si>
  <si>
    <t>Vela 21 dias</t>
  </si>
  <si>
    <t>Vela 7 dias</t>
  </si>
  <si>
    <t>Ailton e Wladia</t>
  </si>
  <si>
    <t>Pe Marcelo</t>
  </si>
  <si>
    <t>Fita empacotadora transparente</t>
  </si>
  <si>
    <t>Marlene e Edna</t>
  </si>
  <si>
    <t>Hóstias de 10cm</t>
  </si>
  <si>
    <t>Wilson e Marlene</t>
  </si>
  <si>
    <t>Rosas naturais</t>
  </si>
  <si>
    <t>Dom José Antônio</t>
  </si>
  <si>
    <t>Bernardo e Nayron</t>
  </si>
  <si>
    <t>Ailton e Thiago</t>
  </si>
  <si>
    <t>CAMINHADA PENTIENCIAL</t>
  </si>
  <si>
    <t>Renata e Cristiano</t>
  </si>
  <si>
    <t>pct de 1 mil und</t>
  </si>
  <si>
    <t>Albaniza e Nágela</t>
  </si>
  <si>
    <t>2.5.22</t>
  </si>
  <si>
    <t>João Paulo e Márcia</t>
  </si>
  <si>
    <t>pct 10 cm</t>
  </si>
  <si>
    <t>William e Pontes</t>
  </si>
  <si>
    <t>Adayla e Hector</t>
  </si>
  <si>
    <t>Restauração do crucifixo de prata</t>
  </si>
  <si>
    <t>Lidya e Albaniza</t>
  </si>
  <si>
    <t>Pe Clariston</t>
  </si>
  <si>
    <t>Lavele Lavanderia</t>
  </si>
  <si>
    <t>Túnicas e Toalhas</t>
  </si>
  <si>
    <t xml:space="preserve">Pe </t>
  </si>
  <si>
    <t>Meide e Consuelda</t>
  </si>
  <si>
    <t>Pe roberto Guilhermino</t>
  </si>
  <si>
    <t>São José</t>
  </si>
  <si>
    <t>Mês de setembro/25</t>
  </si>
  <si>
    <t>Sumara e Silvana</t>
  </si>
  <si>
    <t>Ailton e Cristiano</t>
  </si>
  <si>
    <t>Cristiano e Brenardo</t>
  </si>
  <si>
    <t>Diversos</t>
  </si>
  <si>
    <t>Pe Cleriston</t>
  </si>
  <si>
    <t>Ailton e Davi</t>
  </si>
  <si>
    <t>FERIADO</t>
  </si>
  <si>
    <t>Alda e Nara</t>
  </si>
  <si>
    <t>Wilson e Nágila</t>
  </si>
  <si>
    <t>Magdfala e João Paulo</t>
  </si>
  <si>
    <t>Camapanha da Fraternidade</t>
  </si>
  <si>
    <t>Rhaniere e Cristiano</t>
  </si>
  <si>
    <t>Renata e Sumara</t>
  </si>
  <si>
    <t>Consuelda e Verônica</t>
  </si>
  <si>
    <t>Missa quarta-feira Santa Terezinha 19:00hs</t>
  </si>
  <si>
    <t>Rosas missa Santa Terezinha</t>
  </si>
  <si>
    <t>Abril/2026</t>
  </si>
  <si>
    <t>Missa sábado - congresso da familia 08:00hs</t>
  </si>
  <si>
    <t>Reata, Nara e Cristiano</t>
  </si>
  <si>
    <t>MIssa da Misericórdia</t>
  </si>
  <si>
    <t>Magdala e Eduardo</t>
  </si>
  <si>
    <t>Missa do Lava pés</t>
  </si>
  <si>
    <t>Missa Segunda-feira 19:00Hs</t>
  </si>
  <si>
    <t>2.5.23</t>
  </si>
  <si>
    <t>Adoração à Santa Cruz</t>
  </si>
  <si>
    <t>Oscar e Hector</t>
  </si>
  <si>
    <t>Vigília Pascal</t>
  </si>
  <si>
    <t>CH Q15x15 BR</t>
  </si>
  <si>
    <t>VL FLU ROSA BR</t>
  </si>
  <si>
    <t>Onésio e Wilson</t>
  </si>
  <si>
    <t>VL TEX C7X15 BR</t>
  </si>
  <si>
    <t>GESSO 2</t>
  </si>
  <si>
    <t>Wilson e Verônica</t>
  </si>
  <si>
    <t>VL MEIO REFI</t>
  </si>
  <si>
    <t>Veira e Lidya</t>
  </si>
  <si>
    <t>Clediana e Márcia</t>
  </si>
  <si>
    <t>2 garrafões de 20 lts</t>
  </si>
  <si>
    <t>Marlene e Tânia</t>
  </si>
  <si>
    <t>Márcia e Wládia</t>
  </si>
  <si>
    <t>Lavelle</t>
  </si>
  <si>
    <t>Marlene e João Paulo</t>
  </si>
  <si>
    <t>Hóstias 13 cm missa domingo</t>
  </si>
  <si>
    <t>Davi e Santos</t>
  </si>
  <si>
    <t>Onésio e Nayron</t>
  </si>
  <si>
    <t>Missa Segunda-feira 19:00Hs - Vocacional</t>
  </si>
  <si>
    <t>NÃO HOUVE MISSA</t>
  </si>
  <si>
    <t>Terços de nylon grande luminoso</t>
  </si>
  <si>
    <t>Vieira e Marlene</t>
  </si>
  <si>
    <t>Supermercados Cometa</t>
  </si>
  <si>
    <t>Missa quarta-feira12:10hs</t>
  </si>
  <si>
    <t>Bernardo e Sávio</t>
  </si>
  <si>
    <t>Bernardo e Sumara</t>
  </si>
  <si>
    <t>Eliane e Santos</t>
  </si>
  <si>
    <t>Mirthys e Hector</t>
  </si>
  <si>
    <t>Mosteirro da Imaculada Conceição e São José</t>
  </si>
  <si>
    <t>4 pct pequenas</t>
  </si>
  <si>
    <t>1 pct 10 cm</t>
  </si>
  <si>
    <t>Manutenção no turíbulo</t>
  </si>
  <si>
    <t>Marlene e Alda</t>
  </si>
  <si>
    <t>Milena e Wládia</t>
  </si>
  <si>
    <t>DEMONSTRATIVO DO MÊS</t>
  </si>
  <si>
    <t>Coleta dia mundial das missões</t>
  </si>
  <si>
    <t>Cristiano e Renata</t>
  </si>
  <si>
    <t xml:space="preserve">Nayron e Onésio </t>
  </si>
  <si>
    <t>Ânfora e bacia dourados</t>
  </si>
  <si>
    <t>Albaniza e Lidya</t>
  </si>
  <si>
    <t>Missa quarta-feira São João Paulo II 19:00hs</t>
  </si>
  <si>
    <t>Cópia da chave da porta da sacristia</t>
  </si>
  <si>
    <t>Bernardo e Tiago</t>
  </si>
  <si>
    <t>Vieira e Nagila</t>
  </si>
  <si>
    <t>Maio/2026</t>
  </si>
  <si>
    <t>Saldo Operacional (Receitas - Despesas)</t>
  </si>
  <si>
    <t>Talimpo Com e Prod de Limpeza</t>
  </si>
  <si>
    <t>João Paulo e Santos</t>
  </si>
  <si>
    <t>Missa quarta-feira 07:00hs</t>
  </si>
  <si>
    <t>Onésio e Hector</t>
  </si>
  <si>
    <t>Espórtulas do mês de outbuto/25</t>
  </si>
  <si>
    <t>Compromissos A Pagar (Sacerdotes)</t>
  </si>
  <si>
    <t>Limp casa &amp; perfume 500ml</t>
  </si>
  <si>
    <t>Limpa Vidro Veja</t>
  </si>
  <si>
    <t>Flanela</t>
  </si>
  <si>
    <t>Neide e Marcia</t>
  </si>
  <si>
    <t>Nágela e Albaniza</t>
  </si>
  <si>
    <t>Hóstias magna13 cm</t>
  </si>
  <si>
    <t>Onésio e Eduardo</t>
  </si>
  <si>
    <t>Hector e Tiago</t>
  </si>
  <si>
    <t>Mirthys e Renata</t>
  </si>
  <si>
    <t>Marlene e Clediana</t>
  </si>
  <si>
    <t>Pe Gabriel</t>
  </si>
  <si>
    <t>pequenas (assembléia)</t>
  </si>
  <si>
    <t>Bernardo e Ana Angélica</t>
  </si>
  <si>
    <t>Consuelda e Nágila</t>
  </si>
  <si>
    <t>10cm</t>
  </si>
  <si>
    <t>Rena Luz</t>
  </si>
  <si>
    <t>Vela lisa 01</t>
  </si>
  <si>
    <t>Saldo Final</t>
  </si>
  <si>
    <t>Vela lisa 03</t>
  </si>
  <si>
    <t>Williams e Santos</t>
  </si>
  <si>
    <t>Eduardo e Cristiano</t>
  </si>
  <si>
    <t>Wilson e Onésio</t>
  </si>
  <si>
    <t>13 cm Ostensório</t>
  </si>
  <si>
    <t>16 cm Ostensório</t>
  </si>
  <si>
    <t>Manga Transparente</t>
  </si>
  <si>
    <t>Padre</t>
  </si>
  <si>
    <t>Plástivos &amp; Cia</t>
  </si>
  <si>
    <t>Copos 180 ml</t>
  </si>
  <si>
    <t>João Paulo de Magdala</t>
  </si>
  <si>
    <t>Fita crepe</t>
  </si>
  <si>
    <t>Williams e Cristiano</t>
  </si>
  <si>
    <t>Onésio e João Paulo</t>
  </si>
  <si>
    <t>celebração da palavra</t>
  </si>
  <si>
    <t>Marlene e Consuelda</t>
  </si>
  <si>
    <t>Comparativo Coleta x Espórtula</t>
  </si>
  <si>
    <t>Coleta</t>
  </si>
  <si>
    <t>Espórtula</t>
  </si>
  <si>
    <t>Onésio e Ailton</t>
  </si>
  <si>
    <t>Cristiano e Santos</t>
  </si>
  <si>
    <t>Velas 7x15 coroa do advento</t>
  </si>
  <si>
    <t>Junho/2026</t>
  </si>
  <si>
    <t>Eudistas</t>
  </si>
  <si>
    <t>pct 8 cm(diária)</t>
  </si>
  <si>
    <t>-</t>
  </si>
  <si>
    <t>Luva | Batina | Toalha de rosto | Caminho de Mesa | Toalha de Mesa</t>
  </si>
  <si>
    <t>Espórtulas do mês de nov/25</t>
  </si>
  <si>
    <t>Ailton e Santos</t>
  </si>
  <si>
    <t>CORPUS CHRISTI</t>
  </si>
  <si>
    <t>Ana Kércia e Consuelda</t>
  </si>
  <si>
    <t>Renata e Myrtes</t>
  </si>
  <si>
    <t>Márcia e João Paulo</t>
  </si>
  <si>
    <t>Manutenção em estante de altar</t>
  </si>
  <si>
    <t>Diretório</t>
  </si>
  <si>
    <t>5 lts fluido pra vela</t>
  </si>
  <si>
    <t>Hector e Cristiano</t>
  </si>
  <si>
    <t>Produtos mercado - Renata</t>
  </si>
  <si>
    <t>Neide e Márcia</t>
  </si>
  <si>
    <t>Missa quarta-feira 19:00hs - natal da Face</t>
  </si>
  <si>
    <t>Missa sábado 08:00hs - Investidura dos novos acólitos</t>
  </si>
  <si>
    <t>Velas castiçal lista</t>
  </si>
  <si>
    <t>pct 1k</t>
  </si>
  <si>
    <t>Chaves portas sacristia | Capela Santíssimo | Armários</t>
  </si>
  <si>
    <t>Williams s Santos</t>
  </si>
  <si>
    <t>Paróquisa São Vicente</t>
  </si>
  <si>
    <t>Repasse PSV - campanha Evangelização</t>
  </si>
  <si>
    <t>Pe Mário</t>
  </si>
  <si>
    <t>Onésio e Cristiano</t>
  </si>
  <si>
    <t>Sávio e Cleidiane</t>
  </si>
  <si>
    <t>Multicoisas</t>
  </si>
  <si>
    <t>Isqueiro para o acendedor de velas</t>
  </si>
  <si>
    <t>Oscar e Wladia</t>
  </si>
  <si>
    <t>Espórtulas mês de Dez/25</t>
  </si>
  <si>
    <t>Missa quarta-feira 18:30hs</t>
  </si>
  <si>
    <t>Ministério de múscia</t>
  </si>
  <si>
    <t>Pe Guilhermino</t>
  </si>
  <si>
    <t>Repasse para o ministério de múscia - Missa véspera de natal</t>
  </si>
  <si>
    <t>Santos e Davi</t>
  </si>
  <si>
    <t>Onésio e Vieira</t>
  </si>
  <si>
    <t>Missa quinta-feira 18:30hs</t>
  </si>
  <si>
    <t>Lidya e Ana Kécia</t>
  </si>
  <si>
    <t>Wládia e Clediana</t>
  </si>
  <si>
    <t>Marlene e Joana</t>
  </si>
  <si>
    <t>Sc para cédulas</t>
  </si>
  <si>
    <t>Julho/2026</t>
  </si>
  <si>
    <t>Etiquetas para lacrar envelopes de espórtulas</t>
  </si>
  <si>
    <t>Espórtula Monsenhor</t>
  </si>
  <si>
    <t>Espórtula Eudistas</t>
  </si>
  <si>
    <t>Dom Alfredo</t>
  </si>
  <si>
    <t>Missa Quinta-feira - Maria Mãe de Deus</t>
  </si>
  <si>
    <t>Bernardo e Nara</t>
  </si>
  <si>
    <t>Pe Fábio Vieira</t>
  </si>
  <si>
    <t>Santos e Eliane</t>
  </si>
  <si>
    <t>Confissão - Manhã Mariana</t>
  </si>
  <si>
    <t>Cristiano e Onésio</t>
  </si>
  <si>
    <t>Jogo do Brasil</t>
  </si>
  <si>
    <t>Alaide e Wládia</t>
  </si>
  <si>
    <t>Missa Segunda-feira 07:00Hs</t>
  </si>
  <si>
    <t>pequenas assembléia</t>
  </si>
  <si>
    <t>Marlene e Albaniza</t>
  </si>
  <si>
    <t>Onésio e Bernardo</t>
  </si>
  <si>
    <t>10 cm - dominical</t>
  </si>
  <si>
    <t>Hector e Onésio</t>
  </si>
  <si>
    <t>Lidya</t>
  </si>
  <si>
    <t>aqui</t>
  </si>
  <si>
    <t>Albaniza e Tânia</t>
  </si>
  <si>
    <t>Pano multiuso</t>
  </si>
  <si>
    <t>Dom Jânison Sá</t>
  </si>
  <si>
    <t>Maria José Marinho</t>
  </si>
  <si>
    <t>Wladia e João Paulo</t>
  </si>
  <si>
    <t>Valor Pago</t>
  </si>
  <si>
    <t>Santos e Hector</t>
  </si>
  <si>
    <t>Pe Fábio</t>
  </si>
  <si>
    <t>Alda e Wládia</t>
  </si>
  <si>
    <t>Lidya e Kécia</t>
  </si>
  <si>
    <t>Valor a Pagar</t>
  </si>
  <si>
    <t>Ailton e Wládia</t>
  </si>
  <si>
    <t>Zezé Embalagnes</t>
  </si>
  <si>
    <t>caixa térmica(isopor)</t>
  </si>
  <si>
    <t>Supermercado Ofertasso</t>
  </si>
  <si>
    <t>Lavanda óleo</t>
  </si>
  <si>
    <t>Cristiano e Consuelda</t>
  </si>
  <si>
    <t>Renata e Márcia</t>
  </si>
  <si>
    <t>Alcóol liq</t>
  </si>
  <si>
    <t>Wilson e Wládia</t>
  </si>
  <si>
    <t>Lidya e Marlene</t>
  </si>
  <si>
    <t>mangas transparente</t>
  </si>
  <si>
    <t>AUSENTE</t>
  </si>
  <si>
    <t>Albaniza e Marlene</t>
  </si>
  <si>
    <t>CR2</t>
  </si>
  <si>
    <t>Círio pascal</t>
  </si>
  <si>
    <t>Toalha Altar</t>
  </si>
  <si>
    <t>Monsenhor Ildefonso</t>
  </si>
  <si>
    <t>Espórtulas do mês de jan/26</t>
  </si>
  <si>
    <t>Agosto/2026</t>
  </si>
  <si>
    <t>Bernardo e Hector</t>
  </si>
  <si>
    <t>Santos e Eduardo</t>
  </si>
  <si>
    <t>Hector e Ranhieri</t>
  </si>
  <si>
    <t>Lidya e Ana Késsia</t>
  </si>
  <si>
    <t>Magdala</t>
  </si>
  <si>
    <t>Bolo aniversário monsenhor Ildefonso</t>
  </si>
  <si>
    <t>Clediana e Marlene</t>
  </si>
  <si>
    <t>Missa Sábado - Retiro dos Consagrados</t>
  </si>
  <si>
    <t>R2</t>
  </si>
  <si>
    <t>Albaniza e Neidinha</t>
  </si>
  <si>
    <t>Wilson e Wladia</t>
  </si>
  <si>
    <t>Nyron e Thiago</t>
  </si>
  <si>
    <t>Myrthes e Hector</t>
  </si>
  <si>
    <t>Margem Calçados - Sergios</t>
  </si>
  <si>
    <t>Presente Pe Arthur</t>
  </si>
  <si>
    <t>Aalaide e Edna</t>
  </si>
  <si>
    <t>Ana Kécia e Vieira</t>
  </si>
  <si>
    <t>Missa quarta-feira 19:00hs - Cinzas</t>
  </si>
  <si>
    <t>Renata e Sávio</t>
  </si>
  <si>
    <t>Neide e consuelda</t>
  </si>
  <si>
    <t>Sacerdote</t>
  </si>
  <si>
    <t>Pago</t>
  </si>
  <si>
    <t>Williams e Ailton</t>
  </si>
  <si>
    <t>Cristiano e Nayron</t>
  </si>
  <si>
    <t>Mês de Fev-26</t>
  </si>
  <si>
    <t>Missa sábado - abertura Reavivar</t>
  </si>
  <si>
    <t>Tânia e Joana Mary</t>
  </si>
  <si>
    <t>Idelfonso</t>
  </si>
  <si>
    <t>Marlene e Wládia</t>
  </si>
  <si>
    <t>Missa</t>
  </si>
  <si>
    <t>Williams e Onésio</t>
  </si>
  <si>
    <t>Resumo do mês  NOV/2023 - Espórtulas</t>
  </si>
  <si>
    <t>Josieldo</t>
  </si>
  <si>
    <t>Missa sábado - 17:30hs</t>
  </si>
  <si>
    <t>Neide e Albaniza</t>
  </si>
  <si>
    <t>Total Previsto</t>
  </si>
  <si>
    <t>Total Realizado</t>
  </si>
  <si>
    <t>Saldo a Pagar</t>
  </si>
  <si>
    <t>Wládia e Marlene</t>
  </si>
  <si>
    <t>Sacerdotes</t>
  </si>
  <si>
    <t>Nágila e Márcia</t>
  </si>
  <si>
    <t>Serviços</t>
  </si>
  <si>
    <t>Fornecedores</t>
  </si>
  <si>
    <t>Missa Terça-feira 07:00Hs</t>
  </si>
  <si>
    <t>Missa Terça-feira 12:10Hs</t>
  </si>
  <si>
    <t>Item</t>
  </si>
  <si>
    <t>André</t>
  </si>
  <si>
    <t>Material</t>
  </si>
  <si>
    <t>Nome</t>
  </si>
  <si>
    <t>Pe Jeferson</t>
  </si>
  <si>
    <t>Endereço</t>
  </si>
  <si>
    <t>Bairro</t>
  </si>
  <si>
    <t>Fone</t>
  </si>
  <si>
    <t>Confissão sábado 07:00hs</t>
  </si>
  <si>
    <t>Contato</t>
  </si>
  <si>
    <t>Bloco de recibos</t>
  </si>
  <si>
    <t>Arthur Ricardo</t>
  </si>
  <si>
    <t>Carvão (Tablete)</t>
  </si>
  <si>
    <t>Lojas Paulinas</t>
  </si>
  <si>
    <t>Av. Antonio Sales, 2919</t>
  </si>
  <si>
    <t>Dionisio Torres</t>
  </si>
  <si>
    <t>(85) 998570146</t>
  </si>
  <si>
    <t>Ailton e Alaide</t>
  </si>
  <si>
    <t>Bessa</t>
  </si>
  <si>
    <t>Formação</t>
  </si>
  <si>
    <t>Cosmo</t>
  </si>
  <si>
    <t>Diácono</t>
  </si>
  <si>
    <t>Diretório Litúrgico</t>
  </si>
  <si>
    <t>pano scott duramax</t>
  </si>
  <si>
    <t>Deusimar</t>
  </si>
  <si>
    <t>pilha panasonic</t>
  </si>
  <si>
    <t>Partículas Litúrgicas</t>
  </si>
  <si>
    <t>Mosteiro N.S. da Conceição</t>
  </si>
  <si>
    <t>Rua. Visconde do Rio Branco, 2590</t>
  </si>
  <si>
    <t>(85) 32262038</t>
  </si>
  <si>
    <t>Copos descartáveis ( 180 ml )</t>
  </si>
  <si>
    <t>Diego Félix</t>
  </si>
  <si>
    <t>Instituto das Filhas de São José</t>
  </si>
  <si>
    <t>Av. da Universidade, 3186</t>
  </si>
  <si>
    <t>Damas</t>
  </si>
  <si>
    <t>(85) 3281.5135</t>
  </si>
  <si>
    <t>Diego Juaçaba</t>
  </si>
  <si>
    <t>Anos</t>
  </si>
  <si>
    <t>Setembro/2026</t>
  </si>
  <si>
    <t>Manga de vidro</t>
  </si>
  <si>
    <t>Lojas Vozes</t>
  </si>
  <si>
    <t>Douglas</t>
  </si>
  <si>
    <t>Raphael</t>
  </si>
  <si>
    <t>Missa terça-feira 07:00Hs</t>
  </si>
  <si>
    <t>Edvânio</t>
  </si>
  <si>
    <t>Missa quinta-feira São José</t>
  </si>
  <si>
    <t>Francisco Mota</t>
  </si>
  <si>
    <t>Alfaias Litúrgicas ( coporal e sanquíneo )</t>
  </si>
  <si>
    <t>Geilson</t>
  </si>
  <si>
    <t>Velas em geral</t>
  </si>
  <si>
    <t>Rua Julio Siqueira, 770</t>
  </si>
  <si>
    <t>(85) 3257.2253</t>
  </si>
  <si>
    <t>Já tem cadastro no CNJ 63.291.041/0001-02. Associação Face de Cristo.</t>
  </si>
  <si>
    <t>Geovani</t>
  </si>
  <si>
    <t>Glailson</t>
  </si>
  <si>
    <t>Lavagem das alfaias litúrgicas ( corporal e sanguíneo )</t>
  </si>
  <si>
    <t>Gregório Paixão</t>
  </si>
  <si>
    <t>Limpeza</t>
  </si>
  <si>
    <t>Chave Pix</t>
  </si>
  <si>
    <t>Haroldo</t>
  </si>
  <si>
    <t xml:space="preserve">85 994154357 </t>
  </si>
  <si>
    <t>Missa domingo - 09:30hs - Guto</t>
  </si>
  <si>
    <t>Material de limpeza</t>
  </si>
  <si>
    <t>Acessórios sacristica</t>
  </si>
  <si>
    <t>Ivan</t>
  </si>
  <si>
    <t>Laveponto</t>
  </si>
  <si>
    <t>Jocenilton</t>
  </si>
  <si>
    <t>Jorge Hermes</t>
  </si>
  <si>
    <t>Não Identificado</t>
  </si>
  <si>
    <t>Nelson</t>
  </si>
  <si>
    <t>Neto</t>
  </si>
  <si>
    <t>Watson</t>
  </si>
  <si>
    <t>Ricardo Régis</t>
  </si>
  <si>
    <t>Velas c8x30</t>
  </si>
  <si>
    <t>Roberto Guilhermino</t>
  </si>
  <si>
    <t>Santino</t>
  </si>
  <si>
    <t>Vanderlúcio</t>
  </si>
  <si>
    <t>Willame</t>
  </si>
  <si>
    <t>Espórtulas monsenhor</t>
  </si>
  <si>
    <t>Wilter Malveira</t>
  </si>
  <si>
    <t>Wilton Sales</t>
  </si>
  <si>
    <t>Diego Rocha</t>
  </si>
  <si>
    <t>Tiaguinho</t>
  </si>
  <si>
    <t>Augusto Brasileiro</t>
  </si>
  <si>
    <t>Alfredo (bispo)</t>
  </si>
  <si>
    <t>Rodrigo</t>
  </si>
  <si>
    <t>Gabriel</t>
  </si>
  <si>
    <t>Mário</t>
  </si>
  <si>
    <t>Fábio Vieira</t>
  </si>
  <si>
    <t>Mauricio</t>
  </si>
  <si>
    <t>Espórtulas eudistas</t>
  </si>
  <si>
    <t>Paulo Henrique</t>
  </si>
  <si>
    <t>Jânison</t>
  </si>
  <si>
    <t>Marcelo</t>
  </si>
  <si>
    <t>Edilson</t>
  </si>
  <si>
    <t>Antonio Neto</t>
  </si>
  <si>
    <t>Oscar e Lidya</t>
  </si>
  <si>
    <t>Francisco José</t>
  </si>
  <si>
    <t>Renata e Milena</t>
  </si>
  <si>
    <t>5 pacotes</t>
  </si>
  <si>
    <t>celebrações e confissões do mês de março</t>
  </si>
  <si>
    <t>Padres Eudistas</t>
  </si>
  <si>
    <t>celebrações do mês de março</t>
  </si>
  <si>
    <t>Missa quarta-feira - 19:00hs</t>
  </si>
  <si>
    <t>Missa quinta-feira Lava pés</t>
  </si>
  <si>
    <t>Missa sexta-feira Adoração à Santa Cruz</t>
  </si>
  <si>
    <t>Missa sábado - Vigília Pascal</t>
  </si>
  <si>
    <t>sacola para presente padres</t>
  </si>
  <si>
    <t>Chocolom bauduco - presente padres</t>
  </si>
  <si>
    <t>Marlene e Joana Mary</t>
  </si>
  <si>
    <t>Missa Sábado 08:00Hs - Manhã Mariana</t>
  </si>
  <si>
    <t>Nágila e Consuelda</t>
  </si>
  <si>
    <t>partículas</t>
  </si>
  <si>
    <t>João Paulo e Cristiano</t>
  </si>
  <si>
    <t>Santos e Onésio</t>
  </si>
  <si>
    <t>Hector e Eduardo</t>
  </si>
  <si>
    <t>Bernardo e Cristiano</t>
  </si>
  <si>
    <t>Alaide e Marlene</t>
  </si>
  <si>
    <t>Pe Marcos não pôde celebrar</t>
  </si>
  <si>
    <t>Milena e Renata</t>
  </si>
  <si>
    <t>Pe Clériston</t>
  </si>
  <si>
    <t>Marlene e Nara</t>
  </si>
  <si>
    <t>Mês de Abril/2026</t>
  </si>
  <si>
    <t>Lidya e Nágila</t>
  </si>
  <si>
    <t>Não aceitou a espórtula</t>
  </si>
  <si>
    <t>Capela, Capela do Santíssimo e Sacristia</t>
  </si>
  <si>
    <t>Pe Eudistas</t>
  </si>
  <si>
    <t>Williams e João Paulo</t>
  </si>
  <si>
    <t>Vieira e Tiago</t>
  </si>
  <si>
    <t>Lidya e Neide</t>
  </si>
  <si>
    <t>Missa sábado - 08:00hs - Manhã Mariana</t>
  </si>
  <si>
    <t>Fortaleza Dist de Produtos Religiosos</t>
  </si>
  <si>
    <t>Taxa de entrega do vinho</t>
  </si>
  <si>
    <t>Magdala e Consuelda</t>
  </si>
  <si>
    <t>água</t>
  </si>
  <si>
    <t>Nágila e Albaniza</t>
  </si>
  <si>
    <t>Wládia e Márcia</t>
  </si>
  <si>
    <t>Frangolândia supermercados</t>
  </si>
  <si>
    <t xml:space="preserve">Pilha </t>
  </si>
  <si>
    <t>Nara e Onésio</t>
  </si>
  <si>
    <t>Missa retiro dos jovens</t>
  </si>
  <si>
    <t>Renata e Marlene</t>
  </si>
  <si>
    <t>Resumo do mês  Dez/2023 - Espórtulas</t>
  </si>
  <si>
    <t>Lidya e Oscar</t>
  </si>
  <si>
    <t>Oscar e Magdala</t>
  </si>
  <si>
    <t>Polen Com e Rep</t>
  </si>
  <si>
    <t>Bandeja inox dourado 26 x 10</t>
  </si>
  <si>
    <t>Outubro/2026</t>
  </si>
  <si>
    <t>Ano</t>
  </si>
  <si>
    <t>Participação na coroação de Nsa Senhora</t>
  </si>
  <si>
    <t>Produto</t>
  </si>
  <si>
    <t>Un</t>
  </si>
  <si>
    <t>Valor Unitário</t>
  </si>
  <si>
    <t>Valor Total</t>
  </si>
  <si>
    <t>Frangolândia Supermercados</t>
  </si>
  <si>
    <t>Wládoa e Márcia</t>
  </si>
  <si>
    <t>Papel toalha scala</t>
  </si>
  <si>
    <t>Pano scott duramax</t>
  </si>
  <si>
    <t>Tb</t>
  </si>
  <si>
    <t>Neide e Sumara</t>
  </si>
  <si>
    <t>Maria Marinho</t>
  </si>
  <si>
    <t>Limpeza capela | sacristia | capela sacrário</t>
  </si>
  <si>
    <t>pct</t>
  </si>
  <si>
    <t>Missas de Maio/2025</t>
  </si>
  <si>
    <t>cx</t>
  </si>
  <si>
    <t>* 230 Kg de sal grosso recebido</t>
  </si>
  <si>
    <t>Nayron e Albaniza</t>
  </si>
  <si>
    <t>carvão vegetal</t>
  </si>
  <si>
    <t>Pe Edilson</t>
  </si>
  <si>
    <t>* 100 Kg de sal grosso utilizado</t>
  </si>
  <si>
    <t>Tiago e Rhanieri</t>
  </si>
  <si>
    <t>* 130 Kg de sal grosso doado para RS</t>
  </si>
  <si>
    <t>Onésio e Aucilene</t>
  </si>
  <si>
    <t>Missa segunda-feira 07:00hs</t>
  </si>
  <si>
    <t>Stephanus</t>
  </si>
  <si>
    <t>garrafão 20lts</t>
  </si>
  <si>
    <t>sábado - Manhã Mariana</t>
  </si>
  <si>
    <t>Não celebrou</t>
  </si>
  <si>
    <t>Hector e Myrthes</t>
  </si>
  <si>
    <t>Confisssão - encontro Oração e Perdão - Pe Jorge</t>
  </si>
  <si>
    <t>pequenas</t>
  </si>
  <si>
    <t>1 pct de 8cm</t>
  </si>
  <si>
    <t>Lave.ponto</t>
  </si>
  <si>
    <t>diversos</t>
  </si>
  <si>
    <t>Eudistas estavam em viagem</t>
  </si>
  <si>
    <t>mês de junho/26</t>
  </si>
  <si>
    <t>Garrafão de água mineral</t>
  </si>
  <si>
    <t>Missa sábado 08:00Hs - Manhã Mariana</t>
  </si>
  <si>
    <t>Diácono Mauricio</t>
  </si>
  <si>
    <t>Missa sábado 08:00Hs - Manhã Mariana - Imposição do escapulário</t>
  </si>
  <si>
    <t>Pe Paulo Henrique</t>
  </si>
  <si>
    <t>Formação - Manhã Mariana</t>
  </si>
  <si>
    <t>Frangolância</t>
  </si>
  <si>
    <t>isqueiro</t>
  </si>
  <si>
    <t>pano scott</t>
  </si>
  <si>
    <t>Confissão dos consagrados</t>
  </si>
  <si>
    <t>Missa do Galo</t>
  </si>
  <si>
    <t>Rainhada Flores</t>
  </si>
  <si>
    <t>Dom Jânison</t>
  </si>
  <si>
    <t>Missa quinta-feira 19:00hs - Ns Sra do Carmo</t>
  </si>
  <si>
    <t>Incenso importado</t>
  </si>
  <si>
    <t>pala</t>
  </si>
  <si>
    <t>sanguineo</t>
  </si>
  <si>
    <t>Pe Augusto</t>
  </si>
  <si>
    <t>10 cm</t>
  </si>
  <si>
    <t>3 cm</t>
  </si>
  <si>
    <t>Saídas</t>
  </si>
  <si>
    <t>Resumo do mês  Jan/2024 - Espórtulas</t>
  </si>
  <si>
    <t>Espórtulas mês julho/26</t>
  </si>
  <si>
    <t>MIssa da família</t>
  </si>
  <si>
    <t>Transporte Pe Ivan</t>
  </si>
  <si>
    <t>papel hig mimmo pg1lv12</t>
  </si>
  <si>
    <t>pano limpeza scott</t>
  </si>
  <si>
    <t>papel toalha scala</t>
  </si>
  <si>
    <t>esponja louca scotch</t>
  </si>
  <si>
    <t>Lave Ponto</t>
  </si>
  <si>
    <t>Missa Quinta-feira 12:10Hs</t>
  </si>
  <si>
    <t>Missa Sexta-feira 07:00Hs</t>
  </si>
  <si>
    <t>Missa sábado - formação Manhã Mariana</t>
  </si>
  <si>
    <t>Missa segunda-feira 07:00Hs</t>
  </si>
  <si>
    <t>Fortaleza Distribuidora</t>
  </si>
  <si>
    <t>Canônico</t>
  </si>
  <si>
    <t>13 cm</t>
  </si>
  <si>
    <t>taxa de entrega</t>
  </si>
  <si>
    <t>naturágua</t>
  </si>
  <si>
    <t>Missa Quarta-feira 12:10Hs</t>
  </si>
  <si>
    <t>8 cm</t>
  </si>
  <si>
    <t>4 cm</t>
  </si>
  <si>
    <t>cast lisa 01</t>
  </si>
  <si>
    <t>cast lisa 05</t>
  </si>
  <si>
    <t>tex 7x10</t>
  </si>
  <si>
    <t>tex 7x15</t>
  </si>
  <si>
    <t>Farmácias Pague Menos</t>
  </si>
  <si>
    <t>FestPlasticos</t>
  </si>
  <si>
    <t>cristalcopo</t>
  </si>
  <si>
    <t>Óleo f. nenen</t>
  </si>
  <si>
    <t>Espórtulas de Ago/26</t>
  </si>
  <si>
    <t>Gabriel Matheus</t>
  </si>
  <si>
    <t>partículas pequenas</t>
  </si>
  <si>
    <t>servoço de entrega</t>
  </si>
  <si>
    <t>Missa Quarta-feira 18:15Hs</t>
  </si>
  <si>
    <t>magnas de 10cm</t>
  </si>
  <si>
    <t>Missa Sexta-feira 18:15Hs</t>
  </si>
  <si>
    <t xml:space="preserve">Uila Ramos </t>
  </si>
  <si>
    <t>Missa Segunda-feira 18:15Hs</t>
  </si>
  <si>
    <t>Jesus Decor</t>
  </si>
  <si>
    <t>gl fluido para vela da capela do sacrário</t>
  </si>
  <si>
    <t>Missa das famiias</t>
  </si>
  <si>
    <t>Retiro consagrados</t>
  </si>
  <si>
    <t>Lav&amp;Lev</t>
  </si>
  <si>
    <t>diversos lavanderia</t>
  </si>
  <si>
    <t>Resumo do mês  Fev2024 - Espórtulas</t>
  </si>
  <si>
    <t>Fita fixa forte extreme 24mmx2m</t>
  </si>
  <si>
    <t>espórtulas do mês de setembro/2026</t>
  </si>
  <si>
    <t>padres eudistas</t>
  </si>
  <si>
    <t>Missa sábado 08:00Hs + formação manhã Mariana</t>
  </si>
  <si>
    <t>Missa quarta-feira 18:15Hs</t>
  </si>
  <si>
    <t>Missa Segunda-feira 08:00Hs</t>
  </si>
  <si>
    <t>fornecedores</t>
  </si>
  <si>
    <t>Bispo</t>
  </si>
  <si>
    <t>Resumo do mês  Mar2024 - Espórtulas</t>
  </si>
  <si>
    <t>Missa da Misericórdia Semana Santa</t>
  </si>
  <si>
    <t>Missa da instituição da Santa Eucaristia</t>
  </si>
  <si>
    <t>Adoração a Santa Cruz</t>
  </si>
  <si>
    <t>Vírgilia Pascal</t>
  </si>
  <si>
    <t>Domingo da Ressurreição</t>
  </si>
  <si>
    <t>Resumo do mês  Abr/2024 - Espórtulas</t>
  </si>
  <si>
    <t>MIssa da famílias</t>
  </si>
  <si>
    <t>abonado por doença</t>
  </si>
  <si>
    <t>Resumo do mês  Mai/2024 - Espórtulas</t>
  </si>
  <si>
    <t>Resumo do mês  Jun/2024 - Espórtulas</t>
  </si>
  <si>
    <t>Resumo do mês  Jul/2024 - Espórtulas</t>
  </si>
  <si>
    <t>Resumo do mês  Ago/2024 - Espórtulas</t>
  </si>
  <si>
    <t>Não aceitou espórtula</t>
  </si>
  <si>
    <t>Resumo do mês  Set/2024 - Espórtulas</t>
  </si>
  <si>
    <t>missa das famílias - cancelada</t>
  </si>
  <si>
    <t>Resumo do mês  Out/2024 - Espórtulas</t>
  </si>
  <si>
    <t>MIssa Nsa Sra Aparecida</t>
  </si>
  <si>
    <t>Ésportula direto com a comunidade</t>
  </si>
  <si>
    <t>São João Paulo II</t>
  </si>
  <si>
    <t>Resumo do mês  Nov/2024 - Espórtulas</t>
  </si>
  <si>
    <t>Abertura do congresso MOB</t>
  </si>
  <si>
    <t>Missa aniversário Célia Nóbrega</t>
  </si>
  <si>
    <t>Resumo do mês  Dez/2024 - Espórtulas</t>
  </si>
  <si>
    <t>Trocou com o Monsenhor na terça</t>
  </si>
  <si>
    <t>Missa de Natal</t>
  </si>
  <si>
    <t>Resumo do mês  Jan/2025 - Espórtulas</t>
  </si>
  <si>
    <t>Linha Inical</t>
  </si>
  <si>
    <t>Linha Final</t>
  </si>
  <si>
    <t>Resumo do mês  Fev/2025 - Espórtulas</t>
  </si>
  <si>
    <t>Resumo do mês  Mar/2025 - Espórtulas</t>
  </si>
  <si>
    <t>Resumo do mês  Abr/2025 - Espórtulas</t>
  </si>
  <si>
    <t>Pagamento foi realizado pelo financeiro da comunidade</t>
  </si>
  <si>
    <t>Retiro semana Santa</t>
  </si>
  <si>
    <t>Resumo do mês  Mai/2025 - Espórtulas</t>
  </si>
  <si>
    <t>Resumo do mês  Jun/2025 - Espórtulas</t>
  </si>
  <si>
    <t>Resumo do mês  Jul/2025 - Espórtulas</t>
  </si>
  <si>
    <t>Exames de rotina</t>
  </si>
  <si>
    <t>Resumo do mês  Ago/2025 - Espórtulas</t>
  </si>
  <si>
    <t>Resumo do mês  Set/2025 - Espórtulas</t>
  </si>
  <si>
    <t>Resumo do mês  Out/2025 - Espórtulas</t>
  </si>
  <si>
    <t>Santa Terezinha</t>
  </si>
  <si>
    <t>Vocacional</t>
  </si>
  <si>
    <t>Reinauguração da capela</t>
  </si>
  <si>
    <t>Resumo do mês  Nov/2025 - Espórtulas</t>
  </si>
  <si>
    <t>Primeira Missa na Comunidade</t>
  </si>
  <si>
    <t>Resumo do mês  Dez/2025 - Espórtulas</t>
  </si>
  <si>
    <t>Maria Mãe de Deus</t>
  </si>
  <si>
    <t>Resumo do mês  Jan/2026 - Espórtulas</t>
  </si>
  <si>
    <t>Confissão manhã Mariana</t>
  </si>
  <si>
    <t>Resumo do mês  Fev/2026 - Espórtulas</t>
  </si>
  <si>
    <r>
      <rPr>
        <rFont val="Arial"/>
        <color theme="1"/>
        <sz val="10.0"/>
      </rPr>
      <t xml:space="preserve">Resumo do mês  </t>
    </r>
    <r>
      <rPr>
        <rFont val="Arial"/>
        <color rgb="FFFF0000"/>
        <sz val="10.0"/>
      </rPr>
      <t>Mar/2026</t>
    </r>
    <r>
      <rPr>
        <rFont val="Arial"/>
        <color theme="1"/>
        <sz val="10.0"/>
      </rPr>
      <t xml:space="preserve"> - Espórtulas</t>
    </r>
  </si>
  <si>
    <t>Missa - Guto</t>
  </si>
  <si>
    <r>
      <rPr>
        <rFont val="Arial"/>
        <color theme="1"/>
        <sz val="10.0"/>
      </rPr>
      <t xml:space="preserve">Resumo do mês  </t>
    </r>
    <r>
      <rPr>
        <rFont val="Arial"/>
        <color rgb="FFFF0000"/>
        <sz val="10.0"/>
      </rPr>
      <t>Abr/2026</t>
    </r>
    <r>
      <rPr>
        <rFont val="Arial"/>
        <color theme="1"/>
        <sz val="10.0"/>
      </rPr>
      <t xml:space="preserve"> - Espórtulas</t>
    </r>
  </si>
  <si>
    <t>Missa Misericórdia</t>
  </si>
  <si>
    <t>✔️</t>
  </si>
  <si>
    <t>Lava pés</t>
  </si>
  <si>
    <t>Adoração à Cruz</t>
  </si>
  <si>
    <t>vigília Pasca</t>
  </si>
  <si>
    <r>
      <rPr>
        <rFont val="Arial"/>
        <color theme="1"/>
        <sz val="10.0"/>
      </rPr>
      <t xml:space="preserve">Resumo do mês </t>
    </r>
    <r>
      <rPr>
        <rFont val="Arial"/>
        <color rgb="FFFF0000"/>
        <sz val="10.0"/>
      </rPr>
      <t>Mai/2026</t>
    </r>
    <r>
      <rPr>
        <rFont val="Arial"/>
        <color theme="1"/>
        <sz val="10.0"/>
      </rPr>
      <t xml:space="preserve"> - Espórtulas</t>
    </r>
  </si>
  <si>
    <t>FERIADO - NÃO HOUVE MISSA</t>
  </si>
  <si>
    <t>Participação na coração de Nsa Senhora</t>
  </si>
  <si>
    <r>
      <rPr>
        <rFont val="Arial"/>
        <color theme="1"/>
        <sz val="10.0"/>
      </rPr>
      <t xml:space="preserve">Resumo do mês </t>
    </r>
    <r>
      <rPr>
        <rFont val="Arial"/>
        <color rgb="FFFF0000"/>
        <sz val="10.0"/>
      </rPr>
      <t>Jun/2026</t>
    </r>
    <r>
      <rPr>
        <rFont val="Arial"/>
        <color theme="1"/>
        <sz val="10.0"/>
      </rPr>
      <t xml:space="preserve"> - Espórtulas</t>
    </r>
  </si>
  <si>
    <t>Financeiro da comunidade</t>
  </si>
  <si>
    <t>Encontro de Cura e Perdão</t>
  </si>
  <si>
    <r>
      <rPr>
        <rFont val="Arial"/>
        <color theme="1"/>
        <sz val="10.0"/>
      </rPr>
      <t xml:space="preserve">Resumo do mês </t>
    </r>
    <r>
      <rPr>
        <rFont val="Arial"/>
        <color rgb="FFFF0000"/>
        <sz val="10.0"/>
      </rPr>
      <t>Jul/2026</t>
    </r>
    <r>
      <rPr>
        <rFont val="Arial"/>
        <color theme="1"/>
        <sz val="10.0"/>
      </rPr>
      <t xml:space="preserve"> - Espórtulas</t>
    </r>
  </si>
  <si>
    <t>Imposição do escapulário - Diácono</t>
  </si>
  <si>
    <t>Conifssão dos consagrados</t>
  </si>
  <si>
    <t>Nsa Senhora do Carmo</t>
  </si>
  <si>
    <r>
      <rPr>
        <rFont val="Arial"/>
        <color theme="1"/>
        <sz val="10.0"/>
      </rPr>
      <t>Resumo do mês Ago</t>
    </r>
    <r>
      <rPr>
        <rFont val="Arial"/>
        <color rgb="FFFF0000"/>
        <sz val="10.0"/>
      </rPr>
      <t>/2026</t>
    </r>
    <r>
      <rPr>
        <rFont val="Arial"/>
        <color theme="1"/>
        <sz val="10.0"/>
      </rPr>
      <t xml:space="preserve"> - Espórtulas</t>
    </r>
  </si>
  <si>
    <r>
      <rPr>
        <rFont val="Arial"/>
        <color theme="1"/>
        <sz val="10.0"/>
      </rPr>
      <t>Resumo do mês Set</t>
    </r>
    <r>
      <rPr>
        <rFont val="Arial"/>
        <color rgb="FFFF0000"/>
        <sz val="10.0"/>
      </rPr>
      <t>/2026</t>
    </r>
    <r>
      <rPr>
        <rFont val="Arial"/>
        <color theme="1"/>
        <sz val="10.0"/>
      </rPr>
      <t xml:space="preserve"> - Espórtulas</t>
    </r>
  </si>
  <si>
    <r>
      <rPr>
        <rFont val="Arial"/>
        <color theme="1"/>
        <sz val="10.0"/>
      </rPr>
      <t>Resumo do mês Out</t>
    </r>
    <r>
      <rPr>
        <rFont val="Arial"/>
        <color rgb="FFFF0000"/>
        <sz val="10.0"/>
      </rPr>
      <t>/2026</t>
    </r>
    <r>
      <rPr>
        <rFont val="Arial"/>
        <color theme="1"/>
        <sz val="10.0"/>
      </rPr>
      <t xml:space="preserve"> - Espórtulas</t>
    </r>
  </si>
  <si>
    <t>Pe Edilson não aceitou a espórtula</t>
  </si>
  <si>
    <t>Confirmar com o sr. Vieira</t>
  </si>
  <si>
    <t>CONGRESSO DA FAMILIA</t>
  </si>
  <si>
    <t>VOCACIONAL</t>
  </si>
  <si>
    <t>CONSGRADOS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</si>
</sst>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d/MM/yyyy"/>
    <numFmt numFmtId="165" formatCode="#,##0.00;(#,##0.00)"/>
    <numFmt numFmtId="166" formatCode="dd/mm/yyyy"/>
    <numFmt numFmtId="167" formatCode="[$R$ -416]#,##0.00"/>
    <numFmt numFmtId="168" formatCode="dd"/>
    <numFmt numFmtId="169" formatCode="dddd"/>
    <numFmt numFmtId="170" formatCode="yyyy/m"/>
    <numFmt numFmtId="171" formatCode="[hh]&quot;:&quot;mm"/>
    <numFmt numFmtId="172" formatCode="mmmm/d"/>
    <numFmt numFmtId="173" formatCode="yyyy/mm"/>
    <numFmt numFmtId="174" formatCode="mm&quot;/&quot;yyyy"/>
    <numFmt numFmtId="175" formatCode="#,##0.00;-#,##0.00"/>
    <numFmt numFmtId="176" formatCode="hh:mm"/>
  </numFmts>
  <fonts count="68">
    <font>
      <sz val="11.0"/>
      <color theme="1"/>
      <name val="Arial"/>
      <scheme val="minor"/>
    </font>
    <font>
      <color rgb="FF000000"/>
      <name val="Arial"/>
    </font>
    <font>
      <sz val="7.0"/>
      <color theme="1"/>
      <name val="Arial"/>
    </font>
    <font>
      <sz val="14.0"/>
      <color theme="1"/>
      <name val="Arial"/>
    </font>
    <font>
      <sz val="12.0"/>
      <color theme="1"/>
      <name val="Arial"/>
    </font>
    <font>
      <color theme="1"/>
      <name val="Arial"/>
    </font>
    <font>
      <b/>
      <sz val="14.0"/>
      <color theme="1"/>
      <name val="Arial"/>
    </font>
    <font/>
    <font>
      <sz val="10.0"/>
      <color theme="1"/>
      <name val="Arial"/>
    </font>
    <font>
      <sz val="8.0"/>
      <color theme="1"/>
      <name val="Arial"/>
    </font>
    <font>
      <sz val="9.0"/>
      <color theme="1"/>
      <name val="Arial"/>
    </font>
    <font>
      <sz val="11.0"/>
      <color theme="1"/>
      <name val="Calibri"/>
    </font>
    <font>
      <b/>
      <sz val="15.0"/>
      <color rgb="FF1F1F1F"/>
      <name val="&quot;Google Sans&quot;"/>
    </font>
    <font>
      <sz val="13.0"/>
      <color theme="1"/>
      <name val="Arial"/>
    </font>
    <font>
      <sz val="12.0"/>
      <color rgb="FFFFFFFF"/>
      <name val="Arial"/>
    </font>
    <font>
      <sz val="10.0"/>
      <color rgb="FFFFFFFF"/>
      <name val="Arial"/>
    </font>
    <font>
      <b/>
      <sz val="13.0"/>
      <color rgb="FFFFFFFF"/>
      <name val="Arial"/>
      <scheme val="minor"/>
    </font>
    <font>
      <b/>
      <sz val="15.0"/>
      <color theme="1"/>
      <name val="Arial"/>
    </font>
    <font>
      <sz val="15.0"/>
      <color theme="1"/>
      <name val="Arial"/>
    </font>
    <font>
      <color theme="1"/>
      <name val="Arial"/>
      <scheme val="minor"/>
    </font>
    <font>
      <sz val="12.0"/>
      <color rgb="FF000000"/>
      <name val="-webkit-standard"/>
    </font>
    <font>
      <sz val="10.0"/>
      <color rgb="FF0000FF"/>
      <name val="Arial"/>
    </font>
    <font>
      <color rgb="FFFFFFFF"/>
      <name val="Arial"/>
      <scheme val="minor"/>
    </font>
    <font>
      <sz val="9.0"/>
      <color rgb="FF000000"/>
      <name val="Arial"/>
    </font>
    <font>
      <sz val="10.0"/>
      <color rgb="FFFF0000"/>
      <name val="Arial"/>
    </font>
    <font>
      <color rgb="FF0000FF"/>
      <name val="Arial"/>
      <scheme val="minor"/>
    </font>
    <font>
      <sz val="9.0"/>
      <color rgb="FFFF0000"/>
      <name val="Arial"/>
    </font>
    <font>
      <sz val="9.0"/>
      <color rgb="FF1155CC"/>
      <name val="Arial"/>
    </font>
    <font>
      <sz val="10.0"/>
      <color rgb="FF000000"/>
      <name val="Arial"/>
    </font>
    <font>
      <sz val="11.0"/>
      <color theme="1"/>
      <name val="Arial"/>
    </font>
    <font>
      <sz val="9.0"/>
      <color rgb="FFE69138"/>
      <name val="Arial"/>
    </font>
    <font>
      <i/>
      <color theme="1"/>
      <name val="Arial"/>
    </font>
    <font>
      <sz val="10.0"/>
      <color theme="1"/>
      <name val="Arial"/>
      <scheme val="minor"/>
    </font>
    <font>
      <sz val="12.0"/>
      <color rgb="FF000000"/>
      <name val="Arial"/>
    </font>
    <font>
      <b/>
      <sz val="12.0"/>
      <color rgb="FF000000"/>
      <name val="Arial"/>
    </font>
    <font>
      <sz val="9.0"/>
      <color rgb="FF1F1F1F"/>
      <name val="Arial"/>
    </font>
    <font>
      <sz val="10.0"/>
      <color rgb="FFFF0000"/>
      <name val="Arial"/>
      <scheme val="minor"/>
    </font>
    <font>
      <b/>
      <sz val="15.0"/>
      <color rgb="FFFFFFFF"/>
      <name val="Arial"/>
      <scheme val="minor"/>
    </font>
    <font>
      <sz val="9.0"/>
      <color theme="1"/>
      <name val="Arial"/>
      <scheme val="minor"/>
    </font>
    <font>
      <sz val="9.0"/>
      <color rgb="FFFFFFFF"/>
      <name val="Arial"/>
      <scheme val="minor"/>
    </font>
    <font>
      <b/>
      <sz val="9.0"/>
      <color theme="1"/>
      <name val="Arial"/>
      <scheme val="minor"/>
    </font>
    <font>
      <sz val="8.0"/>
      <color theme="1"/>
      <name val="Arial"/>
      <scheme val="minor"/>
    </font>
    <font>
      <sz val="8.0"/>
      <color rgb="FF000000"/>
      <name val="Arial"/>
      <scheme val="minor"/>
    </font>
    <font>
      <sz val="8.0"/>
      <color rgb="FF0000FF"/>
      <name val="Arial"/>
      <scheme val="minor"/>
    </font>
    <font>
      <sz val="8.0"/>
      <color rgb="FFCC0000"/>
      <name val="Arial"/>
      <scheme val="minor"/>
    </font>
    <font>
      <sz val="9.0"/>
      <color rgb="FFFF0000"/>
      <name val="Arial"/>
      <scheme val="minor"/>
    </font>
    <font>
      <sz val="9.0"/>
      <color rgb="FF0000FF"/>
      <name val="Arial"/>
      <scheme val="minor"/>
    </font>
    <font>
      <sz val="9.0"/>
      <color rgb="FFCC0000"/>
      <name val="Arial"/>
      <scheme val="minor"/>
    </font>
    <font>
      <b/>
      <sz val="16.0"/>
      <color rgb="FFCC4125"/>
      <name val="&quot;Google Sans Mono&quot;"/>
    </font>
    <font>
      <sz val="24.0"/>
      <color rgb="FF1F1F1F"/>
      <name val="&quot;Google Sans&quot;"/>
    </font>
    <font>
      <b/>
      <sz val="12.0"/>
      <color rgb="FFFFFFFF"/>
      <name val="Arial"/>
    </font>
    <font>
      <sz val="12.0"/>
      <color rgb="FFFF0000"/>
      <name val="Arial"/>
    </font>
    <font>
      <b/>
      <sz val="12.0"/>
      <color rgb="FFFFFFFF"/>
      <name val="Arial"/>
      <scheme val="minor"/>
    </font>
    <font>
      <sz val="10.0"/>
      <color rgb="FFFFFFFF"/>
      <name val="Arial"/>
      <scheme val="minor"/>
    </font>
    <font>
      <color rgb="FFB7B7B7"/>
      <name val="Arial"/>
      <scheme val="minor"/>
    </font>
    <font>
      <b/>
      <sz val="11.0"/>
      <color rgb="FF38761D"/>
      <name val="Arial"/>
    </font>
    <font>
      <b/>
      <color rgb="FF1155CC"/>
      <name val="Arial"/>
      <scheme val="minor"/>
    </font>
    <font>
      <sz val="7.0"/>
      <color rgb="FFFF0000"/>
      <name val="Arial"/>
    </font>
    <font>
      <sz val="10.0"/>
      <color rgb="FF434343"/>
      <name val="Roboto"/>
    </font>
    <font>
      <b/>
      <color theme="1"/>
      <name val="Arial"/>
      <scheme val="minor"/>
    </font>
    <font>
      <sz val="11.0"/>
      <color rgb="FF1F1F1F"/>
      <name val="&quot;Google Sans&quot;"/>
    </font>
    <font>
      <sz val="9.0"/>
      <color rgb="FF000000"/>
      <name val="Arial"/>
      <scheme val="minor"/>
    </font>
    <font>
      <sz val="8.0"/>
      <color rgb="FFFF0000"/>
      <name val="Arial"/>
      <scheme val="minor"/>
    </font>
    <font>
      <sz val="10.0"/>
      <color rgb="FF1155CC"/>
      <name val="Arial"/>
    </font>
    <font>
      <color rgb="FF38761D"/>
      <name val="Arial"/>
    </font>
    <font>
      <b/>
      <sz val="10.0"/>
      <color theme="1"/>
      <name val="Arial"/>
    </font>
    <font>
      <sz val="10.0"/>
      <color rgb="FFFFD966"/>
      <name val="Arial"/>
    </font>
    <font>
      <color rgb="FF434343"/>
      <name val="Roboto"/>
    </font>
  </fonts>
  <fills count="29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3D85C6"/>
        <bgColor rgb="FF3D85C6"/>
      </patternFill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3C78D8"/>
        <bgColor rgb="FF3C78D8"/>
      </patternFill>
    </fill>
    <fill>
      <patternFill patternType="solid">
        <fgColor rgb="FF0B5394"/>
        <bgColor rgb="FF0B5394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C0000"/>
        <bgColor rgb="FFCC0000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6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5" numFmtId="0" xfId="0" applyFont="1"/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/>
    </xf>
    <xf borderId="3" fillId="0" fontId="7" numFmtId="0" xfId="0" applyBorder="1" applyFont="1"/>
    <xf borderId="1" fillId="2" fontId="8" numFmtId="0" xfId="0" applyAlignment="1" applyBorder="1" applyFill="1" applyFont="1">
      <alignment horizontal="center" readingOrder="0" vertical="center"/>
    </xf>
    <xf borderId="1" fillId="2" fontId="8" numFmtId="0" xfId="0" applyAlignment="1" applyBorder="1" applyFill="1" applyFont="1">
      <alignment horizontal="center" vertical="center"/>
    </xf>
    <xf borderId="1" fillId="3" fontId="8" numFmtId="0" xfId="0" applyAlignment="1" applyBorder="1" applyFill="1" applyFont="1">
      <alignment horizontal="center" vertical="center"/>
    </xf>
    <xf borderId="1" fillId="4" fontId="9" numFmtId="0" xfId="0" applyAlignment="1" applyBorder="1" applyFill="1" applyFont="1">
      <alignment horizontal="center" readingOrder="0" vertical="center"/>
    </xf>
    <xf borderId="4" fillId="5" fontId="10" numFmtId="0" xfId="0" applyAlignment="1" applyBorder="1" applyFill="1" applyFont="1">
      <alignment readingOrder="0" vertical="center"/>
    </xf>
    <xf quotePrefix="1" borderId="2" fillId="6" fontId="4" numFmtId="0" xfId="0" applyAlignment="1" applyBorder="1" applyFill="1" applyFont="1">
      <alignment horizontal="center" readingOrder="0" vertical="center"/>
    </xf>
    <xf borderId="0" fillId="0" fontId="11" numFmtId="0" xfId="0" applyAlignment="1" applyFont="1">
      <alignment horizontal="center" vertical="center"/>
    </xf>
    <xf quotePrefix="1" borderId="2" fillId="0" fontId="8" numFmtId="0" xfId="0" applyAlignment="1" applyBorder="1" applyFont="1">
      <alignment horizontal="center" readingOrder="0" vertical="center"/>
    </xf>
    <xf quotePrefix="1" borderId="2" fillId="3" fontId="8" numFmtId="0" xfId="0" applyAlignment="1" applyBorder="1" applyFill="1" applyFont="1">
      <alignment horizontal="center" readingOrder="0" vertical="center"/>
    </xf>
    <xf quotePrefix="1" borderId="2" fillId="7" fontId="8" numFmtId="0" xfId="0" applyAlignment="1" applyBorder="1" applyFill="1" applyFont="1">
      <alignment horizontal="center" readingOrder="0" vertical="center"/>
    </xf>
    <xf quotePrefix="1" borderId="5" fillId="8" fontId="12" numFmtId="0" xfId="0" applyAlignment="1" applyBorder="1" applyFill="1" applyFont="1">
      <alignment readingOrder="0"/>
    </xf>
    <xf borderId="6" fillId="0" fontId="7" numFmtId="0" xfId="0" applyBorder="1" applyFont="1"/>
    <xf borderId="7" fillId="0" fontId="7" numFmtId="0" xfId="0" applyBorder="1" applyFont="1"/>
    <xf quotePrefix="1" borderId="2" fillId="6" fontId="8" numFmtId="0" xfId="0" applyAlignment="1" applyBorder="1" applyFill="1" applyFont="1">
      <alignment horizontal="center" readingOrder="0" vertical="center"/>
    </xf>
    <xf borderId="8" fillId="0" fontId="13" numFmtId="0" xfId="0" applyAlignment="1" applyBorder="1" applyFont="1">
      <alignment horizontal="center" readingOrder="0"/>
    </xf>
    <xf quotePrefix="1" borderId="3" fillId="0" fontId="10" numFmtId="0" xfId="0" applyAlignment="1" applyBorder="1" applyFont="1">
      <alignment readingOrder="0"/>
    </xf>
    <xf borderId="9" fillId="0" fontId="7" numFmtId="0" xfId="0" applyBorder="1" applyFont="1"/>
    <xf borderId="4" fillId="0" fontId="7" numFmtId="0" xfId="0" applyBorder="1" applyFont="1"/>
    <xf borderId="3" fillId="0" fontId="10" numFmtId="164" xfId="0" applyBorder="1" applyFont="1" applyNumberFormat="1"/>
    <xf borderId="3" fillId="0" fontId="10" numFmtId="0" xfId="0" applyAlignment="1" applyBorder="1" applyFont="1">
      <alignment readingOrder="0" vertical="center"/>
    </xf>
    <xf borderId="2" fillId="5" fontId="14" numFmtId="165" xfId="0" applyAlignment="1" applyBorder="1" applyFill="1" applyFont="1" applyNumberFormat="1">
      <alignment readingOrder="0" vertical="center"/>
    </xf>
    <xf borderId="3" fillId="0" fontId="10" numFmtId="0" xfId="0" applyAlignment="1" applyBorder="1" applyFont="1">
      <alignment horizontal="right" readingOrder="0"/>
    </xf>
    <xf borderId="0" fillId="0" fontId="14" numFmtId="165" xfId="0" applyAlignment="1" applyFont="1" applyNumberFormat="1">
      <alignment readingOrder="0" vertical="center"/>
    </xf>
    <xf borderId="3" fillId="0" fontId="10" numFmtId="4" xfId="0" applyAlignment="1" applyBorder="1" applyFont="1" applyNumberFormat="1">
      <alignment horizontal="right" readingOrder="0"/>
    </xf>
    <xf borderId="3" fillId="0" fontId="2" numFmtId="0" xfId="0" applyAlignment="1" applyBorder="1" applyFont="1">
      <alignment readingOrder="0"/>
    </xf>
    <xf borderId="2" fillId="9" fontId="15" numFmtId="165" xfId="0" applyAlignment="1" applyBorder="1" applyFill="1" applyFont="1" applyNumberFormat="1">
      <alignment readingOrder="0" vertical="center"/>
    </xf>
    <xf borderId="3" fillId="0" fontId="10" numFmtId="0" xfId="0" applyBorder="1" applyFont="1"/>
    <xf borderId="3" fillId="0" fontId="10" numFmtId="0" xfId="0" applyAlignment="1" applyBorder="1" applyFont="1">
      <alignment readingOrder="0"/>
    </xf>
    <xf quotePrefix="1" borderId="2" fillId="0" fontId="10" numFmtId="0" xfId="0" applyAlignment="1" applyBorder="1" applyFont="1">
      <alignment readingOrder="0"/>
    </xf>
    <xf borderId="2" fillId="0" fontId="10" numFmtId="164" xfId="0" applyBorder="1" applyFont="1" applyNumberFormat="1"/>
    <xf borderId="2" fillId="0" fontId="10" numFmtId="0" xfId="0" applyAlignment="1" applyBorder="1" applyFont="1">
      <alignment readingOrder="0" vertical="center"/>
    </xf>
    <xf borderId="2" fillId="0" fontId="10" numFmtId="0" xfId="0" applyAlignment="1" applyBorder="1" applyFont="1">
      <alignment readingOrder="0"/>
    </xf>
    <xf borderId="2" fillId="0" fontId="10" numFmtId="4" xfId="0" applyAlignment="1" applyBorder="1" applyFont="1" applyNumberFormat="1">
      <alignment readingOrder="0"/>
    </xf>
    <xf borderId="2" fillId="0" fontId="2" numFmtId="0" xfId="0" applyAlignment="1" applyBorder="1" applyFont="1">
      <alignment readingOrder="0"/>
    </xf>
    <xf borderId="2" fillId="0" fontId="10" numFmtId="166" xfId="0" applyAlignment="1" applyBorder="1" applyFont="1" applyNumberFormat="1">
      <alignment readingOrder="0"/>
    </xf>
    <xf borderId="2" fillId="0" fontId="10" numFmtId="0" xfId="0" applyBorder="1" applyFont="1"/>
    <xf borderId="0" fillId="0" fontId="16" numFmtId="167" xfId="0" applyFont="1" applyNumberFormat="1"/>
    <xf borderId="2" fillId="0" fontId="10" numFmtId="4" xfId="0" applyBorder="1" applyFont="1" applyNumberFormat="1"/>
    <xf borderId="0" fillId="0" fontId="5" numFmtId="0" xfId="0" applyAlignment="1" applyFont="1">
      <alignment readingOrder="0"/>
    </xf>
    <xf borderId="0" fillId="0" fontId="5" numFmtId="165" xfId="0" applyFont="1" applyNumberFormat="1"/>
    <xf borderId="0" fillId="0" fontId="8" numFmtId="0" xfId="0" applyFont="1"/>
    <xf borderId="1" fillId="0" fontId="10" numFmtId="4" xfId="0" applyAlignment="1" applyBorder="1" applyFont="1" applyNumberFormat="1">
      <alignment vertical="center"/>
    </xf>
    <xf borderId="1" fillId="0" fontId="2" numFmtId="0" xfId="0" applyAlignment="1" applyBorder="1" applyFont="1">
      <alignment readingOrder="0" vertical="center"/>
    </xf>
    <xf borderId="1" fillId="0" fontId="10" numFmtId="0" xfId="0" applyAlignment="1" applyBorder="1" applyFont="1">
      <alignment readingOrder="0" vertical="center"/>
    </xf>
    <xf borderId="0" fillId="0" fontId="8" numFmtId="165" xfId="0" applyFont="1" applyNumberFormat="1"/>
    <xf borderId="0" fillId="0" fontId="16" numFmtId="167" xfId="0" applyAlignment="1" applyFont="1" applyNumberFormat="1">
      <alignment readingOrder="0"/>
    </xf>
    <xf quotePrefix="1" borderId="2" fillId="0" fontId="5" numFmtId="0" xfId="0" applyAlignment="1" applyBorder="1" applyFont="1">
      <alignment readingOrder="0"/>
    </xf>
    <xf borderId="10" fillId="0" fontId="7" numFmtId="0" xfId="0" applyBorder="1" applyFont="1"/>
    <xf borderId="2" fillId="0" fontId="13" numFmtId="0" xfId="0" applyAlignment="1" applyBorder="1" applyFont="1">
      <alignment readingOrder="0"/>
    </xf>
    <xf borderId="8" fillId="0" fontId="13" numFmtId="0" xfId="0" applyAlignment="1" applyBorder="1" applyFont="1">
      <alignment readingOrder="0"/>
    </xf>
    <xf borderId="0" fillId="0" fontId="14" numFmtId="167" xfId="0" applyAlignment="1" applyFont="1" applyNumberFormat="1">
      <alignment vertical="center"/>
    </xf>
    <xf borderId="1" fillId="0" fontId="2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2" fillId="9" fontId="15" numFmtId="167" xfId="0" applyAlignment="1" applyBorder="1" applyFill="1" applyFont="1" applyNumberFormat="1">
      <alignment vertical="center"/>
    </xf>
    <xf borderId="5" fillId="3" fontId="17" numFmtId="0" xfId="0" applyAlignment="1" applyBorder="1" applyFill="1" applyFont="1">
      <alignment horizontal="left" readingOrder="0" vertical="center"/>
    </xf>
    <xf borderId="2" fillId="0" fontId="10" numFmtId="164" xfId="0" applyAlignment="1" applyBorder="1" applyFont="1" applyNumberFormat="1">
      <alignment readingOrder="0"/>
    </xf>
    <xf borderId="2" fillId="0" fontId="10" numFmtId="0" xfId="0" applyAlignment="1" applyBorder="1" applyFont="1">
      <alignment horizontal="right" readingOrder="0"/>
    </xf>
    <xf borderId="11" fillId="0" fontId="18" numFmtId="0" xfId="0" applyAlignment="1" applyBorder="1" applyFont="1">
      <alignment horizontal="left" readingOrder="0" vertical="center"/>
    </xf>
    <xf borderId="2" fillId="0" fontId="10" numFmtId="4" xfId="0" applyAlignment="1" applyBorder="1" applyFont="1" applyNumberFormat="1">
      <alignment horizontal="right" readingOrder="0"/>
    </xf>
    <xf borderId="0" fillId="4" fontId="8" numFmtId="0" xfId="0" applyAlignment="1" applyFill="1" applyFont="1">
      <alignment horizontal="center" readingOrder="0" vertical="center"/>
    </xf>
    <xf borderId="2" fillId="0" fontId="2" numFmtId="0" xfId="0" applyBorder="1" applyFont="1"/>
    <xf borderId="12" fillId="4" fontId="8" numFmtId="0" xfId="0" applyAlignment="1" applyBorder="1" applyFill="1" applyFont="1">
      <alignment horizontal="center" readingOrder="0" vertical="center"/>
    </xf>
    <xf borderId="13" fillId="0" fontId="7" numFmtId="0" xfId="0" applyBorder="1" applyFont="1"/>
    <xf borderId="14" fillId="0" fontId="7" numFmtId="0" xfId="0" applyBorder="1" applyFont="1"/>
    <xf borderId="0" fillId="6" fontId="16" numFmtId="167" xfId="0" applyAlignment="1" applyFill="1" applyFont="1" applyNumberFormat="1">
      <alignment readingOrder="0"/>
    </xf>
    <xf borderId="0" fillId="6" fontId="19" numFmtId="0" xfId="0" applyFill="1" applyFont="1"/>
    <xf borderId="3" fillId="10" fontId="8" numFmtId="0" xfId="0" applyAlignment="1" applyBorder="1" applyFill="1" applyFont="1">
      <alignment horizontal="center" vertical="center"/>
    </xf>
    <xf borderId="3" fillId="10" fontId="8" numFmtId="0" xfId="0" applyAlignment="1" applyBorder="1" applyFill="1" applyFont="1">
      <alignment horizontal="center" readingOrder="0" vertical="center"/>
    </xf>
    <xf borderId="1" fillId="0" fontId="10" numFmtId="0" xfId="0" applyAlignment="1" applyBorder="1" applyFont="1">
      <alignment horizontal="center" readingOrder="0" textRotation="90" vertical="center"/>
    </xf>
    <xf borderId="8" fillId="0" fontId="5" numFmtId="0" xfId="0" applyAlignment="1" applyBorder="1" applyFont="1">
      <alignment readingOrder="0"/>
    </xf>
    <xf borderId="2" fillId="10" fontId="8" numFmtId="0" xfId="0" applyAlignment="1" applyBorder="1" applyFill="1" applyFont="1">
      <alignment horizontal="center" vertical="center"/>
    </xf>
    <xf borderId="2" fillId="11" fontId="5" numFmtId="165" xfId="0" applyAlignment="1" applyBorder="1" applyFill="1" applyFont="1" applyNumberFormat="1">
      <alignment readingOrder="0"/>
    </xf>
    <xf borderId="0" fillId="0" fontId="5" numFmtId="165" xfId="0" applyAlignment="1" applyFont="1" applyNumberFormat="1">
      <alignment readingOrder="0"/>
    </xf>
    <xf borderId="2" fillId="10" fontId="8" numFmtId="0" xfId="0" applyAlignment="1" applyBorder="1" applyFill="1" applyFont="1">
      <alignment horizontal="center" readingOrder="0" vertical="center"/>
    </xf>
    <xf borderId="2" fillId="12" fontId="8" numFmtId="165" xfId="0" applyAlignment="1" applyBorder="1" applyFill="1" applyFont="1" applyNumberFormat="1">
      <alignment readingOrder="0"/>
    </xf>
    <xf borderId="2" fillId="0" fontId="8" numFmtId="168" xfId="0" applyAlignment="1" applyBorder="1" applyFont="1" applyNumberFormat="1">
      <alignment horizontal="center" readingOrder="0"/>
    </xf>
    <xf borderId="1" fillId="0" fontId="10" numFmtId="4" xfId="0" applyAlignment="1" applyBorder="1" applyFont="1" applyNumberFormat="1">
      <alignment readingOrder="0" vertical="center"/>
    </xf>
    <xf borderId="2" fillId="0" fontId="8" numFmtId="169" xfId="0" applyAlignment="1" applyBorder="1" applyFont="1" applyNumberFormat="1">
      <alignment horizontal="center"/>
    </xf>
    <xf borderId="1" fillId="0" fontId="2" numFmtId="0" xfId="0" applyAlignment="1" applyBorder="1" applyFont="1">
      <alignment readingOrder="0"/>
    </xf>
    <xf borderId="2" fillId="0" fontId="8" numFmtId="0" xfId="0" applyBorder="1" applyFont="1"/>
    <xf borderId="2" fillId="0" fontId="8" numFmtId="0" xfId="0" applyAlignment="1" applyBorder="1" applyFont="1">
      <alignment readingOrder="0"/>
    </xf>
    <xf borderId="2" fillId="0" fontId="8" numFmtId="4" xfId="0" applyBorder="1" applyFont="1" applyNumberFormat="1"/>
    <xf borderId="2" fillId="0" fontId="8" numFmtId="4" xfId="0" applyAlignment="1" applyBorder="1" applyFont="1" applyNumberFormat="1">
      <alignment readingOrder="0"/>
    </xf>
    <xf borderId="2" fillId="0" fontId="8" numFmtId="0" xfId="0" applyAlignment="1" applyBorder="1" applyFont="1">
      <alignment horizontal="center" readingOrder="0"/>
    </xf>
    <xf borderId="2" fillId="0" fontId="8" numFmtId="168" xfId="0" applyAlignment="1" applyBorder="1" applyFont="1" applyNumberFormat="1">
      <alignment horizontal="center"/>
    </xf>
    <xf borderId="1" fillId="0" fontId="8" numFmtId="168" xfId="0" applyAlignment="1" applyBorder="1" applyFont="1" applyNumberFormat="1">
      <alignment horizontal="center" vertical="center"/>
    </xf>
    <xf borderId="1" fillId="0" fontId="8" numFmtId="169" xfId="0" applyAlignment="1" applyBorder="1" applyFont="1" applyNumberFormat="1">
      <alignment horizontal="center" vertical="center"/>
    </xf>
    <xf borderId="2" fillId="13" fontId="8" numFmtId="0" xfId="0" applyBorder="1" applyFill="1" applyFont="1"/>
    <xf borderId="2" fillId="13" fontId="8" numFmtId="4" xfId="0" applyAlignment="1" applyBorder="1" applyFill="1" applyFont="1" applyNumberFormat="1">
      <alignment readingOrder="0"/>
    </xf>
    <xf borderId="2" fillId="13" fontId="8" numFmtId="0" xfId="0" applyAlignment="1" applyBorder="1" applyFill="1" applyFont="1">
      <alignment readingOrder="0"/>
    </xf>
    <xf borderId="2" fillId="13" fontId="8" numFmtId="0" xfId="0" applyAlignment="1" applyBorder="1" applyFill="1" applyFont="1">
      <alignment horizontal="center" readingOrder="0" vertical="center"/>
    </xf>
    <xf borderId="1" fillId="0" fontId="8" numFmtId="168" xfId="0" applyAlignment="1" applyBorder="1" applyFont="1" applyNumberFormat="1">
      <alignment horizontal="center" readingOrder="0" vertical="center"/>
    </xf>
    <xf borderId="0" fillId="0" fontId="20" numFmtId="165" xfId="0" applyFont="1" applyNumberFormat="1"/>
    <xf borderId="2" fillId="12" fontId="8" numFmtId="165" xfId="0" applyBorder="1" applyFill="1" applyFont="1" applyNumberFormat="1"/>
    <xf borderId="15" fillId="0" fontId="21" numFmtId="0" xfId="0" applyAlignment="1" applyBorder="1" applyFont="1">
      <alignment horizontal="center" readingOrder="0"/>
    </xf>
    <xf borderId="1" fillId="0" fontId="2" numFmtId="0" xfId="0" applyBorder="1" applyFont="1"/>
    <xf borderId="16" fillId="0" fontId="7" numFmtId="0" xfId="0" applyBorder="1" applyFont="1"/>
    <xf borderId="8" fillId="10" fontId="8" numFmtId="0" xfId="0" applyAlignment="1" applyBorder="1" applyFill="1" applyFont="1">
      <alignment horizontal="center" readingOrder="0"/>
    </xf>
    <xf borderId="9" fillId="10" fontId="8" numFmtId="0" xfId="0" applyAlignment="1" applyBorder="1" applyFill="1" applyFont="1">
      <alignment horizontal="center" readingOrder="0"/>
    </xf>
    <xf borderId="1" fillId="0" fontId="21" numFmtId="4" xfId="0" applyBorder="1" applyFont="1" applyNumberFormat="1"/>
    <xf borderId="15" fillId="0" fontId="2" numFmtId="0" xfId="0" applyBorder="1" applyFont="1"/>
    <xf borderId="17" fillId="0" fontId="7" numFmtId="0" xfId="0" applyBorder="1" applyFont="1"/>
    <xf borderId="2" fillId="14" fontId="15" numFmtId="4" xfId="0" applyBorder="1" applyFill="1" applyFont="1" applyNumberFormat="1"/>
    <xf borderId="2" fillId="10" fontId="8" numFmtId="0" xfId="0" applyBorder="1" applyFill="1" applyFont="1"/>
    <xf borderId="3" fillId="0" fontId="10" numFmtId="166" xfId="0" applyAlignment="1" applyBorder="1" applyFont="1" applyNumberFormat="1">
      <alignment readingOrder="0"/>
    </xf>
    <xf borderId="3" fillId="0" fontId="10" numFmtId="4" xfId="0" applyAlignment="1" applyBorder="1" applyFont="1" applyNumberFormat="1">
      <alignment readingOrder="0"/>
    </xf>
    <xf borderId="8" fillId="12" fontId="21" numFmtId="0" xfId="0" applyAlignment="1" applyBorder="1" applyFill="1" applyFont="1">
      <alignment horizontal="center" readingOrder="0"/>
    </xf>
    <xf borderId="2" fillId="12" fontId="21" numFmtId="4" xfId="0" applyBorder="1" applyFill="1" applyFont="1" applyNumberFormat="1"/>
    <xf borderId="8" fillId="12" fontId="21" numFmtId="0" xfId="0" applyBorder="1" applyFill="1" applyFont="1"/>
    <xf borderId="0" fillId="0" fontId="22" numFmtId="0" xfId="0" applyFont="1"/>
    <xf borderId="2" fillId="0" fontId="10" numFmtId="4" xfId="0" applyAlignment="1" applyBorder="1" applyFont="1" applyNumberFormat="1">
      <alignment readingOrder="0" vertical="center"/>
    </xf>
    <xf quotePrefix="1" borderId="5" fillId="3" fontId="17" numFmtId="0" xfId="0" applyAlignment="1" applyBorder="1" applyFill="1" applyFont="1">
      <alignment horizontal="left" readingOrder="0" vertical="center"/>
    </xf>
    <xf borderId="2" fillId="0" fontId="5" numFmtId="0" xfId="0" applyAlignment="1" applyBorder="1" applyFont="1">
      <alignment readingOrder="0"/>
    </xf>
    <xf borderId="0" fillId="0" fontId="18" numFmtId="0" xfId="0" applyAlignment="1" applyFont="1">
      <alignment horizontal="left" readingOrder="0" vertical="center"/>
    </xf>
    <xf borderId="2" fillId="0" fontId="8" numFmtId="168" xfId="0" applyAlignment="1" applyBorder="1" applyFont="1" applyNumberFormat="1">
      <alignment horizontal="center" readingOrder="0" vertical="center"/>
    </xf>
    <xf borderId="2" fillId="0" fontId="8" numFmtId="169" xfId="0" applyAlignment="1" applyBorder="1" applyFont="1" applyNumberFormat="1">
      <alignment horizontal="center" vertical="center"/>
    </xf>
    <xf borderId="2" fillId="0" fontId="8" numFmtId="0" xfId="0" applyAlignment="1" applyBorder="1" applyFont="1">
      <alignment vertical="center"/>
    </xf>
    <xf borderId="0" fillId="15" fontId="23" numFmtId="0" xfId="0" applyAlignment="1" applyFill="1" applyFont="1">
      <alignment horizontal="left" readingOrder="0"/>
    </xf>
    <xf borderId="2" fillId="0" fontId="8" numFmtId="0" xfId="0" applyAlignment="1" applyBorder="1" applyFont="1">
      <alignment readingOrder="0" vertical="center"/>
    </xf>
    <xf borderId="2" fillId="0" fontId="8" numFmtId="4" xfId="0" applyAlignment="1" applyBorder="1" applyFont="1" applyNumberFormat="1">
      <alignment readingOrder="0" vertical="center"/>
    </xf>
    <xf quotePrefix="1" borderId="2" fillId="0" fontId="10" numFmtId="0" xfId="0" applyAlignment="1" applyBorder="1" applyFont="1">
      <alignment readingOrder="0" vertical="center"/>
    </xf>
    <xf borderId="2" fillId="0" fontId="10" numFmtId="166" xfId="0" applyAlignment="1" applyBorder="1" applyFont="1" applyNumberFormat="1">
      <alignment readingOrder="0" vertical="center"/>
    </xf>
    <xf borderId="2" fillId="0" fontId="2" numFmtId="0" xfId="0" applyAlignment="1" applyBorder="1" applyFont="1">
      <alignment readingOrder="0" vertical="center"/>
    </xf>
    <xf quotePrefix="1" borderId="2" fillId="0" fontId="10" numFmtId="0" xfId="0" applyAlignment="1" applyBorder="1" applyFont="1">
      <alignment vertical="center"/>
    </xf>
    <xf borderId="4" fillId="15" fontId="10" numFmtId="0" xfId="0" applyAlignment="1" applyBorder="1" applyFill="1" applyFont="1">
      <alignment vertical="center"/>
    </xf>
    <xf borderId="4" fillId="15" fontId="10" numFmtId="0" xfId="0" applyAlignment="1" applyBorder="1" applyFill="1" applyFont="1">
      <alignment horizontal="right" readingOrder="0" vertical="center"/>
    </xf>
    <xf borderId="4" fillId="15" fontId="10" numFmtId="4" xfId="0" applyAlignment="1" applyBorder="1" applyFill="1" applyFont="1" applyNumberFormat="1">
      <alignment horizontal="right" vertical="center"/>
    </xf>
    <xf borderId="1" fillId="0" fontId="8" numFmtId="168" xfId="0" applyAlignment="1" applyBorder="1" applyFont="1" applyNumberFormat="1">
      <alignment horizontal="center" readingOrder="0"/>
    </xf>
    <xf borderId="4" fillId="15" fontId="2" numFmtId="0" xfId="0" applyAlignment="1" applyBorder="1" applyFill="1" applyFont="1">
      <alignment horizontal="center" vertical="center"/>
    </xf>
    <xf borderId="4" fillId="15" fontId="10" numFmtId="0" xfId="0" applyAlignment="1" applyBorder="1" applyFill="1" applyFont="1">
      <alignment readingOrder="0" vertical="center"/>
    </xf>
    <xf borderId="0" fillId="12" fontId="8" numFmtId="165" xfId="0" applyFill="1" applyFont="1" applyNumberFormat="1"/>
    <xf borderId="4" fillId="15" fontId="10" numFmtId="4" xfId="0" applyAlignment="1" applyBorder="1" applyFill="1" applyFont="1" applyNumberFormat="1">
      <alignment horizontal="right" readingOrder="0" vertical="center"/>
    </xf>
    <xf borderId="4" fillId="0" fontId="10" numFmtId="0" xfId="0" applyAlignment="1" applyBorder="1" applyFont="1">
      <alignment readingOrder="0" vertical="center"/>
    </xf>
    <xf borderId="4" fillId="0" fontId="10" numFmtId="0" xfId="0" applyAlignment="1" applyBorder="1" applyFont="1">
      <alignment horizontal="right" readingOrder="0" vertical="center"/>
    </xf>
    <xf borderId="4" fillId="0" fontId="10" numFmtId="4" xfId="0" applyAlignment="1" applyBorder="1" applyFont="1" applyNumberFormat="1">
      <alignment horizontal="right" readingOrder="0" vertical="center"/>
    </xf>
    <xf borderId="4" fillId="0" fontId="2" numFmtId="0" xfId="0" applyAlignment="1" applyBorder="1" applyFont="1">
      <alignment horizontal="center" readingOrder="0" vertical="center"/>
    </xf>
    <xf borderId="2" fillId="0" fontId="10" numFmtId="170" xfId="0" applyAlignment="1" applyBorder="1" applyFont="1" applyNumberFormat="1">
      <alignment horizontal="left" readingOrder="0" vertical="center"/>
    </xf>
    <xf borderId="2" fillId="0" fontId="24" numFmtId="4" xfId="0" applyAlignment="1" applyBorder="1" applyFont="1" applyNumberFormat="1">
      <alignment readingOrder="0" vertical="center"/>
    </xf>
    <xf borderId="2" fillId="0" fontId="2" numFmtId="0" xfId="0" applyAlignment="1" applyBorder="1" applyFont="1">
      <alignment vertical="center"/>
    </xf>
    <xf borderId="1" fillId="0" fontId="8" numFmtId="0" xfId="0" applyBorder="1" applyFont="1"/>
    <xf borderId="1" fillId="0" fontId="8" numFmtId="0" xfId="0" applyAlignment="1" applyBorder="1" applyFont="1">
      <alignment vertical="center"/>
    </xf>
    <xf borderId="1" fillId="0" fontId="8" numFmtId="168" xfId="0" applyBorder="1" applyFont="1" applyNumberFormat="1"/>
    <xf borderId="1" fillId="0" fontId="8" numFmtId="4" xfId="0" applyBorder="1" applyFont="1" applyNumberFormat="1"/>
    <xf borderId="15" fillId="0" fontId="25" numFmtId="0" xfId="0" applyAlignment="1" applyBorder="1" applyFont="1">
      <alignment horizontal="center" readingOrder="0"/>
    </xf>
    <xf borderId="1" fillId="0" fontId="25" numFmtId="4" xfId="0" applyBorder="1" applyFont="1" applyNumberFormat="1"/>
    <xf borderId="15" fillId="0" fontId="19" numFmtId="0" xfId="0" applyBorder="1" applyFont="1"/>
    <xf borderId="4" fillId="0" fontId="10" numFmtId="0" xfId="0" applyAlignment="1" applyBorder="1" applyFont="1">
      <alignment readingOrder="0"/>
    </xf>
    <xf borderId="4" fillId="0" fontId="10" numFmtId="0" xfId="0" applyAlignment="1" applyBorder="1" applyFont="1">
      <alignment readingOrder="0" vertical="bottom"/>
    </xf>
    <xf borderId="4" fillId="0" fontId="10" numFmtId="4" xfId="0" applyAlignment="1" applyBorder="1" applyFont="1" applyNumberFormat="1">
      <alignment readingOrder="0" vertical="bottom"/>
    </xf>
    <xf borderId="4" fillId="0" fontId="10" numFmtId="0" xfId="0" applyAlignment="1" applyBorder="1" applyFont="1">
      <alignment horizontal="center"/>
    </xf>
    <xf borderId="4" fillId="0" fontId="10" numFmtId="0" xfId="0" applyAlignment="1" applyBorder="1" applyFont="1">
      <alignment vertical="bottom"/>
    </xf>
    <xf borderId="17" fillId="0" fontId="10" numFmtId="4" xfId="0" applyAlignment="1" applyBorder="1" applyFont="1" applyNumberFormat="1">
      <alignment horizontal="right" readingOrder="0" vertical="center"/>
    </xf>
    <xf borderId="17" fillId="0" fontId="10" numFmtId="0" xfId="0" applyAlignment="1" applyBorder="1" applyFont="1">
      <alignment horizontal="center"/>
    </xf>
    <xf borderId="17" fillId="0" fontId="10" numFmtId="0" xfId="0" applyAlignment="1" applyBorder="1" applyFont="1">
      <alignment readingOrder="0" vertical="center"/>
    </xf>
    <xf borderId="2" fillId="10" fontId="8" numFmtId="0" xfId="0" applyAlignment="1" applyBorder="1" applyFill="1" applyFont="1">
      <alignment horizontal="center" readingOrder="0"/>
    </xf>
    <xf borderId="0" fillId="0" fontId="8" numFmtId="168" xfId="0" applyAlignment="1" applyFont="1" applyNumberFormat="1">
      <alignment horizontal="center" readingOrder="0"/>
    </xf>
    <xf borderId="0" fillId="0" fontId="8" numFmtId="169" xfId="0" applyAlignment="1" applyFont="1" applyNumberFormat="1">
      <alignment horizontal="center"/>
    </xf>
    <xf borderId="0" fillId="0" fontId="8" numFmtId="4" xfId="0" applyAlignment="1" applyFont="1" applyNumberFormat="1">
      <alignment readingOrder="0"/>
    </xf>
    <xf borderId="1" fillId="0" fontId="9" numFmtId="0" xfId="0" applyAlignment="1" applyBorder="1" applyFont="1">
      <alignment horizontal="center" readingOrder="0" textRotation="90" vertical="center"/>
    </xf>
    <xf borderId="2" fillId="13" fontId="8" numFmtId="168" xfId="0" applyAlignment="1" applyBorder="1" applyFill="1" applyFont="1" applyNumberFormat="1">
      <alignment horizontal="center" readingOrder="0" vertical="center"/>
    </xf>
    <xf borderId="2" fillId="13" fontId="8" numFmtId="169" xfId="0" applyAlignment="1" applyBorder="1" applyFill="1" applyFont="1" applyNumberFormat="1">
      <alignment horizontal="center" vertical="center"/>
    </xf>
    <xf borderId="4" fillId="0" fontId="26" numFmtId="4" xfId="0" applyAlignment="1" applyBorder="1" applyFont="1" applyNumberFormat="1">
      <alignment horizontal="right" readingOrder="0" vertical="center"/>
    </xf>
    <xf borderId="2" fillId="13" fontId="8" numFmtId="0" xfId="0" applyAlignment="1" applyBorder="1" applyFill="1" applyFont="1">
      <alignment readingOrder="0" vertical="center"/>
    </xf>
    <xf borderId="2" fillId="13" fontId="8" numFmtId="4" xfId="0" applyAlignment="1" applyBorder="1" applyFill="1" applyFont="1" applyNumberFormat="1">
      <alignment readingOrder="0" vertical="center"/>
    </xf>
    <xf borderId="4" fillId="0" fontId="10" numFmtId="4" xfId="0" applyAlignment="1" applyBorder="1" applyFont="1" applyNumberFormat="1">
      <alignment readingOrder="0" vertical="center"/>
    </xf>
    <xf borderId="4" fillId="0" fontId="26" numFmtId="4" xfId="0" applyAlignment="1" applyBorder="1" applyFont="1" applyNumberFormat="1">
      <alignment readingOrder="0" vertical="center"/>
    </xf>
    <xf borderId="4" fillId="0" fontId="10" numFmtId="0" xfId="0" applyAlignment="1" applyBorder="1" applyFont="1">
      <alignment horizontal="center" vertical="center"/>
    </xf>
    <xf borderId="17" fillId="0" fontId="10" numFmtId="4" xfId="0" applyAlignment="1" applyBorder="1" applyFont="1" applyNumberFormat="1">
      <alignment readingOrder="0" vertical="center"/>
    </xf>
    <xf borderId="1" fillId="0" fontId="8" numFmtId="0" xfId="0" applyAlignment="1" applyBorder="1" applyFont="1">
      <alignment readingOrder="0" vertical="center"/>
    </xf>
    <xf borderId="8" fillId="0" fontId="25" numFmtId="0" xfId="0" applyAlignment="1" applyBorder="1" applyFont="1">
      <alignment horizontal="center" readingOrder="0"/>
    </xf>
    <xf borderId="2" fillId="0" fontId="25" numFmtId="4" xfId="0" applyBorder="1" applyFont="1" applyNumberFormat="1"/>
    <xf borderId="2" fillId="0" fontId="10" numFmtId="0" xfId="0" applyAlignment="1" applyBorder="1" applyFont="1">
      <alignment horizontal="right" readingOrder="0" vertical="center"/>
    </xf>
    <xf borderId="2" fillId="0" fontId="10" numFmtId="4" xfId="0" applyAlignment="1" applyBorder="1" applyFont="1" applyNumberFormat="1">
      <alignment horizontal="right" readingOrder="0" vertical="center"/>
    </xf>
    <xf borderId="2" fillId="0" fontId="2" numFmtId="0" xfId="0" applyAlignment="1" applyBorder="1" applyFont="1">
      <alignment horizontal="center" vertical="center"/>
    </xf>
    <xf borderId="2" fillId="13" fontId="8" numFmtId="0" xfId="0" applyAlignment="1" applyBorder="1" applyFill="1" applyFont="1">
      <alignment vertical="center"/>
    </xf>
    <xf borderId="4" fillId="15" fontId="2" numFmtId="0" xfId="0" applyAlignment="1" applyBorder="1" applyFill="1" applyFont="1">
      <alignment horizontal="center" readingOrder="0" vertical="center"/>
    </xf>
    <xf borderId="4" fillId="0" fontId="23" numFmtId="4" xfId="0" applyAlignment="1" applyBorder="1" applyFont="1" applyNumberFormat="1">
      <alignment horizontal="right" readingOrder="0" vertical="center"/>
    </xf>
    <xf borderId="4" fillId="0" fontId="26" numFmtId="4" xfId="0" applyAlignment="1" applyBorder="1" applyFont="1" applyNumberFormat="1">
      <alignment horizontal="right" vertical="center"/>
    </xf>
    <xf borderId="4" fillId="0" fontId="10" numFmtId="4" xfId="0" applyAlignment="1" applyBorder="1" applyFont="1" applyNumberFormat="1">
      <alignment horizontal="right" vertical="center"/>
    </xf>
    <xf borderId="15" fillId="0" fontId="8" numFmtId="168" xfId="0" applyAlignment="1" applyBorder="1" applyFont="1" applyNumberFormat="1">
      <alignment horizontal="center" readingOrder="0" vertical="center"/>
    </xf>
    <xf borderId="18" fillId="0" fontId="7" numFmtId="0" xfId="0" applyBorder="1" applyFont="1"/>
    <xf borderId="4" fillId="0" fontId="27" numFmtId="4" xfId="0" applyAlignment="1" applyBorder="1" applyFont="1" applyNumberFormat="1">
      <alignment horizontal="right" readingOrder="0" vertical="center"/>
    </xf>
    <xf borderId="17" fillId="0" fontId="2" numFmtId="0" xfId="0" applyAlignment="1" applyBorder="1" applyFont="1">
      <alignment horizontal="center" readingOrder="0" vertical="center"/>
    </xf>
    <xf borderId="19" fillId="0" fontId="7" numFmtId="0" xfId="0" applyBorder="1" applyFont="1"/>
    <xf borderId="15" fillId="13" fontId="8" numFmtId="168" xfId="0" applyAlignment="1" applyBorder="1" applyFill="1" applyFont="1" applyNumberFormat="1">
      <alignment horizontal="center" readingOrder="0" vertical="center"/>
    </xf>
    <xf borderId="1" fillId="0" fontId="10" numFmtId="4" xfId="0" applyAlignment="1" applyBorder="1" applyFont="1" applyNumberFormat="1">
      <alignment horizontal="right" readingOrder="0" vertical="center"/>
    </xf>
    <xf borderId="2" fillId="7" fontId="8" numFmtId="169" xfId="0" applyAlignment="1" applyBorder="1" applyFill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7" fontId="8" numFmtId="0" xfId="0" applyAlignment="1" applyBorder="1" applyFill="1" applyFont="1">
      <alignment readingOrder="0" vertical="center"/>
    </xf>
    <xf borderId="2" fillId="7" fontId="8" numFmtId="0" xfId="0" applyAlignment="1" applyBorder="1" applyFill="1" applyFont="1">
      <alignment readingOrder="0" vertical="center"/>
    </xf>
    <xf borderId="2" fillId="7" fontId="8" numFmtId="4" xfId="0" applyAlignment="1" applyBorder="1" applyFill="1" applyFont="1" applyNumberFormat="1">
      <alignment readingOrder="0" vertical="center"/>
    </xf>
    <xf borderId="4" fillId="0" fontId="10" numFmtId="0" xfId="0" applyAlignment="1" applyBorder="1" applyFont="1">
      <alignment vertical="center"/>
    </xf>
    <xf borderId="2" fillId="0" fontId="10" numFmtId="0" xfId="0" applyAlignment="1" applyBorder="1" applyFont="1">
      <alignment vertical="center"/>
    </xf>
    <xf borderId="4" fillId="0" fontId="10" numFmtId="168" xfId="0" applyAlignment="1" applyBorder="1" applyFont="1" applyNumberFormat="1">
      <alignment vertical="center"/>
    </xf>
    <xf borderId="4" fillId="0" fontId="10" numFmtId="4" xfId="0" applyAlignment="1" applyBorder="1" applyFont="1" applyNumberFormat="1">
      <alignment vertical="center"/>
    </xf>
    <xf borderId="1" fillId="13" fontId="8" numFmtId="0" xfId="0" applyAlignment="1" applyBorder="1" applyFill="1" applyFont="1">
      <alignment readingOrder="0" vertical="center"/>
    </xf>
    <xf borderId="17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2" fillId="7" fontId="8" numFmtId="0" xfId="0" applyAlignment="1" applyBorder="1" applyFill="1" applyFont="1">
      <alignment vertical="center"/>
    </xf>
    <xf borderId="2" fillId="12" fontId="28" numFmtId="0" xfId="0" applyAlignment="1" applyBorder="1" applyFill="1" applyFont="1">
      <alignment readingOrder="0"/>
    </xf>
    <xf borderId="2" fillId="12" fontId="21" numFmtId="0" xfId="0" applyBorder="1" applyFill="1" applyFont="1"/>
    <xf borderId="2" fillId="12" fontId="8" numFmtId="0" xfId="0" applyAlignment="1" applyBorder="1" applyFill="1" applyFont="1">
      <alignment horizontal="left" readingOrder="0"/>
    </xf>
    <xf borderId="2" fillId="12" fontId="21" numFmtId="0" xfId="0" applyAlignment="1" applyBorder="1" applyFill="1" applyFont="1">
      <alignment readingOrder="0"/>
    </xf>
    <xf borderId="2" fillId="0" fontId="8" numFmtId="0" xfId="0" applyAlignment="1" applyBorder="1" applyFont="1">
      <alignment horizontal="left" readingOrder="0"/>
    </xf>
    <xf borderId="2" fillId="0" fontId="8" numFmtId="2" xfId="0" applyAlignment="1" applyBorder="1" applyFont="1" applyNumberFormat="1">
      <alignment readingOrder="0"/>
    </xf>
    <xf borderId="2" fillId="0" fontId="21" numFmtId="0" xfId="0" applyBorder="1" applyFont="1"/>
    <xf borderId="0" fillId="0" fontId="29" numFmtId="0" xfId="0" applyAlignment="1" applyFont="1">
      <alignment vertical="bottom"/>
    </xf>
    <xf borderId="2" fillId="12" fontId="8" numFmtId="2" xfId="0" applyAlignment="1" applyBorder="1" applyFill="1" applyFont="1" applyNumberFormat="1">
      <alignment readingOrder="0"/>
    </xf>
    <xf borderId="2" fillId="12" fontId="8" numFmtId="0" xfId="0" applyAlignment="1" applyBorder="1" applyFill="1" applyFont="1">
      <alignment readingOrder="0"/>
    </xf>
    <xf quotePrefix="1" borderId="2" fillId="0" fontId="10" numFmtId="0" xfId="0" applyAlignment="1" applyBorder="1" applyFont="1">
      <alignment vertical="center"/>
    </xf>
    <xf borderId="4" fillId="0" fontId="10" numFmtId="166" xfId="0" applyAlignment="1" applyBorder="1" applyFont="1" applyNumberFormat="1">
      <alignment horizontal="right" readingOrder="0" vertical="center"/>
    </xf>
    <xf borderId="4" fillId="0" fontId="10" numFmtId="0" xfId="0" applyAlignment="1" applyBorder="1" applyFont="1">
      <alignment vertical="center"/>
    </xf>
    <xf borderId="4" fillId="15" fontId="10" numFmtId="0" xfId="0" applyAlignment="1" applyBorder="1" applyFill="1" applyFont="1">
      <alignment horizontal="right" vertical="center"/>
    </xf>
    <xf borderId="4" fillId="15" fontId="2" numFmtId="0" xfId="0" applyAlignment="1" applyBorder="1" applyFill="1" applyFont="1">
      <alignment horizontal="center" vertical="center"/>
    </xf>
    <xf borderId="4" fillId="0" fontId="10" numFmtId="0" xfId="0" applyAlignment="1" applyBorder="1" applyFont="1">
      <alignment horizontal="right" vertical="center"/>
    </xf>
    <xf borderId="2" fillId="0" fontId="5" numFmtId="2" xfId="0" applyAlignment="1" applyBorder="1" applyFont="1" applyNumberFormat="1">
      <alignment readingOrder="0"/>
    </xf>
    <xf borderId="2" fillId="0" fontId="5" numFmtId="0" xfId="0" applyBorder="1" applyFont="1"/>
    <xf quotePrefix="1" borderId="2" fillId="0" fontId="10" numFmtId="0" xfId="0" applyBorder="1" applyFont="1"/>
    <xf borderId="4" fillId="0" fontId="10" numFmtId="166" xfId="0" applyAlignment="1" applyBorder="1" applyFont="1" applyNumberFormat="1">
      <alignment horizontal="right"/>
    </xf>
    <xf borderId="4" fillId="0" fontId="10" numFmtId="0" xfId="0" applyAlignment="1" applyBorder="1" applyFont="1">
      <alignment horizontal="right" readingOrder="0"/>
    </xf>
    <xf borderId="4" fillId="0" fontId="10" numFmtId="4" xfId="0" applyAlignment="1" applyBorder="1" applyFont="1" applyNumberFormat="1">
      <alignment horizontal="right" readingOrder="0"/>
    </xf>
    <xf borderId="4" fillId="0" fontId="10" numFmtId="4" xfId="0" applyAlignment="1" applyBorder="1" applyFont="1" applyNumberFormat="1">
      <alignment horizontal="right"/>
    </xf>
    <xf borderId="17" fillId="0" fontId="10" numFmtId="4" xfId="0" applyAlignment="1" applyBorder="1" applyFont="1" applyNumberFormat="1">
      <alignment horizontal="right" vertical="center"/>
    </xf>
    <xf borderId="17" fillId="0" fontId="2" numFmtId="0" xfId="0" applyAlignment="1" applyBorder="1" applyFont="1">
      <alignment horizontal="center"/>
    </xf>
    <xf borderId="8" fillId="4" fontId="8" numFmtId="0" xfId="0" applyAlignment="1" applyBorder="1" applyFill="1" applyFont="1">
      <alignment horizontal="center" readingOrder="0" vertical="center"/>
    </xf>
    <xf borderId="4" fillId="0" fontId="30" numFmtId="4" xfId="0" applyAlignment="1" applyBorder="1" applyFont="1" applyNumberFormat="1">
      <alignment horizontal="right" readingOrder="0" vertical="center"/>
    </xf>
    <xf borderId="0" fillId="0" fontId="8" numFmtId="4" xfId="0" applyFont="1" applyNumberFormat="1"/>
    <xf borderId="0" fillId="0" fontId="10" numFmtId="0" xfId="0" applyAlignment="1" applyFont="1">
      <alignment readingOrder="0" vertical="center"/>
    </xf>
    <xf borderId="1" fillId="0" fontId="2" numFmtId="0" xfId="0" applyAlignment="1" applyBorder="1" applyFont="1">
      <alignment horizontal="center" readingOrder="0" vertical="center"/>
    </xf>
    <xf borderId="2" fillId="0" fontId="31" numFmtId="0" xfId="0" applyAlignment="1" applyBorder="1" applyFont="1">
      <alignment readingOrder="0"/>
    </xf>
    <xf borderId="2" fillId="12" fontId="8" numFmtId="4" xfId="0" applyAlignment="1" applyBorder="1" applyFill="1" applyFont="1" applyNumberFormat="1">
      <alignment readingOrder="0"/>
    </xf>
    <xf borderId="2" fillId="0" fontId="32" numFmtId="0" xfId="0" applyAlignment="1" applyBorder="1" applyFont="1">
      <alignment readingOrder="0"/>
    </xf>
    <xf borderId="2" fillId="0" fontId="32" numFmtId="2" xfId="0" applyAlignment="1" applyBorder="1" applyFont="1" applyNumberFormat="1">
      <alignment readingOrder="0"/>
    </xf>
    <xf borderId="2" fillId="0" fontId="32" numFmtId="0" xfId="0" applyBorder="1" applyFont="1"/>
    <xf quotePrefix="1" borderId="20" fillId="8" fontId="12" numFmtId="0" xfId="0" applyAlignment="1" applyBorder="1" applyFill="1" applyFont="1">
      <alignment readingOrder="0"/>
    </xf>
    <xf borderId="21" fillId="0" fontId="7" numFmtId="0" xfId="0" applyBorder="1" applyFont="1"/>
    <xf borderId="22" fillId="0" fontId="7" numFmtId="0" xfId="0" applyBorder="1" applyFont="1"/>
    <xf quotePrefix="1" borderId="2" fillId="5" fontId="5" numFmtId="0" xfId="0" applyAlignment="1" applyBorder="1" applyFill="1" applyFont="1">
      <alignment readingOrder="0"/>
    </xf>
    <xf borderId="2" fillId="5" fontId="31" numFmtId="0" xfId="0" applyAlignment="1" applyBorder="1" applyFill="1" applyFont="1">
      <alignment readingOrder="0"/>
    </xf>
    <xf borderId="8" fillId="5" fontId="5" numFmtId="0" xfId="0" applyAlignment="1" applyBorder="1" applyFill="1" applyFont="1">
      <alignment readingOrder="0"/>
    </xf>
    <xf quotePrefix="1" borderId="3" fillId="0" fontId="10" numFmtId="0" xfId="0" applyAlignment="1" applyBorder="1" applyFont="1">
      <alignment readingOrder="0" vertical="center"/>
    </xf>
    <xf borderId="2" fillId="5" fontId="33" numFmtId="165" xfId="0" applyAlignment="1" applyBorder="1" applyFill="1" applyFont="1" applyNumberFormat="1">
      <alignment readingOrder="0" vertical="center"/>
    </xf>
    <xf borderId="3" fillId="0" fontId="10" numFmtId="166" xfId="0" applyAlignment="1" applyBorder="1" applyFont="1" applyNumberFormat="1">
      <alignment readingOrder="0" vertical="center"/>
    </xf>
    <xf borderId="0" fillId="0" fontId="34" numFmtId="165" xfId="0" applyFont="1" applyNumberFormat="1"/>
    <xf borderId="3" fillId="0" fontId="10" numFmtId="0" xfId="0" applyAlignment="1" applyBorder="1" applyFont="1">
      <alignment horizontal="right" readingOrder="0" vertical="center"/>
    </xf>
    <xf borderId="3" fillId="0" fontId="10" numFmtId="4" xfId="0" applyAlignment="1" applyBorder="1" applyFont="1" applyNumberFormat="1">
      <alignment horizontal="right" readingOrder="0" vertical="center"/>
    </xf>
    <xf borderId="2" fillId="16" fontId="28" numFmtId="165" xfId="0" applyBorder="1" applyFill="1" applyFont="1" applyNumberFormat="1"/>
    <xf borderId="3" fillId="0" fontId="2" numFmtId="0" xfId="0" applyAlignment="1" applyBorder="1" applyFont="1">
      <alignment horizontal="center" readingOrder="0" vertical="center"/>
    </xf>
    <xf borderId="2" fillId="7" fontId="32" numFmtId="0" xfId="0" applyAlignment="1" applyBorder="1" applyFill="1" applyFont="1">
      <alignment readingOrder="0"/>
    </xf>
    <xf borderId="2" fillId="7" fontId="32" numFmtId="2" xfId="0" applyAlignment="1" applyBorder="1" applyFill="1" applyFont="1" applyNumberFormat="1">
      <alignment readingOrder="0"/>
    </xf>
    <xf borderId="1" fillId="7" fontId="32" numFmtId="0" xfId="0" applyAlignment="1" applyBorder="1" applyFill="1" applyFont="1">
      <alignment horizontal="center" readingOrder="0" vertical="center"/>
    </xf>
    <xf borderId="2" fillId="12" fontId="21" numFmtId="4" xfId="0" applyAlignment="1" applyBorder="1" applyFill="1" applyFont="1" applyNumberFormat="1">
      <alignment readingOrder="0"/>
    </xf>
    <xf borderId="0" fillId="0" fontId="19" numFmtId="2" xfId="0" applyFont="1" applyNumberFormat="1"/>
    <xf quotePrefix="1" borderId="2" fillId="11" fontId="5" numFmtId="0" xfId="0" applyAlignment="1" applyBorder="1" applyFill="1" applyFont="1">
      <alignment readingOrder="0"/>
    </xf>
    <xf borderId="19" fillId="11" fontId="35" numFmtId="0" xfId="0" applyAlignment="1" applyBorder="1" applyFill="1" applyFont="1">
      <alignment horizontal="center" readingOrder="0" textRotation="90" vertical="center"/>
    </xf>
    <xf borderId="8" fillId="11" fontId="5" numFmtId="0" xfId="0" applyAlignment="1" applyBorder="1" applyFill="1" applyFont="1">
      <alignment readingOrder="0"/>
    </xf>
    <xf borderId="2" fillId="0" fontId="10" numFmtId="4" xfId="0" applyAlignment="1" applyBorder="1" applyFont="1" applyNumberFormat="1">
      <alignment horizontal="left" readingOrder="0" vertical="center"/>
    </xf>
    <xf borderId="2" fillId="12" fontId="28" numFmtId="4" xfId="0" applyAlignment="1" applyBorder="1" applyFill="1" applyFont="1" applyNumberFormat="1">
      <alignment readingOrder="0"/>
    </xf>
    <xf borderId="17" fillId="0" fontId="10" numFmtId="4" xfId="0" applyAlignment="1" applyBorder="1" applyFont="1" applyNumberFormat="1">
      <alignment horizontal="left" readingOrder="0" vertical="center"/>
    </xf>
    <xf borderId="1" fillId="0" fontId="10" numFmtId="4" xfId="0" applyAlignment="1" applyBorder="1" applyFont="1" applyNumberFormat="1">
      <alignment horizontal="left" readingOrder="0" vertical="center"/>
    </xf>
    <xf borderId="8" fillId="11" fontId="5" numFmtId="0" xfId="0" applyBorder="1" applyFill="1" applyFont="1"/>
    <xf borderId="2" fillId="0" fontId="10" numFmtId="0" xfId="0" applyAlignment="1" applyBorder="1" applyFont="1">
      <alignment horizontal="left" readingOrder="0" vertical="center"/>
    </xf>
    <xf borderId="2" fillId="12" fontId="8" numFmtId="0" xfId="0" applyBorder="1" applyFill="1" applyFont="1"/>
    <xf borderId="0" fillId="0" fontId="17" numFmtId="0" xfId="0" applyAlignment="1" applyFont="1">
      <alignment horizontal="left" readingOrder="0" vertical="center"/>
    </xf>
    <xf borderId="2" fillId="0" fontId="32" numFmtId="4" xfId="0" applyAlignment="1" applyBorder="1" applyFont="1" applyNumberFormat="1">
      <alignment readingOrder="0"/>
    </xf>
    <xf borderId="2" fillId="0" fontId="19" numFmtId="0" xfId="0" applyBorder="1" applyFont="1"/>
    <xf borderId="2" fillId="0" fontId="19" numFmtId="0" xfId="0" applyAlignment="1" applyBorder="1" applyFont="1">
      <alignment readingOrder="0"/>
    </xf>
    <xf borderId="1" fillId="0" fontId="10" numFmtId="0" xfId="0" applyAlignment="1" applyBorder="1" applyFont="1">
      <alignment horizontal="center" readingOrder="0" vertical="center"/>
    </xf>
    <xf borderId="2" fillId="0" fontId="10" numFmtId="0" xfId="0" applyAlignment="1" applyBorder="1" applyFont="1">
      <alignment horizontal="center" readingOrder="0" vertical="center"/>
    </xf>
    <xf borderId="2" fillId="11" fontId="5" numFmtId="0" xfId="0" applyAlignment="1" applyBorder="1" applyFill="1" applyFont="1">
      <alignment readingOrder="0"/>
    </xf>
    <xf borderId="0" fillId="0" fontId="10" numFmtId="0" xfId="0" applyAlignment="1" applyFont="1">
      <alignment readingOrder="0"/>
    </xf>
    <xf borderId="2" fillId="14" fontId="15" numFmtId="0" xfId="0" applyBorder="1" applyFill="1" applyFont="1"/>
    <xf borderId="0" fillId="0" fontId="19" numFmtId="0" xfId="0" applyAlignment="1" applyFont="1">
      <alignment readingOrder="0"/>
    </xf>
    <xf borderId="0" fillId="0" fontId="19" numFmtId="2" xfId="0" applyAlignment="1" applyFont="1" applyNumberFormat="1">
      <alignment readingOrder="0"/>
    </xf>
    <xf borderId="2" fillId="0" fontId="10" numFmtId="0" xfId="0" applyBorder="1" applyFont="1"/>
    <xf borderId="2" fillId="0" fontId="10" numFmtId="0" xfId="0" applyAlignment="1" applyBorder="1" applyFont="1">
      <alignment horizontal="right"/>
    </xf>
    <xf borderId="2" fillId="0" fontId="10" numFmtId="4" xfId="0" applyAlignment="1" applyBorder="1" applyFont="1" applyNumberFormat="1">
      <alignment horizontal="right"/>
    </xf>
    <xf borderId="2" fillId="0" fontId="10" numFmtId="0" xfId="0" applyAlignment="1" applyBorder="1" applyFont="1">
      <alignment horizontal="center"/>
    </xf>
    <xf borderId="4" fillId="0" fontId="10" numFmtId="0" xfId="0" applyBorder="1" applyFont="1"/>
    <xf borderId="0" fillId="12" fontId="23" numFmtId="0" xfId="0" applyAlignment="1" applyFill="1" applyFont="1">
      <alignment horizontal="left" readingOrder="0"/>
    </xf>
    <xf borderId="2" fillId="14" fontId="15" numFmtId="4" xfId="0" applyAlignment="1" applyBorder="1" applyFill="1" applyFont="1" applyNumberFormat="1">
      <alignment readingOrder="0"/>
    </xf>
    <xf borderId="8" fillId="0" fontId="8" numFmtId="0" xfId="0" applyAlignment="1" applyBorder="1" applyFont="1">
      <alignment horizontal="center" readingOrder="0"/>
    </xf>
    <xf borderId="9" fillId="0" fontId="8" numFmtId="0" xfId="0" applyAlignment="1" applyBorder="1" applyFont="1">
      <alignment horizontal="center" readingOrder="0"/>
    </xf>
    <xf borderId="2" fillId="0" fontId="15" numFmtId="0" xfId="0" applyBorder="1" applyFont="1"/>
    <xf borderId="2" fillId="0" fontId="23" numFmtId="4" xfId="0" applyAlignment="1" applyBorder="1" applyFont="1" applyNumberFormat="1">
      <alignment horizontal="right" readingOrder="0" vertical="center"/>
    </xf>
    <xf borderId="3" fillId="0" fontId="8" numFmtId="0" xfId="0" applyAlignment="1" applyBorder="1" applyFont="1">
      <alignment readingOrder="0" vertical="center"/>
    </xf>
    <xf borderId="2" fillId="0" fontId="26" numFmtId="4" xfId="0" applyAlignment="1" applyBorder="1" applyFont="1" applyNumberFormat="1">
      <alignment horizontal="right" readingOrder="0" vertical="center"/>
    </xf>
    <xf borderId="2" fillId="0" fontId="19" numFmtId="2" xfId="0" applyAlignment="1" applyBorder="1" applyFont="1" applyNumberFormat="1">
      <alignment readingOrder="0"/>
    </xf>
    <xf borderId="2" fillId="7" fontId="8" numFmtId="168" xfId="0" applyAlignment="1" applyBorder="1" applyFill="1" applyFont="1" applyNumberFormat="1">
      <alignment horizontal="center" readingOrder="0" vertical="center"/>
    </xf>
    <xf borderId="2" fillId="7" fontId="19" numFmtId="0" xfId="0" applyAlignment="1" applyBorder="1" applyFill="1" applyFont="1">
      <alignment readingOrder="0"/>
    </xf>
    <xf borderId="2" fillId="7" fontId="19" numFmtId="2" xfId="0" applyAlignment="1" applyBorder="1" applyFill="1" applyFont="1" applyNumberFormat="1">
      <alignment readingOrder="0"/>
    </xf>
    <xf borderId="2" fillId="0" fontId="19" numFmtId="4" xfId="0" applyAlignment="1" applyBorder="1" applyFont="1" applyNumberFormat="1">
      <alignment readingOrder="0"/>
    </xf>
    <xf borderId="2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left" readingOrder="0" vertical="center"/>
    </xf>
    <xf borderId="2" fillId="0" fontId="8" numFmtId="4" xfId="0" applyAlignment="1" applyBorder="1" applyFont="1" applyNumberFormat="1">
      <alignment horizontal="right" readingOrder="0" vertical="center"/>
    </xf>
    <xf borderId="2" fillId="0" fontId="19" numFmtId="0" xfId="0" applyAlignment="1" applyBorder="1" applyFont="1">
      <alignment horizontal="left"/>
    </xf>
    <xf borderId="2" fillId="0" fontId="19" numFmtId="4" xfId="0" applyAlignment="1" applyBorder="1" applyFont="1" applyNumberFormat="1">
      <alignment horizontal="right" readingOrder="0"/>
    </xf>
    <xf borderId="2" fillId="0" fontId="32" numFmtId="0" xfId="0" applyAlignment="1" applyBorder="1" applyFont="1">
      <alignment horizontal="left" readingOrder="0"/>
    </xf>
    <xf borderId="2" fillId="0" fontId="32" numFmtId="4" xfId="0" applyAlignment="1" applyBorder="1" applyFont="1" applyNumberFormat="1">
      <alignment horizontal="right" readingOrder="0"/>
    </xf>
    <xf borderId="2" fillId="0" fontId="19" numFmtId="0" xfId="0" applyAlignment="1" applyBorder="1" applyFont="1">
      <alignment horizontal="left" readingOrder="0"/>
    </xf>
    <xf borderId="2" fillId="12" fontId="21" numFmtId="4" xfId="0" applyAlignment="1" applyBorder="1" applyFill="1" applyFont="1" applyNumberFormat="1">
      <alignment horizontal="right" readingOrder="0"/>
    </xf>
    <xf borderId="2" fillId="0" fontId="8" numFmtId="171" xfId="0" applyAlignment="1" applyBorder="1" applyFont="1" applyNumberFormat="1">
      <alignment horizontal="center" readingOrder="0" vertical="center"/>
    </xf>
    <xf borderId="2" fillId="0" fontId="10" numFmtId="166" xfId="0" applyAlignment="1" applyBorder="1" applyFont="1" applyNumberFormat="1">
      <alignment horizontal="right" readingOrder="0"/>
    </xf>
    <xf borderId="2" fillId="15" fontId="10" numFmtId="0" xfId="0" applyAlignment="1" applyBorder="1" applyFill="1" applyFont="1">
      <alignment horizontal="right"/>
    </xf>
    <xf borderId="2" fillId="15" fontId="10" numFmtId="4" xfId="0" applyAlignment="1" applyBorder="1" applyFill="1" applyFont="1" applyNumberFormat="1">
      <alignment horizontal="right"/>
    </xf>
    <xf borderId="2" fillId="15" fontId="10" numFmtId="0" xfId="0" applyAlignment="1" applyBorder="1" applyFill="1" applyFont="1">
      <alignment horizontal="center"/>
    </xf>
    <xf borderId="4" fillId="15" fontId="10" numFmtId="0" xfId="0" applyAlignment="1" applyBorder="1" applyFill="1" applyFont="1">
      <alignment readingOrder="0"/>
    </xf>
    <xf borderId="2" fillId="15" fontId="10" numFmtId="0" xfId="0" applyBorder="1" applyFill="1" applyFont="1"/>
    <xf borderId="2" fillId="0" fontId="10" numFmtId="172" xfId="0" applyAlignment="1" applyBorder="1" applyFont="1" applyNumberFormat="1">
      <alignment readingOrder="0" vertical="center"/>
    </xf>
    <xf borderId="2" fillId="15" fontId="10" numFmtId="0" xfId="0" applyAlignment="1" applyBorder="1" applyFill="1" applyFont="1">
      <alignment readingOrder="0"/>
    </xf>
    <xf borderId="2" fillId="15" fontId="10" numFmtId="0" xfId="0" applyAlignment="1" applyBorder="1" applyFill="1" applyFont="1">
      <alignment horizontal="center" readingOrder="0"/>
    </xf>
    <xf borderId="2" fillId="0" fontId="10" numFmtId="0" xfId="0" applyAlignment="1" applyBorder="1" applyFont="1">
      <alignment horizontal="center" readingOrder="0"/>
    </xf>
    <xf borderId="0" fillId="0" fontId="19" numFmtId="0" xfId="0" applyAlignment="1" applyFont="1">
      <alignment vertical="center"/>
    </xf>
    <xf borderId="2" fillId="0" fontId="10" numFmtId="4" xfId="0" applyAlignment="1" applyBorder="1" applyFont="1" applyNumberFormat="1">
      <alignment horizontal="right" vertical="center"/>
    </xf>
    <xf borderId="1" fillId="0" fontId="10" numFmtId="4" xfId="0" applyAlignment="1" applyBorder="1" applyFont="1" applyNumberFormat="1">
      <alignment horizontal="right" vertical="center"/>
    </xf>
    <xf borderId="2" fillId="0" fontId="10" numFmtId="0" xfId="0" applyAlignment="1" applyBorder="1" applyFont="1">
      <alignment vertical="center"/>
    </xf>
    <xf borderId="2" fillId="0" fontId="10" numFmtId="0" xfId="0" applyAlignment="1" applyBorder="1" applyFont="1">
      <alignment horizontal="right" vertical="center"/>
    </xf>
    <xf borderId="0" fillId="0" fontId="8" numFmtId="168" xfId="0" applyAlignment="1" applyFont="1" applyNumberFormat="1">
      <alignment horizontal="center" readingOrder="0" vertical="center"/>
    </xf>
    <xf borderId="0" fillId="0" fontId="8" numFmtId="169" xfId="0" applyAlignment="1" applyFont="1" applyNumberFormat="1">
      <alignment horizontal="center" vertical="center"/>
    </xf>
    <xf borderId="0" fillId="0" fontId="8" numFmtId="171" xfId="0" applyAlignment="1" applyFont="1" applyNumberFormat="1">
      <alignment horizontal="center" readingOrder="0" vertical="center"/>
    </xf>
    <xf borderId="0" fillId="0" fontId="32" numFmtId="0" xfId="0" applyFont="1"/>
    <xf borderId="2" fillId="0" fontId="24" numFmtId="4" xfId="0" applyAlignment="1" applyBorder="1" applyFont="1" applyNumberFormat="1">
      <alignment readingOrder="0"/>
    </xf>
    <xf borderId="4" fillId="15" fontId="10" numFmtId="0" xfId="0" applyBorder="1" applyFill="1" applyFont="1"/>
    <xf borderId="0" fillId="0" fontId="32" numFmtId="0" xfId="0" applyAlignment="1" applyFont="1">
      <alignment readingOrder="0"/>
    </xf>
    <xf borderId="0" fillId="0" fontId="32" numFmtId="4" xfId="0" applyAlignment="1" applyFont="1" applyNumberFormat="1">
      <alignment readingOrder="0"/>
    </xf>
    <xf borderId="2" fillId="15" fontId="10" numFmtId="4" xfId="0" applyAlignment="1" applyBorder="1" applyFill="1" applyFont="1" applyNumberFormat="1">
      <alignment horizontal="right" readingOrder="0"/>
    </xf>
    <xf borderId="2" fillId="0" fontId="36" numFmtId="0" xfId="0" applyAlignment="1" applyBorder="1" applyFont="1">
      <alignment readingOrder="0"/>
    </xf>
    <xf quotePrefix="1" borderId="20" fillId="3" fontId="17" numFmtId="0" xfId="0" applyAlignment="1" applyBorder="1" applyFill="1" applyFont="1">
      <alignment horizontal="left" readingOrder="0" vertical="center"/>
    </xf>
    <xf borderId="1" fillId="0" fontId="23" numFmtId="4" xfId="0" applyAlignment="1" applyBorder="1" applyFont="1" applyNumberFormat="1">
      <alignment horizontal="right" readingOrder="0" vertical="center"/>
    </xf>
    <xf borderId="15" fillId="3" fontId="19" numFmtId="0" xfId="0" applyAlignment="1" applyBorder="1" applyFill="1" applyFont="1">
      <alignment horizontal="center" readingOrder="0" vertical="center"/>
    </xf>
    <xf borderId="15" fillId="17" fontId="37" numFmtId="4" xfId="0" applyAlignment="1" applyBorder="1" applyFill="1" applyFont="1" applyNumberFormat="1">
      <alignment horizontal="center" vertical="center"/>
    </xf>
    <xf borderId="12" fillId="0" fontId="7" numFmtId="0" xfId="0" applyBorder="1" applyFont="1"/>
    <xf borderId="2" fillId="0" fontId="10" numFmtId="173" xfId="0" applyAlignment="1" applyBorder="1" applyFont="1" applyNumberFormat="1">
      <alignment readingOrder="0" vertical="center"/>
    </xf>
    <xf borderId="2" fillId="0" fontId="5" numFmtId="168" xfId="0" applyAlignment="1" applyBorder="1" applyFont="1" applyNumberFormat="1">
      <alignment horizontal="center" readingOrder="0" vertical="bottom"/>
    </xf>
    <xf borderId="2" fillId="0" fontId="5" numFmtId="169" xfId="0" applyAlignment="1" applyBorder="1" applyFont="1" applyNumberFormat="1">
      <alignment horizontal="center" vertical="bottom"/>
    </xf>
    <xf borderId="0" fillId="0" fontId="38" numFmtId="0" xfId="0" applyAlignment="1" applyFont="1">
      <alignment horizontal="center" readingOrder="0"/>
    </xf>
    <xf borderId="0" fillId="0" fontId="0" numFmtId="0" xfId="0" applyAlignment="1" applyFont="1">
      <alignment horizontal="right" readingOrder="0" shrinkToFit="0" wrapText="0"/>
    </xf>
    <xf borderId="0" fillId="0" fontId="13" numFmtId="0" xfId="0" applyAlignment="1" applyFont="1">
      <alignment readingOrder="0"/>
    </xf>
    <xf borderId="0" fillId="17" fontId="39" numFmtId="0" xfId="0" applyAlignment="1" applyFill="1" applyFont="1">
      <alignment horizontal="center" readingOrder="0"/>
    </xf>
    <xf borderId="0" fillId="0" fontId="38" numFmtId="0" xfId="0" applyAlignment="1" applyFont="1">
      <alignment horizontal="center" readingOrder="0" shrinkToFit="0" wrapText="1"/>
    </xf>
    <xf borderId="15" fillId="10" fontId="38" numFmtId="0" xfId="0" applyAlignment="1" applyBorder="1" applyFill="1" applyFont="1">
      <alignment horizontal="center" readingOrder="0"/>
    </xf>
    <xf borderId="2" fillId="10" fontId="38" numFmtId="0" xfId="0" applyAlignment="1" applyBorder="1" applyFill="1" applyFont="1">
      <alignment horizontal="center" readingOrder="0"/>
    </xf>
    <xf borderId="15" fillId="18" fontId="39" numFmtId="0" xfId="0" applyAlignment="1" applyBorder="1" applyFill="1" applyFont="1">
      <alignment horizontal="center" readingOrder="0"/>
    </xf>
    <xf borderId="2" fillId="18" fontId="39" numFmtId="0" xfId="0" applyAlignment="1" applyBorder="1" applyFill="1" applyFont="1">
      <alignment horizontal="center" readingOrder="0"/>
    </xf>
    <xf borderId="1" fillId="10" fontId="38" numFmtId="0" xfId="0" applyAlignment="1" applyBorder="1" applyFill="1" applyFont="1">
      <alignment horizontal="center" readingOrder="0"/>
    </xf>
    <xf borderId="23" fillId="0" fontId="40" numFmtId="0" xfId="0" applyAlignment="1" applyBorder="1" applyFont="1">
      <alignment horizontal="center" readingOrder="0" textRotation="90" vertical="center"/>
    </xf>
    <xf borderId="4" fillId="3" fontId="41" numFmtId="174" xfId="0" applyAlignment="1" applyBorder="1" applyFill="1" applyFont="1" applyNumberFormat="1">
      <alignment horizontal="center" readingOrder="0"/>
    </xf>
    <xf borderId="2" fillId="3" fontId="38" numFmtId="167" xfId="0" applyBorder="1" applyFill="1" applyFont="1" applyNumberFormat="1"/>
    <xf borderId="2" fillId="19" fontId="38" numFmtId="167" xfId="0" applyBorder="1" applyFill="1" applyFont="1" applyNumberFormat="1"/>
    <xf borderId="2" fillId="15" fontId="38" numFmtId="167" xfId="0" applyBorder="1" applyFill="1" applyFont="1" applyNumberFormat="1"/>
    <xf borderId="2" fillId="20" fontId="38" numFmtId="167" xfId="0" applyBorder="1" applyFill="1" applyFont="1" applyNumberFormat="1"/>
    <xf borderId="0" fillId="21" fontId="38" numFmtId="167" xfId="0" applyFill="1" applyFont="1" applyNumberFormat="1"/>
    <xf borderId="2" fillId="12" fontId="42" numFmtId="174" xfId="0" applyBorder="1" applyFill="1" applyFont="1" applyNumberFormat="1"/>
    <xf borderId="2" fillId="12" fontId="43" numFmtId="167" xfId="0" applyBorder="1" applyFill="1" applyFont="1" applyNumberFormat="1"/>
    <xf borderId="2" fillId="12" fontId="44" numFmtId="167" xfId="0" applyBorder="1" applyFill="1" applyFont="1" applyNumberFormat="1"/>
    <xf borderId="2" fillId="12" fontId="42" numFmtId="167" xfId="0" applyBorder="1" applyFill="1" applyFont="1" applyNumberFormat="1"/>
    <xf borderId="24" fillId="0" fontId="7" numFmtId="0" xfId="0" applyBorder="1" applyFont="1"/>
    <xf borderId="2" fillId="0" fontId="10" numFmtId="166" xfId="0" applyAlignment="1" applyBorder="1" applyFont="1" applyNumberFormat="1">
      <alignment horizontal="right"/>
    </xf>
    <xf borderId="25" fillId="0" fontId="7" numFmtId="0" xfId="0" applyBorder="1" applyFont="1"/>
    <xf borderId="2" fillId="19" fontId="45" numFmtId="167" xfId="0" applyBorder="1" applyFill="1" applyFont="1" applyNumberFormat="1"/>
    <xf borderId="2" fillId="20" fontId="45" numFmtId="167" xfId="0" applyBorder="1" applyFill="1" applyFont="1" applyNumberFormat="1"/>
    <xf borderId="2" fillId="19" fontId="32" numFmtId="0" xfId="0" applyAlignment="1" applyBorder="1" applyFill="1" applyFont="1">
      <alignment readingOrder="0"/>
    </xf>
    <xf borderId="2" fillId="19" fontId="32" numFmtId="4" xfId="0" applyAlignment="1" applyBorder="1" applyFill="1" applyFont="1" applyNumberFormat="1">
      <alignment readingOrder="0"/>
    </xf>
    <xf borderId="2" fillId="19" fontId="32" numFmtId="0" xfId="0" applyBorder="1" applyFill="1" applyFont="1"/>
    <xf borderId="0" fillId="19" fontId="19" numFmtId="0" xfId="0" applyFill="1" applyFont="1"/>
    <xf borderId="2" fillId="3" fontId="38" numFmtId="165" xfId="0" applyBorder="1" applyFill="1" applyFont="1" applyNumberFormat="1"/>
    <xf borderId="2" fillId="20" fontId="45" numFmtId="165" xfId="0" applyBorder="1" applyFill="1" applyFont="1" applyNumberFormat="1"/>
    <xf borderId="0" fillId="21" fontId="38" numFmtId="165" xfId="0" applyFill="1" applyFont="1" applyNumberFormat="1"/>
    <xf borderId="2" fillId="20" fontId="38" numFmtId="165" xfId="0" applyBorder="1" applyFill="1" applyFont="1" applyNumberFormat="1"/>
    <xf borderId="2" fillId="12" fontId="43" numFmtId="0" xfId="0" applyBorder="1" applyFill="1" applyFont="1"/>
    <xf borderId="2" fillId="12" fontId="44" numFmtId="0" xfId="0" applyBorder="1" applyFill="1" applyFont="1"/>
    <xf borderId="0" fillId="0" fontId="19" numFmtId="10" xfId="0" applyFont="1" applyNumberFormat="1"/>
    <xf borderId="0" fillId="0" fontId="40" numFmtId="0" xfId="0" applyAlignment="1" applyFont="1">
      <alignment horizontal="center" readingOrder="0" textRotation="90" vertical="center"/>
    </xf>
    <xf borderId="2" fillId="8" fontId="41" numFmtId="0" xfId="0" applyAlignment="1" applyBorder="1" applyFill="1" applyFont="1">
      <alignment horizontal="center" readingOrder="0"/>
    </xf>
    <xf borderId="2" fillId="8" fontId="46" numFmtId="167" xfId="0" applyBorder="1" applyFill="1" applyFont="1" applyNumberFormat="1"/>
    <xf borderId="2" fillId="8" fontId="47" numFmtId="167" xfId="0" applyBorder="1" applyFill="1" applyFont="1" applyNumberFormat="1"/>
    <xf borderId="2" fillId="8" fontId="38" numFmtId="167" xfId="0" applyBorder="1" applyFill="1" applyFont="1" applyNumberFormat="1"/>
    <xf borderId="23" fillId="11" fontId="48" numFmtId="0" xfId="0" applyAlignment="1" applyBorder="1" applyFill="1" applyFont="1">
      <alignment horizontal="center" readingOrder="0" textRotation="90" vertical="center"/>
    </xf>
    <xf borderId="26" fillId="0" fontId="19" numFmtId="0" xfId="0" applyBorder="1" applyFont="1"/>
    <xf borderId="27" fillId="0" fontId="19" numFmtId="0" xfId="0" applyBorder="1" applyFont="1"/>
    <xf borderId="28" fillId="0" fontId="19" numFmtId="0" xfId="0" applyBorder="1" applyFont="1"/>
    <xf borderId="29" fillId="0" fontId="19" numFmtId="0" xfId="0" applyBorder="1" applyFont="1"/>
    <xf borderId="30" fillId="0" fontId="19" numFmtId="0" xfId="0" applyBorder="1" applyFont="1"/>
    <xf borderId="23" fillId="12" fontId="49" numFmtId="0" xfId="0" applyAlignment="1" applyBorder="1" applyFill="1" applyFont="1">
      <alignment horizontal="center" readingOrder="0" shrinkToFit="0" textRotation="90" vertical="center" wrapText="0"/>
    </xf>
    <xf borderId="8" fillId="0" fontId="4" numFmtId="0" xfId="0" applyAlignment="1" applyBorder="1" applyFont="1">
      <alignment horizontal="center" readingOrder="0" vertical="center"/>
    </xf>
    <xf borderId="0" fillId="0" fontId="50" numFmtId="4" xfId="0" applyAlignment="1" applyFont="1" applyNumberFormat="1">
      <alignment vertical="center"/>
    </xf>
    <xf borderId="1" fillId="0" fontId="8" numFmtId="171" xfId="0" applyAlignment="1" applyBorder="1" applyFont="1" applyNumberFormat="1">
      <alignment horizontal="center" readingOrder="0" vertical="center"/>
    </xf>
    <xf borderId="2" fillId="9" fontId="15" numFmtId="4" xfId="0" applyAlignment="1" applyBorder="1" applyFill="1" applyFont="1" applyNumberFormat="1">
      <alignment vertical="center"/>
    </xf>
    <xf borderId="2" fillId="5" fontId="51" numFmtId="165" xfId="0" applyAlignment="1" applyBorder="1" applyFill="1" applyFont="1" applyNumberFormat="1">
      <alignment readingOrder="0" vertical="center"/>
    </xf>
    <xf borderId="0" fillId="0" fontId="50" numFmtId="4" xfId="0" applyAlignment="1" applyFont="1" applyNumberFormat="1">
      <alignment readingOrder="0" vertical="center"/>
    </xf>
    <xf borderId="2" fillId="22" fontId="15" numFmtId="4" xfId="0" applyAlignment="1" applyBorder="1" applyFill="1" applyFont="1" applyNumberFormat="1">
      <alignment readingOrder="0" vertical="center"/>
    </xf>
    <xf borderId="3" fillId="0" fontId="8" numFmtId="171" xfId="0" applyAlignment="1" applyBorder="1" applyFont="1" applyNumberFormat="1">
      <alignment horizontal="center" readingOrder="0" vertical="center"/>
    </xf>
    <xf borderId="2" fillId="5" fontId="14" numFmtId="175" xfId="0" applyAlignment="1" applyBorder="1" applyFill="1" applyFont="1" applyNumberFormat="1">
      <alignment readingOrder="0" vertical="center"/>
    </xf>
    <xf borderId="0" fillId="0" fontId="52" numFmtId="4" xfId="0" applyAlignment="1" applyFont="1" applyNumberFormat="1">
      <alignment readingOrder="0" vertical="center"/>
    </xf>
    <xf borderId="2" fillId="9" fontId="53" numFmtId="4" xfId="0" applyAlignment="1" applyBorder="1" applyFill="1" applyFont="1" applyNumberFormat="1">
      <alignment readingOrder="0" vertical="center"/>
    </xf>
    <xf borderId="1" fillId="0" fontId="26" numFmtId="4" xfId="0" applyAlignment="1" applyBorder="1" applyFont="1" applyNumberFormat="1">
      <alignment horizontal="right" readingOrder="0" vertical="center"/>
    </xf>
    <xf borderId="2" fillId="3" fontId="38" numFmtId="0" xfId="0" applyBorder="1" applyFill="1" applyFont="1"/>
    <xf borderId="2" fillId="19" fontId="38" numFmtId="0" xfId="0" applyBorder="1" applyFill="1" applyFont="1"/>
    <xf borderId="0" fillId="0" fontId="54" numFmtId="0" xfId="0" applyFont="1"/>
    <xf borderId="31" fillId="0" fontId="19" numFmtId="0" xfId="0" applyBorder="1" applyFont="1"/>
    <xf borderId="32" fillId="0" fontId="19" numFmtId="0" xfId="0" applyBorder="1" applyFont="1"/>
    <xf borderId="33" fillId="0" fontId="19" numFmtId="0" xfId="0" applyBorder="1" applyFont="1"/>
    <xf borderId="0" fillId="0" fontId="19" numFmtId="0" xfId="0" applyAlignment="1" applyFont="1">
      <alignment horizontal="center" readingOrder="0" textRotation="90" vertical="center"/>
    </xf>
    <xf borderId="0" fillId="0" fontId="20" numFmtId="0" xfId="0" applyAlignment="1" applyFont="1">
      <alignment readingOrder="0"/>
    </xf>
    <xf borderId="2" fillId="12" fontId="42" numFmtId="0" xfId="0" applyBorder="1" applyFill="1" applyFont="1"/>
    <xf quotePrefix="1" borderId="8" fillId="3" fontId="17" numFmtId="0" xfId="0" applyAlignment="1" applyBorder="1" applyFill="1" applyFont="1">
      <alignment horizontal="left" readingOrder="0" vertical="center"/>
    </xf>
    <xf borderId="2" fillId="23" fontId="15" numFmtId="4" xfId="0" applyAlignment="1" applyBorder="1" applyFill="1" applyFont="1" applyNumberFormat="1">
      <alignment horizontal="center" readingOrder="0" vertical="center"/>
    </xf>
    <xf borderId="1" fillId="15" fontId="55" numFmtId="4" xfId="0" applyAlignment="1" applyBorder="1" applyFill="1" applyFont="1" applyNumberFormat="1">
      <alignment horizontal="right" vertical="center"/>
    </xf>
    <xf borderId="0" fillId="0" fontId="19" numFmtId="166" xfId="0" applyAlignment="1" applyFont="1" applyNumberFormat="1">
      <alignment readingOrder="0"/>
    </xf>
    <xf borderId="2" fillId="24" fontId="15" numFmtId="4" xfId="0" applyAlignment="1" applyBorder="1" applyFill="1" applyFont="1" applyNumberFormat="1">
      <alignment horizontal="center" readingOrder="0" vertical="center"/>
    </xf>
    <xf borderId="1" fillId="3" fontId="56" numFmtId="4" xfId="0" applyAlignment="1" applyBorder="1" applyFill="1" applyFont="1" applyNumberFormat="1">
      <alignment vertical="center"/>
    </xf>
    <xf borderId="8" fillId="0" fontId="19" numFmtId="0" xfId="0" applyAlignment="1" applyBorder="1" applyFont="1">
      <alignment horizontal="right" readingOrder="0"/>
    </xf>
    <xf borderId="2" fillId="0" fontId="19" numFmtId="4" xfId="0" applyBorder="1" applyFont="1" applyNumberFormat="1"/>
    <xf borderId="8" fillId="0" fontId="8" numFmtId="4" xfId="0" applyBorder="1" applyFont="1" applyNumberFormat="1"/>
    <xf borderId="2" fillId="0" fontId="57" numFmtId="0" xfId="0" applyAlignment="1" applyBorder="1" applyFont="1">
      <alignment horizontal="center" readingOrder="0" vertical="center"/>
    </xf>
    <xf borderId="2" fillId="0" fontId="5" numFmtId="168" xfId="0" applyAlignment="1" applyBorder="1" applyFont="1" applyNumberFormat="1">
      <alignment horizontal="center" readingOrder="0"/>
    </xf>
    <xf borderId="2" fillId="0" fontId="5" numFmtId="169" xfId="0" applyAlignment="1" applyBorder="1" applyFont="1" applyNumberFormat="1">
      <alignment horizontal="center"/>
    </xf>
    <xf borderId="2" fillId="0" fontId="5" numFmtId="171" xfId="0" applyAlignment="1" applyBorder="1" applyFont="1" applyNumberFormat="1">
      <alignment horizontal="center"/>
    </xf>
    <xf borderId="1" fillId="10" fontId="8" numFmtId="0" xfId="0" applyAlignment="1" applyBorder="1" applyFill="1" applyFont="1">
      <alignment horizontal="center" readingOrder="0" vertical="center"/>
    </xf>
    <xf borderId="1" fillId="10" fontId="8" numFmtId="0" xfId="0" applyAlignment="1" applyBorder="1" applyFill="1" applyFont="1">
      <alignment horizontal="center" vertical="center"/>
    </xf>
    <xf borderId="0" fillId="12" fontId="17" numFmtId="0" xfId="0" applyAlignment="1" applyFill="1" applyFont="1">
      <alignment horizontal="left" readingOrder="0" vertical="center"/>
    </xf>
    <xf borderId="3" fillId="0" fontId="8" numFmtId="168" xfId="0" applyAlignment="1" applyBorder="1" applyFont="1" applyNumberFormat="1">
      <alignment horizontal="center" readingOrder="0" vertical="center"/>
    </xf>
    <xf borderId="3" fillId="0" fontId="8" numFmtId="169" xfId="0" applyAlignment="1" applyBorder="1" applyFont="1" applyNumberFormat="1">
      <alignment horizontal="center" vertical="center"/>
    </xf>
    <xf borderId="3" fillId="0" fontId="8" numFmtId="0" xfId="0" applyAlignment="1" applyBorder="1" applyFont="1">
      <alignment vertical="center"/>
    </xf>
    <xf borderId="3" fillId="0" fontId="8" numFmtId="4" xfId="0" applyAlignment="1" applyBorder="1" applyFont="1" applyNumberFormat="1">
      <alignment readingOrder="0" vertical="center"/>
    </xf>
    <xf borderId="0" fillId="0" fontId="8" numFmtId="0" xfId="0" applyAlignment="1" applyFont="1">
      <alignment horizontal="center" readingOrder="0" vertical="center"/>
    </xf>
    <xf borderId="2" fillId="0" fontId="8" numFmtId="168" xfId="0" applyAlignment="1" applyBorder="1" applyFont="1" applyNumberFormat="1">
      <alignment horizontal="center" vertical="center"/>
    </xf>
    <xf borderId="0" fillId="0" fontId="13" numFmtId="0" xfId="0" applyAlignment="1" applyFont="1">
      <alignment horizontal="center" readingOrder="0"/>
    </xf>
    <xf borderId="8" fillId="3" fontId="8" numFmtId="0" xfId="0" applyAlignment="1" applyBorder="1" applyFill="1" applyFont="1">
      <alignment horizontal="center" readingOrder="0" vertical="center"/>
    </xf>
    <xf borderId="2" fillId="10" fontId="9" numFmtId="0" xfId="0" applyAlignment="1" applyBorder="1" applyFill="1" applyFont="1">
      <alignment horizontal="center" readingOrder="0" vertical="center"/>
    </xf>
    <xf borderId="8" fillId="10" fontId="19" numFmtId="0" xfId="0" applyAlignment="1" applyBorder="1" applyFill="1" applyFont="1">
      <alignment readingOrder="0"/>
    </xf>
    <xf borderId="1" fillId="4" fontId="8" numFmtId="168" xfId="0" applyAlignment="1" applyBorder="1" applyFill="1" applyFont="1" applyNumberFormat="1">
      <alignment horizontal="center" readingOrder="0" vertical="center"/>
    </xf>
    <xf borderId="2" fillId="10" fontId="19" numFmtId="0" xfId="0" applyAlignment="1" applyBorder="1" applyFill="1" applyFont="1">
      <alignment readingOrder="0"/>
    </xf>
    <xf borderId="2" fillId="0" fontId="23" numFmtId="4" xfId="0" applyAlignment="1" applyBorder="1" applyFont="1" applyNumberFormat="1">
      <alignment horizontal="right" readingOrder="0"/>
    </xf>
    <xf borderId="1" fillId="4" fontId="8" numFmtId="169" xfId="0" applyAlignment="1" applyBorder="1" applyFill="1" applyFont="1" applyNumberFormat="1">
      <alignment horizontal="center" vertical="center"/>
    </xf>
    <xf borderId="2" fillId="4" fontId="8" numFmtId="0" xfId="0" applyAlignment="1" applyBorder="1" applyFill="1" applyFont="1">
      <alignment readingOrder="0" vertical="center"/>
    </xf>
    <xf borderId="8" fillId="10" fontId="19" numFmtId="0" xfId="0" applyAlignment="1" applyBorder="1" applyFill="1" applyFont="1">
      <alignment horizontal="center" readingOrder="0"/>
    </xf>
    <xf borderId="2" fillId="4" fontId="8" numFmtId="4" xfId="0" applyAlignment="1" applyBorder="1" applyFill="1" applyFont="1" applyNumberFormat="1">
      <alignment readingOrder="0" vertical="center"/>
    </xf>
    <xf borderId="2" fillId="4" fontId="8" numFmtId="0" xfId="0" applyAlignment="1" applyBorder="1" applyFill="1" applyFont="1">
      <alignment vertical="center"/>
    </xf>
    <xf borderId="34" fillId="2" fontId="11" numFmtId="0" xfId="0" applyAlignment="1" applyBorder="1" applyFill="1" applyFont="1">
      <alignment horizontal="center" vertical="center"/>
    </xf>
    <xf borderId="0" fillId="0" fontId="8" numFmtId="0" xfId="0" applyAlignment="1" applyFont="1">
      <alignment readingOrder="0"/>
    </xf>
    <xf borderId="34" fillId="2" fontId="9" numFmtId="0" xfId="0" applyAlignment="1" applyBorder="1" applyFill="1" applyFont="1">
      <alignment horizontal="center" vertical="center"/>
    </xf>
    <xf borderId="0" fillId="0" fontId="9" numFmtId="0" xfId="0" applyFont="1"/>
    <xf borderId="2" fillId="0" fontId="9" numFmtId="0" xfId="0" applyAlignment="1" applyBorder="1" applyFont="1">
      <alignment readingOrder="0"/>
    </xf>
    <xf borderId="2" fillId="2" fontId="8" numFmtId="0" xfId="0" applyAlignment="1" applyBorder="1" applyFill="1" applyFont="1">
      <alignment horizontal="center" vertical="center"/>
    </xf>
    <xf borderId="0" fillId="0" fontId="41" numFmtId="0" xfId="0" applyFont="1"/>
    <xf borderId="2" fillId="0" fontId="9" numFmtId="0" xfId="0" applyBorder="1" applyFont="1"/>
    <xf borderId="2" fillId="0" fontId="38" numFmtId="0" xfId="0" applyAlignment="1" applyBorder="1" applyFont="1">
      <alignment readingOrder="0"/>
    </xf>
    <xf borderId="2" fillId="0" fontId="9" numFmtId="0" xfId="0" applyAlignment="1" applyBorder="1" applyFont="1">
      <alignment horizontal="center" readingOrder="0"/>
    </xf>
    <xf borderId="0" fillId="0" fontId="9" numFmtId="0" xfId="0" applyAlignment="1" applyFont="1">
      <alignment readingOrder="0"/>
    </xf>
    <xf borderId="2" fillId="12" fontId="8" numFmtId="168" xfId="0" applyAlignment="1" applyBorder="1" applyFill="1" applyFont="1" applyNumberFormat="1">
      <alignment horizontal="center" shrinkToFit="0" vertical="top" wrapText="0"/>
    </xf>
    <xf borderId="2" fillId="12" fontId="58" numFmtId="169" xfId="0" applyAlignment="1" applyBorder="1" applyFill="1" applyFont="1" applyNumberFormat="1">
      <alignment horizontal="center" shrinkToFit="0" wrapText="0"/>
    </xf>
    <xf borderId="0" fillId="0" fontId="41" numFmtId="0" xfId="0" applyAlignment="1" applyFont="1">
      <alignment readingOrder="0"/>
    </xf>
    <xf borderId="2" fillId="12" fontId="8" numFmtId="168" xfId="0" applyAlignment="1" applyBorder="1" applyFill="1" applyFont="1" applyNumberFormat="1">
      <alignment horizontal="center" shrinkToFit="0" vertical="top" wrapText="0"/>
    </xf>
    <xf borderId="2" fillId="12" fontId="58" numFmtId="169" xfId="0" applyAlignment="1" applyBorder="1" applyFill="1" applyFont="1" applyNumberFormat="1">
      <alignment horizontal="center" shrinkToFit="0" wrapText="0"/>
    </xf>
    <xf borderId="2" fillId="12" fontId="8" numFmtId="171" xfId="0" applyAlignment="1" applyBorder="1" applyFill="1" applyFont="1" applyNumberFormat="1">
      <alignment horizontal="center" readingOrder="0" vertical="center"/>
    </xf>
    <xf borderId="2" fillId="12" fontId="32" numFmtId="0" xfId="0" applyAlignment="1" applyBorder="1" applyFill="1" applyFont="1">
      <alignment readingOrder="0"/>
    </xf>
    <xf borderId="2" fillId="12" fontId="32" numFmtId="4" xfId="0" applyAlignment="1" applyBorder="1" applyFill="1" applyFont="1" applyNumberFormat="1">
      <alignment readingOrder="0"/>
    </xf>
    <xf borderId="2" fillId="12" fontId="32" numFmtId="0" xfId="0" applyBorder="1" applyFill="1" applyFont="1"/>
    <xf borderId="2" fillId="25" fontId="8" numFmtId="168" xfId="0" applyAlignment="1" applyBorder="1" applyFill="1" applyFont="1" applyNumberFormat="1">
      <alignment horizontal="center" shrinkToFit="0" vertical="top" wrapText="0"/>
    </xf>
    <xf borderId="2" fillId="25" fontId="58" numFmtId="169" xfId="0" applyAlignment="1" applyBorder="1" applyFill="1" applyFont="1" applyNumberFormat="1">
      <alignment horizontal="center" shrinkToFit="0" wrapText="0"/>
    </xf>
    <xf borderId="2" fillId="25" fontId="8" numFmtId="171" xfId="0" applyAlignment="1" applyBorder="1" applyFill="1" applyFont="1" applyNumberFormat="1">
      <alignment horizontal="center" readingOrder="0" vertical="center"/>
    </xf>
    <xf borderId="2" fillId="25" fontId="32" numFmtId="0" xfId="0" applyAlignment="1" applyBorder="1" applyFill="1" applyFont="1">
      <alignment readingOrder="0"/>
    </xf>
    <xf borderId="2" fillId="25" fontId="32" numFmtId="4" xfId="0" applyAlignment="1" applyBorder="1" applyFill="1" applyFont="1" applyNumberFormat="1">
      <alignment readingOrder="0"/>
    </xf>
    <xf borderId="2" fillId="25" fontId="32" numFmtId="0" xfId="0" applyBorder="1" applyFill="1" applyFont="1"/>
    <xf borderId="2" fillId="3" fontId="8" numFmtId="0" xfId="0" applyAlignment="1" applyBorder="1" applyFill="1" applyFont="1">
      <alignment readingOrder="0"/>
    </xf>
    <xf borderId="2" fillId="3" fontId="8" numFmtId="0" xfId="0" applyBorder="1" applyFill="1" applyFont="1"/>
    <xf borderId="2" fillId="3" fontId="19" numFmtId="4" xfId="0" applyBorder="1" applyFill="1" applyFont="1" applyNumberFormat="1"/>
    <xf borderId="2" fillId="0" fontId="21" numFmtId="0" xfId="0" applyAlignment="1" applyBorder="1" applyFont="1">
      <alignment readingOrder="0" shrinkToFit="0" vertical="center" wrapText="1"/>
    </xf>
    <xf borderId="2" fillId="0" fontId="10" numFmtId="0" xfId="0" applyAlignment="1" applyBorder="1" applyFont="1">
      <alignment horizontal="right" readingOrder="0" vertical="bottom"/>
    </xf>
    <xf borderId="2" fillId="0" fontId="10" numFmtId="4" xfId="0" applyAlignment="1" applyBorder="1" applyFont="1" applyNumberFormat="1">
      <alignment horizontal="right" readingOrder="0" vertical="bottom"/>
    </xf>
    <xf borderId="2" fillId="0" fontId="10" numFmtId="0" xfId="0" applyAlignment="1" applyBorder="1" applyFont="1">
      <alignment vertical="bottom"/>
    </xf>
    <xf borderId="8" fillId="11" fontId="8" numFmtId="0" xfId="0" applyAlignment="1" applyBorder="1" applyFill="1" applyFont="1">
      <alignment horizontal="right" readingOrder="0" vertical="center"/>
    </xf>
    <xf borderId="2" fillId="11" fontId="8" numFmtId="4" xfId="0" applyAlignment="1" applyBorder="1" applyFill="1" applyFont="1" applyNumberFormat="1">
      <alignment horizontal="right" readingOrder="0" vertical="center"/>
    </xf>
    <xf borderId="8" fillId="11" fontId="17" numFmtId="0" xfId="0" applyAlignment="1" applyBorder="1" applyFill="1" applyFont="1">
      <alignment horizontal="left" readingOrder="0" vertical="center"/>
    </xf>
    <xf quotePrefix="1" borderId="35" fillId="3" fontId="17" numFmtId="0" xfId="0" applyAlignment="1" applyBorder="1" applyFill="1" applyFont="1">
      <alignment horizontal="left" readingOrder="0" vertical="center"/>
    </xf>
    <xf borderId="36" fillId="0" fontId="7" numFmtId="0" xfId="0" applyBorder="1" applyFont="1"/>
    <xf borderId="37" fillId="0" fontId="7" numFmtId="0" xfId="0" applyBorder="1" applyFont="1"/>
    <xf borderId="10" fillId="0" fontId="8" numFmtId="168" xfId="0" applyAlignment="1" applyBorder="1" applyFont="1" applyNumberFormat="1">
      <alignment horizontal="center" readingOrder="0" vertical="center"/>
    </xf>
    <xf borderId="10" fillId="0" fontId="8" numFmtId="169" xfId="0" applyAlignment="1" applyBorder="1" applyFont="1" applyNumberFormat="1">
      <alignment horizontal="center" vertical="center"/>
    </xf>
    <xf borderId="3" fillId="0" fontId="8" numFmtId="0" xfId="0" applyAlignment="1" applyBorder="1" applyFont="1">
      <alignment horizontal="center" readingOrder="0" vertical="center"/>
    </xf>
    <xf borderId="2" fillId="12" fontId="8" numFmtId="168" xfId="0" applyAlignment="1" applyBorder="1" applyFill="1" applyFont="1" applyNumberFormat="1">
      <alignment horizontal="center" readingOrder="0" vertical="center"/>
    </xf>
    <xf borderId="9" fillId="12" fontId="7" numFmtId="0" xfId="0" applyBorder="1" applyFill="1" applyFont="1"/>
    <xf borderId="4" fillId="12" fontId="7" numFmtId="0" xfId="0" applyBorder="1" applyFill="1" applyFont="1"/>
    <xf borderId="0" fillId="12" fontId="32" numFmtId="0" xfId="0" applyAlignment="1" applyFill="1" applyFont="1">
      <alignment readingOrder="0"/>
    </xf>
    <xf borderId="0" fillId="12" fontId="32" numFmtId="0" xfId="0" applyFill="1" applyFont="1"/>
    <xf borderId="2" fillId="8" fontId="8" numFmtId="0" xfId="0" applyAlignment="1" applyBorder="1" applyFill="1" applyFont="1">
      <alignment horizontal="center" readingOrder="0" vertical="center"/>
    </xf>
    <xf borderId="2" fillId="25" fontId="8" numFmtId="168" xfId="0" applyAlignment="1" applyBorder="1" applyFill="1" applyFont="1" applyNumberFormat="1">
      <alignment horizontal="center" readingOrder="0" shrinkToFit="0" vertical="top" wrapText="0"/>
    </xf>
    <xf borderId="2" fillId="25" fontId="58" numFmtId="169" xfId="0" applyAlignment="1" applyBorder="1" applyFill="1" applyFont="1" applyNumberFormat="1">
      <alignment horizontal="center" shrinkToFit="0" wrapText="0"/>
    </xf>
    <xf borderId="1" fillId="0" fontId="10" numFmtId="4" xfId="0" applyAlignment="1" applyBorder="1" applyFont="1" applyNumberFormat="1">
      <alignment horizontal="right"/>
    </xf>
    <xf borderId="1" fillId="0" fontId="8" numFmtId="0" xfId="0" applyAlignment="1" applyBorder="1" applyFont="1">
      <alignment horizontal="center" readingOrder="0" vertical="center"/>
    </xf>
    <xf borderId="2" fillId="0" fontId="8" numFmtId="1" xfId="0" applyAlignment="1" applyBorder="1" applyFont="1" applyNumberFormat="1">
      <alignment horizontal="right" readingOrder="0" vertical="center"/>
    </xf>
    <xf borderId="2" fillId="0" fontId="8" numFmtId="2" xfId="0" applyAlignment="1" applyBorder="1" applyFont="1" applyNumberFormat="1">
      <alignment horizontal="right" readingOrder="0" vertical="center"/>
    </xf>
    <xf borderId="2" fillId="0" fontId="8" numFmtId="1" xfId="0" applyAlignment="1" applyBorder="1" applyFont="1" applyNumberFormat="1">
      <alignment horizontal="right" readingOrder="0"/>
    </xf>
    <xf borderId="2" fillId="0" fontId="8" numFmtId="2" xfId="0" applyAlignment="1" applyBorder="1" applyFont="1" applyNumberFormat="1">
      <alignment horizontal="right" readingOrder="0"/>
    </xf>
    <xf borderId="10" fillId="0" fontId="8" numFmtId="0" xfId="0" applyBorder="1" applyFont="1"/>
    <xf borderId="10" fillId="26" fontId="59" numFmtId="0" xfId="0" applyAlignment="1" applyBorder="1" applyFill="1" applyFont="1">
      <alignment readingOrder="0"/>
    </xf>
    <xf borderId="1" fillId="0" fontId="8" numFmtId="0" xfId="0" applyAlignment="1" applyBorder="1" applyFont="1">
      <alignment horizontal="left" readingOrder="0" vertical="center"/>
    </xf>
    <xf borderId="2" fillId="12" fontId="8" numFmtId="168" xfId="0" applyAlignment="1" applyBorder="1" applyFill="1" applyFont="1" applyNumberFormat="1">
      <alignment horizontal="center" readingOrder="0" shrinkToFit="0" vertical="top" wrapText="0"/>
    </xf>
    <xf borderId="10" fillId="0" fontId="19" numFmtId="0" xfId="0" applyBorder="1" applyFont="1"/>
    <xf borderId="0" fillId="0" fontId="13" numFmtId="0" xfId="0" applyAlignment="1" applyFont="1">
      <alignment horizontal="center" readingOrder="0" vertical="center"/>
    </xf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vertical="center"/>
    </xf>
    <xf borderId="2" fillId="0" fontId="26" numFmtId="4" xfId="0" applyAlignment="1" applyBorder="1" applyFont="1" applyNumberFormat="1">
      <alignment horizontal="right"/>
    </xf>
    <xf borderId="0" fillId="0" fontId="10" numFmtId="168" xfId="0" applyAlignment="1" applyFont="1" applyNumberFormat="1">
      <alignment horizontal="center" readingOrder="0" vertical="center"/>
    </xf>
    <xf borderId="0" fillId="0" fontId="10" numFmtId="169" xfId="0" applyAlignment="1" applyFont="1" applyNumberFormat="1">
      <alignment horizontal="center" vertical="center"/>
    </xf>
    <xf borderId="0" fillId="0" fontId="10" numFmtId="171" xfId="0" applyAlignment="1" applyFont="1" applyNumberFormat="1">
      <alignment horizontal="center" readingOrder="0" vertical="center"/>
    </xf>
    <xf borderId="1" fillId="12" fontId="8" numFmtId="168" xfId="0" applyAlignment="1" applyBorder="1" applyFill="1" applyFont="1" applyNumberFormat="1">
      <alignment horizontal="center" readingOrder="0" vertical="center"/>
    </xf>
    <xf borderId="0" fillId="0" fontId="10" numFmtId="4" xfId="0" applyAlignment="1" applyFont="1" applyNumberFormat="1">
      <alignment readingOrder="0"/>
    </xf>
    <xf borderId="3" fillId="0" fontId="19" numFmtId="0" xfId="0" applyBorder="1" applyFont="1"/>
    <xf borderId="2" fillId="0" fontId="24" numFmtId="0" xfId="0" applyAlignment="1" applyBorder="1" applyFont="1">
      <alignment readingOrder="0" vertical="center"/>
    </xf>
    <xf borderId="8" fillId="3" fontId="8" numFmtId="0" xfId="0" applyAlignment="1" applyBorder="1" applyFill="1" applyFont="1">
      <alignment readingOrder="0"/>
    </xf>
    <xf borderId="2" fillId="3" fontId="8" numFmtId="2" xfId="0" applyBorder="1" applyFill="1" applyFont="1" applyNumberFormat="1"/>
    <xf borderId="0" fillId="0" fontId="10" numFmtId="0" xfId="0" applyAlignment="1" applyFont="1">
      <alignment horizontal="center" readingOrder="0" vertical="center"/>
    </xf>
    <xf borderId="0" fillId="0" fontId="10" numFmtId="0" xfId="0" applyFont="1"/>
    <xf borderId="0" fillId="0" fontId="59" numFmtId="0" xfId="0" applyAlignment="1" applyFont="1">
      <alignment readingOrder="0"/>
    </xf>
    <xf borderId="0" fillId="0" fontId="10" numFmtId="0" xfId="0" applyAlignment="1" applyFont="1">
      <alignment horizontal="right" readingOrder="0" vertical="center"/>
    </xf>
    <xf borderId="0" fillId="0" fontId="10" numFmtId="4" xfId="0" applyAlignment="1" applyFont="1" applyNumberFormat="1">
      <alignment horizontal="right" readingOrder="0" vertical="center"/>
    </xf>
    <xf borderId="2" fillId="0" fontId="23" numFmtId="4" xfId="0" applyAlignment="1" applyBorder="1" applyFont="1" applyNumberFormat="1">
      <alignment horizontal="right"/>
    </xf>
    <xf borderId="2" fillId="12" fontId="60" numFmtId="0" xfId="0" applyAlignment="1" applyBorder="1" applyFill="1" applyFont="1">
      <alignment readingOrder="0"/>
    </xf>
    <xf borderId="2" fillId="0" fontId="10" numFmtId="0" xfId="0" applyAlignment="1" applyBorder="1" applyFont="1">
      <alignment readingOrder="0" shrinkToFit="0" vertical="center" wrapText="1"/>
    </xf>
    <xf borderId="2" fillId="15" fontId="10" numFmtId="0" xfId="0" applyAlignment="1" applyBorder="1" applyFill="1" applyFont="1">
      <alignment horizontal="right" vertical="bottom"/>
    </xf>
    <xf borderId="2" fillId="15" fontId="10" numFmtId="4" xfId="0" applyAlignment="1" applyBorder="1" applyFill="1" applyFont="1" applyNumberFormat="1">
      <alignment horizontal="right" readingOrder="0" vertical="bottom"/>
    </xf>
    <xf borderId="2" fillId="15" fontId="10" numFmtId="4" xfId="0" applyAlignment="1" applyBorder="1" applyFill="1" applyFont="1" applyNumberFormat="1">
      <alignment horizontal="right" vertical="bottom"/>
    </xf>
    <xf borderId="2" fillId="15" fontId="10" numFmtId="0" xfId="0" applyAlignment="1" applyBorder="1" applyFill="1" applyFont="1">
      <alignment readingOrder="0" vertical="bottom"/>
    </xf>
    <xf borderId="2" fillId="0" fontId="25" numFmtId="0" xfId="0" applyAlignment="1" applyBorder="1" applyFont="1">
      <alignment horizontal="center" readingOrder="0"/>
    </xf>
    <xf borderId="2" fillId="0" fontId="25" numFmtId="0" xfId="0" applyBorder="1" applyFont="1"/>
    <xf borderId="2" fillId="0" fontId="61" numFmtId="3" xfId="0" applyAlignment="1" applyBorder="1" applyFont="1" applyNumberFormat="1">
      <alignment horizontal="right" readingOrder="0"/>
    </xf>
    <xf borderId="2" fillId="0" fontId="61" numFmtId="4" xfId="0" applyAlignment="1" applyBorder="1" applyFont="1" applyNumberFormat="1">
      <alignment horizontal="right" readingOrder="0"/>
    </xf>
    <xf borderId="2" fillId="0" fontId="38" numFmtId="0" xfId="0" applyAlignment="1" applyBorder="1" applyFont="1">
      <alignment horizontal="right" readingOrder="0"/>
    </xf>
    <xf borderId="2" fillId="0" fontId="38" numFmtId="0" xfId="0" applyAlignment="1" applyBorder="1" applyFont="1">
      <alignment horizontal="right"/>
    </xf>
    <xf borderId="1" fillId="0" fontId="38" numFmtId="0" xfId="0" applyAlignment="1" applyBorder="1" applyFont="1">
      <alignment horizontal="right"/>
    </xf>
    <xf borderId="2" fillId="0" fontId="61" numFmtId="0" xfId="0" applyAlignment="1" applyBorder="1" applyFont="1">
      <alignment horizontal="right" readingOrder="0"/>
    </xf>
    <xf borderId="2" fillId="0" fontId="61" numFmtId="2" xfId="0" applyAlignment="1" applyBorder="1" applyFont="1" applyNumberFormat="1">
      <alignment horizontal="right" readingOrder="0"/>
    </xf>
    <xf borderId="2" fillId="0" fontId="61" numFmtId="4" xfId="0" applyBorder="1" applyFont="1" applyNumberFormat="1"/>
    <xf borderId="1" fillId="0" fontId="61" numFmtId="4" xfId="0" applyBorder="1" applyFont="1" applyNumberFormat="1"/>
    <xf borderId="2" fillId="0" fontId="61" numFmtId="4" xfId="0" applyAlignment="1" applyBorder="1" applyFont="1" applyNumberFormat="1">
      <alignment horizontal="right"/>
    </xf>
    <xf borderId="2" fillId="0" fontId="38" numFmtId="2" xfId="0" applyAlignment="1" applyBorder="1" applyFont="1" applyNumberFormat="1">
      <alignment horizontal="right"/>
    </xf>
    <xf borderId="2" fillId="0" fontId="61" numFmtId="2" xfId="0" applyBorder="1" applyFont="1" applyNumberFormat="1"/>
    <xf borderId="1" fillId="0" fontId="61" numFmtId="4" xfId="0" applyAlignment="1" applyBorder="1" applyFont="1" applyNumberFormat="1">
      <alignment horizontal="right"/>
    </xf>
    <xf borderId="2" fillId="0" fontId="10" numFmtId="0" xfId="0" applyAlignment="1" applyBorder="1" applyFont="1">
      <alignment horizontal="left" readingOrder="0"/>
    </xf>
    <xf borderId="0" fillId="0" fontId="60" numFmtId="0" xfId="0" applyAlignment="1" applyFont="1">
      <alignment readingOrder="0"/>
    </xf>
    <xf borderId="0" fillId="0" fontId="19" numFmtId="4" xfId="0" applyFont="1" applyNumberFormat="1"/>
    <xf borderId="2" fillId="13" fontId="2" numFmtId="0" xfId="0" applyAlignment="1" applyBorder="1" applyFill="1" applyFont="1">
      <alignment readingOrder="0"/>
    </xf>
    <xf borderId="15" fillId="7" fontId="8" numFmtId="168" xfId="0" applyAlignment="1" applyBorder="1" applyFill="1" applyFont="1" applyNumberFormat="1">
      <alignment horizontal="center" readingOrder="0" vertical="center"/>
    </xf>
    <xf borderId="2" fillId="7" fontId="2" numFmtId="0" xfId="0" applyAlignment="1" applyBorder="1" applyFill="1" applyFont="1">
      <alignment readingOrder="0"/>
    </xf>
    <xf borderId="2" fillId="7" fontId="60" numFmtId="0" xfId="0" applyAlignment="1" applyBorder="1" applyFill="1" applyFont="1">
      <alignment readingOrder="0"/>
    </xf>
    <xf borderId="2" fillId="7" fontId="8" numFmtId="0" xfId="0" applyBorder="1" applyFill="1" applyFont="1"/>
    <xf borderId="2" fillId="7" fontId="19" numFmtId="0" xfId="0" applyBorder="1" applyFill="1" applyFont="1"/>
    <xf borderId="2" fillId="7" fontId="19" numFmtId="4" xfId="0" applyAlignment="1" applyBorder="1" applyFill="1" applyFont="1" applyNumberFormat="1">
      <alignment readingOrder="0"/>
    </xf>
    <xf borderId="2" fillId="7" fontId="19" numFmtId="4" xfId="0" applyBorder="1" applyFill="1" applyFont="1" applyNumberFormat="1"/>
    <xf borderId="2" fillId="7" fontId="8" numFmtId="4" xfId="0" applyBorder="1" applyFill="1" applyFont="1" applyNumberFormat="1"/>
    <xf borderId="2" fillId="0" fontId="60" numFmtId="0" xfId="0" applyAlignment="1" applyBorder="1" applyFont="1">
      <alignment readingOrder="0"/>
    </xf>
    <xf borderId="0" fillId="0" fontId="19" numFmtId="4" xfId="0" applyAlignment="1" applyFont="1" applyNumberFormat="1">
      <alignment readingOrder="0"/>
    </xf>
    <xf borderId="0" fillId="12" fontId="60" numFmtId="0" xfId="0" applyAlignment="1" applyFill="1" applyFont="1">
      <alignment readingOrder="0"/>
    </xf>
    <xf borderId="0" fillId="0" fontId="38" numFmtId="0" xfId="0" applyAlignment="1" applyFont="1">
      <alignment readingOrder="0"/>
    </xf>
    <xf borderId="0" fillId="0" fontId="38" numFmtId="0" xfId="0" applyFont="1"/>
    <xf borderId="1" fillId="7" fontId="8" numFmtId="168" xfId="0" applyAlignment="1" applyBorder="1" applyFill="1" applyFont="1" applyNumberFormat="1">
      <alignment horizontal="center" readingOrder="0" vertical="center"/>
    </xf>
    <xf borderId="1" fillId="7" fontId="8" numFmtId="169" xfId="0" applyAlignment="1" applyBorder="1" applyFill="1" applyFont="1" applyNumberFormat="1">
      <alignment horizontal="center" vertical="center"/>
    </xf>
    <xf borderId="0" fillId="0" fontId="62" numFmtId="0" xfId="0" applyAlignment="1" applyFont="1">
      <alignment readingOrder="0"/>
    </xf>
    <xf borderId="9" fillId="3" fontId="63" numFmtId="166" xfId="0" applyAlignment="1" applyBorder="1" applyFill="1" applyFont="1" applyNumberFormat="1">
      <alignment horizontal="center" readingOrder="0" vertical="center"/>
    </xf>
    <xf borderId="4" fillId="3" fontId="63" numFmtId="166" xfId="0" applyAlignment="1" applyBorder="1" applyFill="1" applyFont="1" applyNumberFormat="1">
      <alignment horizontal="center" readingOrder="0" vertical="center"/>
    </xf>
    <xf borderId="1" fillId="0" fontId="5" numFmtId="168" xfId="0" applyAlignment="1" applyBorder="1" applyFont="1" applyNumberFormat="1">
      <alignment horizontal="center" readingOrder="0"/>
    </xf>
    <xf borderId="1" fillId="0" fontId="5" numFmtId="169" xfId="0" applyAlignment="1" applyBorder="1" applyFont="1" applyNumberFormat="1">
      <alignment horizontal="center"/>
    </xf>
    <xf borderId="2" fillId="0" fontId="5" numFmtId="171" xfId="0" applyAlignment="1" applyBorder="1" applyFont="1" applyNumberFormat="1">
      <alignment horizontal="center" readingOrder="0"/>
    </xf>
    <xf borderId="2" fillId="0" fontId="5" numFmtId="0" xfId="0" applyBorder="1" applyFont="1"/>
    <xf borderId="2" fillId="0" fontId="64" numFmtId="4" xfId="0" applyAlignment="1" applyBorder="1" applyFont="1" applyNumberFormat="1">
      <alignment horizontal="right"/>
    </xf>
    <xf borderId="2" fillId="0" fontId="29" numFmtId="0" xfId="0" applyBorder="1" applyFont="1"/>
    <xf borderId="2" fillId="0" fontId="2" numFmtId="0" xfId="0" applyAlignment="1" applyBorder="1" applyFont="1">
      <alignment horizontal="center" readingOrder="0"/>
    </xf>
    <xf borderId="1" fillId="0" fontId="5" numFmtId="171" xfId="0" applyAlignment="1" applyBorder="1" applyFont="1" applyNumberFormat="1">
      <alignment horizontal="center"/>
    </xf>
    <xf borderId="0" fillId="0" fontId="8" numFmtId="0" xfId="0" applyAlignment="1" applyFont="1">
      <alignment readingOrder="0" vertical="center"/>
    </xf>
    <xf borderId="2" fillId="12" fontId="8" numFmtId="0" xfId="0" applyAlignment="1" applyBorder="1" applyFill="1" applyFont="1">
      <alignment horizontal="left" readingOrder="0" shrinkToFit="0" vertical="top" wrapText="0"/>
    </xf>
    <xf borderId="2" fillId="12" fontId="8" numFmtId="0" xfId="0" applyAlignment="1" applyBorder="1" applyFill="1" applyFont="1">
      <alignment horizontal="center" readingOrder="0" shrinkToFit="0" vertical="top" wrapText="0"/>
    </xf>
    <xf borderId="2" fillId="12" fontId="8" numFmtId="0" xfId="0" applyAlignment="1" applyBorder="1" applyFill="1" applyFont="1">
      <alignment readingOrder="0" vertical="center"/>
    </xf>
    <xf borderId="2" fillId="12" fontId="8" numFmtId="4" xfId="0" applyAlignment="1" applyBorder="1" applyFill="1" applyFont="1" applyNumberFormat="1">
      <alignment readingOrder="0" vertical="center"/>
    </xf>
    <xf borderId="2" fillId="25" fontId="8" numFmtId="0" xfId="0" applyAlignment="1" applyBorder="1" applyFill="1" applyFont="1">
      <alignment readingOrder="0" vertical="center"/>
    </xf>
    <xf borderId="2" fillId="25" fontId="8" numFmtId="4" xfId="0" applyAlignment="1" applyBorder="1" applyFill="1" applyFont="1" applyNumberFormat="1">
      <alignment readingOrder="0" vertical="center"/>
    </xf>
    <xf borderId="2" fillId="25" fontId="8" numFmtId="0" xfId="0" applyAlignment="1" applyBorder="1" applyFill="1" applyFont="1">
      <alignment horizontal="left" readingOrder="0" shrinkToFit="0" vertical="top" wrapText="0"/>
    </xf>
    <xf borderId="2" fillId="25" fontId="8" numFmtId="0" xfId="0" applyAlignment="1" applyBorder="1" applyFill="1" applyFont="1">
      <alignment horizontal="center" readingOrder="0" shrinkToFit="0" vertical="top" wrapText="0"/>
    </xf>
    <xf borderId="2" fillId="12" fontId="8" numFmtId="0" xfId="0" applyAlignment="1" applyBorder="1" applyFill="1" applyFont="1">
      <alignment horizontal="left" readingOrder="0" shrinkToFit="0" vertical="top" wrapText="0"/>
    </xf>
    <xf borderId="2" fillId="12" fontId="8" numFmtId="0" xfId="0" applyAlignment="1" applyBorder="1" applyFill="1" applyFont="1">
      <alignment horizontal="center" readingOrder="0" shrinkToFit="0" vertical="top" wrapText="0"/>
    </xf>
    <xf borderId="8" fillId="12" fontId="65" numFmtId="0" xfId="0" applyAlignment="1" applyBorder="1" applyFill="1" applyFont="1">
      <alignment horizontal="right" readingOrder="0" vertical="center"/>
    </xf>
    <xf borderId="21" fillId="25" fontId="7" numFmtId="0" xfId="0" applyBorder="1" applyFill="1" applyFont="1"/>
    <xf borderId="2" fillId="12" fontId="8" numFmtId="168" xfId="0" applyAlignment="1" applyBorder="1" applyFill="1" applyFont="1" applyNumberFormat="1">
      <alignment horizontal="center" readingOrder="0" shrinkToFit="0" vertical="top" wrapText="0"/>
    </xf>
    <xf borderId="2" fillId="25" fontId="8" numFmtId="168" xfId="0" applyAlignment="1" applyBorder="1" applyFill="1" applyFont="1" applyNumberFormat="1">
      <alignment horizontal="center" readingOrder="0" shrinkToFit="0" vertical="top" wrapText="0"/>
    </xf>
    <xf borderId="2" fillId="27" fontId="8" numFmtId="4" xfId="0" applyAlignment="1" applyBorder="1" applyFill="1" applyFont="1" applyNumberFormat="1">
      <alignment readingOrder="0" vertical="center"/>
    </xf>
    <xf borderId="2" fillId="12" fontId="24" numFmtId="0" xfId="0" applyAlignment="1" applyBorder="1" applyFill="1" applyFont="1">
      <alignment readingOrder="0" vertical="center"/>
    </xf>
    <xf borderId="2" fillId="25" fontId="24" numFmtId="0" xfId="0" applyAlignment="1" applyBorder="1" applyFill="1" applyFont="1">
      <alignment readingOrder="0" vertical="center"/>
    </xf>
    <xf borderId="2" fillId="28" fontId="66" numFmtId="4" xfId="0" applyAlignment="1" applyBorder="1" applyFill="1" applyFont="1" applyNumberFormat="1">
      <alignment readingOrder="0" vertical="center"/>
    </xf>
    <xf borderId="2" fillId="28" fontId="8" numFmtId="4" xfId="0" applyAlignment="1" applyBorder="1" applyFill="1" applyFont="1" applyNumberFormat="1">
      <alignment readingOrder="0" vertical="center"/>
    </xf>
    <xf borderId="9" fillId="25" fontId="7" numFmtId="0" xfId="0" applyBorder="1" applyFill="1" applyFont="1"/>
    <xf borderId="4" fillId="25" fontId="7" numFmtId="0" xfId="0" applyBorder="1" applyFill="1" applyFont="1"/>
    <xf borderId="8" fillId="25" fontId="65" numFmtId="0" xfId="0" applyAlignment="1" applyBorder="1" applyFill="1" applyFont="1">
      <alignment horizontal="right" readingOrder="0" vertical="center"/>
    </xf>
    <xf borderId="0" fillId="12" fontId="5" numFmtId="164" xfId="0" applyAlignment="1" applyFill="1" applyFont="1" applyNumberFormat="1">
      <alignment horizontal="center" shrinkToFit="0" vertical="top" wrapText="0"/>
    </xf>
    <xf borderId="0" fillId="12" fontId="67" numFmtId="169" xfId="0" applyAlignment="1" applyFill="1" applyFont="1" applyNumberFormat="1">
      <alignment horizontal="center" shrinkToFit="0" wrapText="0"/>
    </xf>
    <xf borderId="0" fillId="12" fontId="5" numFmtId="176" xfId="0" applyAlignment="1" applyFill="1" applyFont="1" applyNumberFormat="1">
      <alignment horizontal="center" shrinkToFit="0" vertical="top" wrapText="0"/>
    </xf>
    <xf borderId="0" fillId="12" fontId="5" numFmtId="0" xfId="0" applyAlignment="1" applyFill="1" applyFont="1">
      <alignment shrinkToFit="0" vertical="top" wrapText="0"/>
    </xf>
    <xf borderId="0" fillId="12" fontId="8" numFmtId="0" xfId="0" applyAlignment="1" applyFill="1" applyFont="1">
      <alignment readingOrder="0" shrinkToFit="0" vertical="top" wrapText="0"/>
    </xf>
    <xf borderId="0" fillId="12" fontId="8" numFmtId="4" xfId="0" applyAlignment="1" applyFill="1" applyFont="1" applyNumberFormat="1">
      <alignment readingOrder="0" shrinkToFit="0" vertical="top" wrapText="0"/>
    </xf>
    <xf borderId="0" fillId="0" fontId="2" numFmtId="0" xfId="0" applyAlignment="1" applyFont="1">
      <alignment readingOrder="0"/>
    </xf>
    <xf borderId="0" fillId="25" fontId="5" numFmtId="164" xfId="0" applyAlignment="1" applyFill="1" applyFont="1" applyNumberFormat="1">
      <alignment horizontal="center" shrinkToFit="0" vertical="top" wrapText="0"/>
    </xf>
    <xf borderId="0" fillId="25" fontId="67" numFmtId="169" xfId="0" applyAlignment="1" applyFill="1" applyFont="1" applyNumberFormat="1">
      <alignment horizontal="center" shrinkToFit="0" wrapText="0"/>
    </xf>
    <xf borderId="0" fillId="25" fontId="5" numFmtId="176" xfId="0" applyAlignment="1" applyFill="1" applyFont="1" applyNumberFormat="1">
      <alignment horizontal="center" shrinkToFit="0" vertical="top" wrapText="0"/>
    </xf>
    <xf borderId="0" fillId="25" fontId="5" numFmtId="0" xfId="0" applyAlignment="1" applyFill="1" applyFont="1">
      <alignment shrinkToFit="0" vertical="top" wrapText="0"/>
    </xf>
    <xf borderId="0" fillId="25" fontId="8" numFmtId="0" xfId="0" applyAlignment="1" applyFill="1" applyFont="1">
      <alignment readingOrder="0" shrinkToFit="0" vertical="top" wrapText="0"/>
    </xf>
    <xf borderId="0" fillId="25" fontId="8" numFmtId="4" xfId="0" applyAlignment="1" applyFill="1" applyFont="1" applyNumberFormat="1">
      <alignment readingOrder="0" shrinkToFit="0" vertical="top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color rgb="FFE69138"/>
      </font>
      <fill>
        <patternFill patternType="none"/>
      </fill>
      <border/>
    </dxf>
    <dxf>
      <font>
        <color rgb="FF38761D"/>
      </font>
      <fill>
        <patternFill patternType="none"/>
      </fill>
      <border/>
    </dxf>
  </dxfs>
  <tableStyles count="4">
    <tableStyle count="2" pivot="0" name="Entradas-style">
      <tableStyleElement dxfId="1" type="firstRowStripe"/>
      <tableStyleElement dxfId="2" type="secondRowStripe"/>
    </tableStyle>
    <tableStyle count="2" pivot="0" name="Entradas-style 2">
      <tableStyleElement dxfId="1" type="firstRowStripe"/>
      <tableStyleElement dxfId="2" type="secondRowStripe"/>
    </tableStyle>
    <tableStyle count="2" pivot="0" name="Entradas-style 3">
      <tableStyleElement dxfId="1" type="firstRowStripe"/>
      <tableStyleElement dxfId="2" type="secondRowStripe"/>
    </tableStyle>
    <tableStyle count="2" pivot="0" name="Sacerdote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1">
                <a:solidFill>
                  <a:srgbClr val="A61C00"/>
                </a:solidFill>
                <a:latin typeface="+mn-lt"/>
              </a:defRPr>
            </a:pPr>
            <a:r>
              <a:rPr b="0" i="1">
                <a:solidFill>
                  <a:srgbClr val="A61C00"/>
                </a:solidFill>
                <a:latin typeface="+mn-lt"/>
              </a:rPr>
              <a:t>Distribuição da Despesa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990000"/>
              </a:solidFill>
            </c:spPr>
          </c:dPt>
          <c:dPt>
            <c:idx val="1"/>
            <c:spPr>
              <a:solidFill>
                <a:srgbClr val="F4CCCC"/>
              </a:solidFill>
            </c:spPr>
          </c:dPt>
          <c:dPt>
            <c:idx val="2"/>
            <c:spPr>
              <a:solidFill>
                <a:srgbClr val="E6B8AF"/>
              </a:solidFill>
            </c:spPr>
          </c:dPt>
          <c:dPt>
            <c:idx val="3"/>
            <c:spPr>
              <a:solidFill>
                <a:srgbClr val="DD7E6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Gerencial!$C$13:$C$16</c:f>
            </c:strRef>
          </c:cat>
          <c:val>
            <c:numRef>
              <c:f>Gerencial!$D$13:$D$16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4CCCC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1">
                <a:solidFill>
                  <a:srgbClr val="4A86E8"/>
                </a:solidFill>
                <a:latin typeface="+mn-lt"/>
              </a:defRPr>
            </a:pPr>
            <a:r>
              <a:rPr b="0" i="1">
                <a:solidFill>
                  <a:srgbClr val="4A86E8"/>
                </a:solidFill>
                <a:latin typeface="+mn-lt"/>
              </a:rPr>
              <a:t>Distribuição da Receita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explosion val="0"/>
            <c:spPr>
              <a:solidFill>
                <a:srgbClr val="5891AD"/>
              </a:solidFill>
            </c:spPr>
          </c:dPt>
          <c:dPt>
            <c:idx val="1"/>
            <c:spPr>
              <a:solidFill>
                <a:srgbClr val="004561"/>
              </a:solidFill>
            </c:spPr>
          </c:dPt>
          <c:dPt>
            <c:idx val="2"/>
            <c:spPr>
              <a:solidFill>
                <a:srgbClr val="FF6F31"/>
              </a:solidFill>
            </c:spPr>
          </c:dPt>
          <c:dPt>
            <c:idx val="3"/>
            <c:spPr>
              <a:solidFill>
                <a:srgbClr val="1C7685"/>
              </a:solidFill>
            </c:spPr>
          </c:dPt>
          <c:dPt>
            <c:idx val="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Gerencial!$C$7:$C$11</c:f>
            </c:strRef>
          </c:cat>
          <c:val>
            <c:numRef>
              <c:f>Gerencial!$D$7:$D$11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FE2F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Demonstrativo por Item de Consumo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Gerencial!$C$18:$C$40</c:f>
            </c:strRef>
          </c:cat>
          <c:val>
            <c:numRef>
              <c:f>Gerencial!$D$18:$D$40</c:f>
              <c:numCache/>
            </c:numRef>
          </c:val>
        </c:ser>
        <c:axId val="1715578208"/>
        <c:axId val="372573412"/>
      </c:bar3DChart>
      <c:catAx>
        <c:axId val="171557820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2573412"/>
      </c:catAx>
      <c:valAx>
        <c:axId val="3725734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557820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0E0E3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Coleta x Espórtula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Dashboard!$C$59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Dashboard!$B$60:$B$71</c:f>
            </c:strRef>
          </c:cat>
          <c:val>
            <c:numRef>
              <c:f>Dashboard!$C$60:$C$71</c:f>
              <c:numCache/>
            </c:numRef>
          </c:val>
        </c:ser>
        <c:ser>
          <c:idx val="1"/>
          <c:order val="1"/>
          <c:tx>
            <c:strRef>
              <c:f>Dashboard!$D$59</c:f>
            </c:strRef>
          </c:tx>
          <c:spPr>
            <a:solidFill>
              <a:srgbClr val="E69138"/>
            </a:solidFill>
            <a:ln cmpd="sng">
              <a:noFill/>
            </a:ln>
          </c:spPr>
          <c:invertIfNegative val="0"/>
          <c:cat>
            <c:strRef>
              <c:f>Dashboard!$B$60:$B$71</c:f>
            </c:strRef>
          </c:cat>
          <c:val>
            <c:numRef>
              <c:f>Dashboard!$D$60:$D$71</c:f>
              <c:numCache/>
            </c:numRef>
          </c:val>
        </c:ser>
        <c:axId val="458277475"/>
        <c:axId val="1139314872"/>
      </c:barChart>
      <c:catAx>
        <c:axId val="4582774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Período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9314872"/>
      </c:catAx>
      <c:valAx>
        <c:axId val="11393148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82774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Relationship Id="rId6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</xdr:colOff>
      <xdr:row>0</xdr:row>
      <xdr:rowOff>9525</xdr:rowOff>
    </xdr:from>
    <xdr:ext cx="1838325" cy="12001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504825</xdr:colOff>
      <xdr:row>1</xdr:row>
      <xdr:rowOff>85725</xdr:rowOff>
    </xdr:from>
    <xdr:ext cx="7124700" cy="2724150"/>
    <xdr:pic>
      <xdr:nvPicPr>
        <xdr:cNvPr id="1637048605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371475</xdr:colOff>
      <xdr:row>18</xdr:row>
      <xdr:rowOff>95250</xdr:rowOff>
    </xdr:from>
    <xdr:ext cx="4962525" cy="21526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219075</xdr:colOff>
      <xdr:row>18</xdr:row>
      <xdr:rowOff>95250</xdr:rowOff>
    </xdr:from>
    <xdr:ext cx="4486275" cy="21526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228600</xdr:colOff>
      <xdr:row>30</xdr:row>
      <xdr:rowOff>0</xdr:rowOff>
    </xdr:from>
    <xdr:ext cx="9601200" cy="42862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390525</xdr:colOff>
      <xdr:row>55</xdr:row>
      <xdr:rowOff>28575</xdr:rowOff>
    </xdr:from>
    <xdr:ext cx="7305675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962025</xdr:colOff>
      <xdr:row>0</xdr:row>
      <xdr:rowOff>161925</xdr:rowOff>
    </xdr:from>
    <xdr:ext cx="1476375" cy="857250"/>
    <xdr:pic>
      <xdr:nvPicPr>
        <xdr:cNvPr id="0" name="image1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791:G1791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Entradas-style" showColumnStripes="0" showFirstColumn="1" showLastColumn="1" showRowStripes="1"/>
</table>
</file>

<file path=xl/tables/table2.xml><?xml version="1.0" encoding="utf-8"?>
<table xmlns="http://schemas.openxmlformats.org/spreadsheetml/2006/main" headerRowCount="0" ref="A1861:G1861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Entradas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862:G1922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Entradas-style 3" showColumnStripes="0" showFirstColumn="1" showLastColumn="1" showRowStripes="1"/>
</table>
</file>

<file path=xl/tables/table4.xml><?xml version="1.0" encoding="utf-8"?>
<table xmlns="http://schemas.openxmlformats.org/spreadsheetml/2006/main" headerRowCount="0" ref="A2004:F2004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acerdo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 outlineLevelRow="1"/>
  <cols>
    <col customWidth="1" min="1" max="1" width="8.0"/>
    <col customWidth="1" min="2" max="2" width="4.88"/>
    <col customWidth="1" min="3" max="3" width="56.13"/>
    <col customWidth="1" min="4" max="4" width="15.13"/>
    <col customWidth="1" min="5" max="5" width="25.75"/>
    <col customWidth="1" min="6" max="16" width="14.75"/>
    <col customWidth="1" min="17" max="21" width="14.75" outlineLevel="1"/>
    <col customWidth="1" min="22" max="27" width="13.0" outlineLevel="1"/>
    <col collapsed="1" customWidth="1" min="28" max="28" width="13.0"/>
    <col customWidth="1" hidden="1" min="29" max="35" width="13.0" outlineLevel="1"/>
    <col customWidth="1" hidden="1" min="36" max="36" width="10.13" outlineLevel="1"/>
    <col customWidth="1" hidden="1" min="37" max="37" width="11.0" outlineLevel="1"/>
    <col customWidth="1" hidden="1" min="38" max="39" width="10.13" outlineLevel="1"/>
    <col collapsed="1" customWidth="1" min="40" max="40" width="11.0"/>
    <col customWidth="1" hidden="1" min="41" max="41" width="11.0" outlineLevel="1"/>
    <col customWidth="1" min="42" max="42" width="13.75"/>
  </cols>
  <sheetData>
    <row r="1">
      <c r="A1" s="1" t="s">
        <v>0</v>
      </c>
      <c r="B1" s="1"/>
      <c r="C1" s="1"/>
      <c r="D1" s="2"/>
      <c r="E1" s="3"/>
      <c r="F1" s="4"/>
      <c r="G1" s="4" t="s">
        <v>1</v>
      </c>
      <c r="K1" s="4"/>
      <c r="M1" s="4"/>
      <c r="N1" s="4"/>
      <c r="P1" s="4"/>
      <c r="S1" s="4"/>
      <c r="V1" s="4"/>
      <c r="X1" s="4"/>
      <c r="AA1" s="4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6"/>
    </row>
    <row r="2">
      <c r="A2" s="7" t="s">
        <v>2</v>
      </c>
      <c r="B2" s="7"/>
      <c r="C2" s="7" t="s">
        <v>3</v>
      </c>
      <c r="D2" s="8" t="s">
        <v>4</v>
      </c>
      <c r="E2" s="3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5"/>
      <c r="AQ2" s="5"/>
      <c r="AR2" s="5"/>
      <c r="AS2" s="5"/>
    </row>
    <row r="3" ht="27.0" customHeight="1">
      <c r="A3" s="10"/>
      <c r="B3" s="10"/>
      <c r="C3" s="10"/>
      <c r="D3" s="16" t="s">
        <v>15</v>
      </c>
      <c r="E3" s="5"/>
      <c r="F3" s="18" t="s">
        <v>15</v>
      </c>
      <c r="G3" s="18" t="s">
        <v>18</v>
      </c>
      <c r="H3" s="18" t="s">
        <v>19</v>
      </c>
      <c r="I3" s="18" t="s">
        <v>20</v>
      </c>
      <c r="J3" s="18" t="s">
        <v>21</v>
      </c>
      <c r="K3" s="18" t="s">
        <v>22</v>
      </c>
      <c r="L3" s="18" t="s">
        <v>23</v>
      </c>
      <c r="M3" s="18" t="s">
        <v>24</v>
      </c>
      <c r="N3" s="18" t="s">
        <v>25</v>
      </c>
      <c r="O3" s="18" t="s">
        <v>26</v>
      </c>
      <c r="P3" s="19" t="s">
        <v>27</v>
      </c>
      <c r="Q3" s="19" t="s">
        <v>28</v>
      </c>
      <c r="R3" s="19" t="s">
        <v>29</v>
      </c>
      <c r="S3" s="19" t="s">
        <v>30</v>
      </c>
      <c r="T3" s="19" t="s">
        <v>32</v>
      </c>
      <c r="U3" s="19" t="s">
        <v>33</v>
      </c>
      <c r="V3" s="19" t="s">
        <v>34</v>
      </c>
      <c r="W3" s="19" t="s">
        <v>35</v>
      </c>
      <c r="X3" s="19" t="s">
        <v>36</v>
      </c>
      <c r="Y3" s="19" t="s">
        <v>37</v>
      </c>
      <c r="Z3" s="19" t="s">
        <v>38</v>
      </c>
      <c r="AA3" s="19" t="s">
        <v>39</v>
      </c>
      <c r="AB3" s="20" t="s">
        <v>40</v>
      </c>
      <c r="AC3" s="20" t="s">
        <v>41</v>
      </c>
      <c r="AD3" s="20" t="s">
        <v>42</v>
      </c>
      <c r="AE3" s="20" t="s">
        <v>43</v>
      </c>
      <c r="AF3" s="20" t="s">
        <v>44</v>
      </c>
      <c r="AG3" s="20" t="s">
        <v>45</v>
      </c>
      <c r="AH3" s="20" t="s">
        <v>46</v>
      </c>
      <c r="AI3" s="20" t="s">
        <v>47</v>
      </c>
      <c r="AJ3" s="20" t="s">
        <v>48</v>
      </c>
      <c r="AK3" s="20" t="s">
        <v>49</v>
      </c>
      <c r="AL3" s="20" t="s">
        <v>50</v>
      </c>
      <c r="AM3" s="20" t="s">
        <v>51</v>
      </c>
      <c r="AN3" s="24" t="s">
        <v>52</v>
      </c>
      <c r="AO3" s="18" t="s">
        <v>53</v>
      </c>
    </row>
    <row r="4" ht="20.25" customHeight="1">
      <c r="A4" s="25" t="s">
        <v>54</v>
      </c>
      <c r="B4" s="27"/>
      <c r="C4" s="28"/>
      <c r="D4" s="31">
        <f t="array" ref="D4">_xlfn.XLOOKUP($D$3,INDIRECT("$F$3:$AZ3" ),INDIRECT("$F" &amp; ROW() &amp; ":" &amp; "$AZ" &amp; ROW()))</f>
        <v>6643.01</v>
      </c>
      <c r="E4" s="33"/>
      <c r="F4" s="36">
        <f t="shared" ref="F4:AN4" si="1">G44</f>
        <v>6643.01</v>
      </c>
      <c r="G4" s="36">
        <f t="shared" si="1"/>
        <v>6249.68</v>
      </c>
      <c r="H4" s="36">
        <f t="shared" si="1"/>
        <v>2646.99</v>
      </c>
      <c r="I4" s="36">
        <f t="shared" si="1"/>
        <v>2155.39</v>
      </c>
      <c r="J4" s="36">
        <f t="shared" si="1"/>
        <v>1975.11</v>
      </c>
      <c r="K4" s="36">
        <f t="shared" si="1"/>
        <v>1810.62</v>
      </c>
      <c r="L4" s="36">
        <f t="shared" si="1"/>
        <v>6212.91</v>
      </c>
      <c r="M4" s="36">
        <f t="shared" si="1"/>
        <v>5078.76</v>
      </c>
      <c r="N4" s="36">
        <f t="shared" si="1"/>
        <v>4207.66</v>
      </c>
      <c r="O4" s="36">
        <f t="shared" si="1"/>
        <v>4967</v>
      </c>
      <c r="P4" s="36">
        <f t="shared" si="1"/>
        <v>5716.56</v>
      </c>
      <c r="Q4" s="36">
        <f t="shared" si="1"/>
        <v>3085.06</v>
      </c>
      <c r="R4" s="36">
        <f t="shared" si="1"/>
        <v>5328.19</v>
      </c>
      <c r="S4" s="36">
        <f t="shared" si="1"/>
        <v>2507.62</v>
      </c>
      <c r="T4" s="36">
        <f t="shared" si="1"/>
        <v>1208.06</v>
      </c>
      <c r="U4" s="36">
        <f t="shared" si="1"/>
        <v>1924.49</v>
      </c>
      <c r="V4" s="36">
        <f t="shared" si="1"/>
        <v>2043.21</v>
      </c>
      <c r="W4" s="36">
        <f t="shared" si="1"/>
        <v>2743.01</v>
      </c>
      <c r="X4" s="36">
        <f t="shared" si="1"/>
        <v>2862.62</v>
      </c>
      <c r="Y4" s="36">
        <f t="shared" si="1"/>
        <v>1512.19</v>
      </c>
      <c r="Z4" s="36">
        <f t="shared" si="1"/>
        <v>2261.07</v>
      </c>
      <c r="AA4" s="36">
        <f t="shared" si="1"/>
        <v>2425.99</v>
      </c>
      <c r="AB4" s="36">
        <f t="shared" si="1"/>
        <v>2195.17</v>
      </c>
      <c r="AC4" s="36">
        <f t="shared" si="1"/>
        <v>130.1</v>
      </c>
      <c r="AD4" s="36">
        <f t="shared" si="1"/>
        <v>2877.91</v>
      </c>
      <c r="AE4" s="36">
        <f t="shared" si="1"/>
        <v>1131.41</v>
      </c>
      <c r="AF4" s="36">
        <f t="shared" si="1"/>
        <v>1080.55</v>
      </c>
      <c r="AG4" s="36">
        <f t="shared" si="1"/>
        <v>2466.6</v>
      </c>
      <c r="AH4" s="36">
        <f t="shared" si="1"/>
        <v>3426.38</v>
      </c>
      <c r="AI4" s="36">
        <f t="shared" si="1"/>
        <v>3842.1</v>
      </c>
      <c r="AJ4" s="36">
        <f t="shared" si="1"/>
        <v>4449.18</v>
      </c>
      <c r="AK4" s="36">
        <f t="shared" si="1"/>
        <v>3006.32</v>
      </c>
      <c r="AL4" s="36">
        <f t="shared" si="1"/>
        <v>3214.09</v>
      </c>
      <c r="AM4" s="36">
        <f t="shared" si="1"/>
        <v>3061.19</v>
      </c>
      <c r="AN4" s="36">
        <f t="shared" si="1"/>
        <v>1896.71</v>
      </c>
      <c r="AO4" s="36">
        <v>0.0</v>
      </c>
      <c r="AT4" s="47"/>
    </row>
    <row r="5">
      <c r="A5" s="49"/>
      <c r="B5" s="49"/>
      <c r="C5" s="49"/>
      <c r="D5" s="6"/>
      <c r="E5" s="50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5"/>
      <c r="AT5" s="56"/>
    </row>
    <row r="6" ht="23.25" customHeight="1">
      <c r="A6" s="57" t="s">
        <v>72</v>
      </c>
      <c r="B6" s="59"/>
      <c r="C6" s="60" t="s">
        <v>73</v>
      </c>
      <c r="D6" s="31">
        <f t="shared" ref="D6:D10" si="3">_xlfn.XLOOKUP($D$3,INDIRECT("$F$3:$AZ3" ),INDIRECT("$F" &amp; ROW() &amp; ":" &amp; "$AZ" &amp; ROW()))</f>
        <v>3058</v>
      </c>
      <c r="E6" s="61"/>
      <c r="F6" s="64">
        <f t="shared" ref="F6:AO6" si="2">SUM(F7:F10)</f>
        <v>3058</v>
      </c>
      <c r="G6" s="64">
        <f t="shared" si="2"/>
        <v>13458</v>
      </c>
      <c r="H6" s="64">
        <f t="shared" si="2"/>
        <v>17512</v>
      </c>
      <c r="I6" s="64">
        <f t="shared" si="2"/>
        <v>14232.85</v>
      </c>
      <c r="J6" s="64">
        <f t="shared" si="2"/>
        <v>14696.95</v>
      </c>
      <c r="K6" s="64">
        <f t="shared" si="2"/>
        <v>13463.1</v>
      </c>
      <c r="L6" s="64">
        <f t="shared" si="2"/>
        <v>10325.1</v>
      </c>
      <c r="M6" s="64">
        <f t="shared" si="2"/>
        <v>13892.15</v>
      </c>
      <c r="N6" s="64">
        <f t="shared" si="2"/>
        <v>12613</v>
      </c>
      <c r="O6" s="64">
        <f t="shared" si="2"/>
        <v>12569.4</v>
      </c>
      <c r="P6" s="64">
        <f t="shared" si="2"/>
        <v>14926.45</v>
      </c>
      <c r="Q6" s="64">
        <f t="shared" si="2"/>
        <v>14452</v>
      </c>
      <c r="R6" s="64">
        <f t="shared" si="2"/>
        <v>13580.35</v>
      </c>
      <c r="S6" s="64">
        <f t="shared" si="2"/>
        <v>15514.3</v>
      </c>
      <c r="T6" s="64">
        <f t="shared" si="2"/>
        <v>14058.75</v>
      </c>
      <c r="U6" s="64">
        <f t="shared" si="2"/>
        <v>12602.15</v>
      </c>
      <c r="V6" s="64">
        <f t="shared" si="2"/>
        <v>12309</v>
      </c>
      <c r="W6" s="64">
        <f t="shared" si="2"/>
        <v>12050.35</v>
      </c>
      <c r="X6" s="64">
        <f t="shared" si="2"/>
        <v>10935.7</v>
      </c>
      <c r="Y6" s="64">
        <f t="shared" si="2"/>
        <v>8835.45</v>
      </c>
      <c r="Z6" s="64">
        <f t="shared" si="2"/>
        <v>7874</v>
      </c>
      <c r="AA6" s="64">
        <f t="shared" si="2"/>
        <v>7293.2</v>
      </c>
      <c r="AB6" s="64">
        <f t="shared" si="2"/>
        <v>8900.35</v>
      </c>
      <c r="AC6" s="64">
        <f t="shared" si="2"/>
        <v>11493.85</v>
      </c>
      <c r="AD6" s="64">
        <f t="shared" si="2"/>
        <v>9704.05</v>
      </c>
      <c r="AE6" s="64">
        <f t="shared" si="2"/>
        <v>10311.25</v>
      </c>
      <c r="AF6" s="64">
        <f t="shared" si="2"/>
        <v>8206.85</v>
      </c>
      <c r="AG6" s="64">
        <f t="shared" si="2"/>
        <v>6929.7</v>
      </c>
      <c r="AH6" s="64">
        <f t="shared" si="2"/>
        <v>9515.95</v>
      </c>
      <c r="AI6" s="64">
        <f t="shared" si="2"/>
        <v>9403.4</v>
      </c>
      <c r="AJ6" s="64">
        <f t="shared" si="2"/>
        <v>9095.06</v>
      </c>
      <c r="AK6" s="64">
        <f t="shared" si="2"/>
        <v>12694.2</v>
      </c>
      <c r="AL6" s="64">
        <f t="shared" si="2"/>
        <v>7766.1</v>
      </c>
      <c r="AM6" s="64">
        <f t="shared" si="2"/>
        <v>9084.95</v>
      </c>
      <c r="AN6" s="64">
        <f t="shared" si="2"/>
        <v>10838.85</v>
      </c>
      <c r="AO6" s="64">
        <f t="shared" si="2"/>
        <v>13368.55</v>
      </c>
      <c r="AT6" s="75"/>
      <c r="AU6" s="76"/>
    </row>
    <row r="7">
      <c r="A7" s="57" t="s">
        <v>100</v>
      </c>
      <c r="B7" s="79" t="s">
        <v>101</v>
      </c>
      <c r="C7" s="80" t="s">
        <v>108</v>
      </c>
      <c r="D7" s="82">
        <f t="shared" si="3"/>
        <v>3058</v>
      </c>
      <c r="E7" s="83"/>
      <c r="F7" s="85">
        <f>Entradas!$E$1930</f>
        <v>3058</v>
      </c>
      <c r="G7" s="85">
        <f>Entradas!$E$1858</f>
        <v>7583</v>
      </c>
      <c r="H7" s="85">
        <f>Entradas!$E$1788</f>
        <v>11319</v>
      </c>
      <c r="I7" s="85">
        <f>Entradas!$E$1722</f>
        <v>8038</v>
      </c>
      <c r="J7" s="85">
        <f>Entradas!$E$1656</f>
        <v>9348</v>
      </c>
      <c r="K7" s="85">
        <f>Entradas!$E$1594</f>
        <v>10083.25</v>
      </c>
      <c r="L7" s="85">
        <f>Entradas!$E$1529</f>
        <v>10139</v>
      </c>
      <c r="M7" s="85">
        <f>Entradas!$E$1467</f>
        <v>10389.35</v>
      </c>
      <c r="N7" s="85">
        <f>Entradas!$E$1401</f>
        <v>8925</v>
      </c>
      <c r="O7" s="85">
        <f>Entradas!$E$1345</f>
        <v>7269</v>
      </c>
      <c r="P7" s="85">
        <f>Entradas!$E$1281</f>
        <v>9311</v>
      </c>
      <c r="Q7" s="85">
        <f>Entradas!$E$1218</f>
        <v>8539</v>
      </c>
      <c r="R7" s="85">
        <f>Entradas!$E$1155</f>
        <v>9451</v>
      </c>
      <c r="S7" s="85">
        <f>Entradas!$E$1084</f>
        <v>6597</v>
      </c>
      <c r="T7" s="85">
        <f>Entradas!$E$1020</f>
        <v>6496</v>
      </c>
      <c r="U7" s="85">
        <f>Entradas!$E$954</f>
        <v>5258.75</v>
      </c>
      <c r="V7" s="85">
        <f>Entradas!$E$887</f>
        <v>7662</v>
      </c>
      <c r="W7" s="85">
        <f>Entradas!$E$820</f>
        <v>7668</v>
      </c>
      <c r="X7" s="85">
        <f>Entradas!$E$754</f>
        <v>9178</v>
      </c>
      <c r="Y7" s="85">
        <f>Entradas!$E$691</f>
        <v>8676</v>
      </c>
      <c r="Z7" s="85">
        <f>Entradas!$E$650</f>
        <v>7615</v>
      </c>
      <c r="AA7" s="85">
        <f>Entradas!$E$613</f>
        <v>6989</v>
      </c>
      <c r="AB7" s="85">
        <f>Entradas!$E$571</f>
        <v>8645</v>
      </c>
      <c r="AC7" s="85">
        <f>Entradas!$E$529</f>
        <v>11075</v>
      </c>
      <c r="AD7" s="85">
        <f>Entradas!$E$487</f>
        <v>9447</v>
      </c>
      <c r="AE7" s="85">
        <f>Entradas!$E$443</f>
        <v>9665</v>
      </c>
      <c r="AF7" s="85">
        <f>Entradas!$E$403</f>
        <v>7955</v>
      </c>
      <c r="AG7" s="85">
        <f>Entradas!$E$362</f>
        <v>6677</v>
      </c>
      <c r="AH7" s="85">
        <f>Entradas!$E$321</f>
        <v>9133</v>
      </c>
      <c r="AI7" s="85">
        <f>Entradas!$E$280</f>
        <v>8933</v>
      </c>
      <c r="AJ7" s="85">
        <f>Entradas!$E$237</f>
        <v>8456</v>
      </c>
      <c r="AK7" s="85">
        <f>Entradas!$E$196</f>
        <v>12294</v>
      </c>
      <c r="AL7" s="85">
        <f>Entradas!$E$154</f>
        <v>7390</v>
      </c>
      <c r="AM7" s="85">
        <f>Entradas!$E$116</f>
        <v>8517</v>
      </c>
      <c r="AN7" s="85">
        <f>Entradas!$E$77</f>
        <v>10392.6</v>
      </c>
      <c r="AO7" s="85">
        <f>Entradas!$E$39</f>
        <v>12349</v>
      </c>
      <c r="AT7" s="76"/>
      <c r="AU7" s="76"/>
    </row>
    <row r="8">
      <c r="A8" s="57" t="s">
        <v>174</v>
      </c>
      <c r="B8" s="58"/>
      <c r="C8" s="80" t="s">
        <v>176</v>
      </c>
      <c r="D8" s="82">
        <f t="shared" si="3"/>
        <v>0</v>
      </c>
      <c r="E8" s="103"/>
      <c r="F8" s="104">
        <f>Entradas!$K$1867</f>
        <v>0</v>
      </c>
      <c r="G8" s="104">
        <f>Entradas!$K$1797</f>
        <v>25</v>
      </c>
      <c r="H8" s="104">
        <f>Entradas!$K$1731</f>
        <v>43</v>
      </c>
      <c r="I8" s="104">
        <f>Entradas!$K$1665</f>
        <v>44.85</v>
      </c>
      <c r="J8" s="104">
        <f>Entradas!$K$1603</f>
        <v>98.95</v>
      </c>
      <c r="K8" s="104">
        <f>Entradas!$K$1538</f>
        <v>79.85</v>
      </c>
      <c r="L8" s="104">
        <f>Entradas!$K$1476</f>
        <v>186.1</v>
      </c>
      <c r="M8" s="104">
        <f>Entradas!$K$1411</f>
        <v>202.8</v>
      </c>
      <c r="N8" s="104">
        <f>Entradas!$K$1355</f>
        <v>91</v>
      </c>
      <c r="O8" s="104">
        <f>Entradas!$K$1292</f>
        <v>150.4</v>
      </c>
      <c r="P8" s="104">
        <f>Entradas!$K$1229</f>
        <v>265.45</v>
      </c>
      <c r="Q8" s="104">
        <f>Entradas!$K$1168</f>
        <v>363</v>
      </c>
      <c r="R8" s="104">
        <f>Entradas!$K$1098</f>
        <v>229.35</v>
      </c>
      <c r="S8" s="104">
        <f>Entradas!$K$1033</f>
        <v>117.3</v>
      </c>
      <c r="T8" s="104">
        <f>Entradas!$K$967</f>
        <v>62.75</v>
      </c>
      <c r="U8" s="104">
        <f>Entradas!$K$900</f>
        <v>143.4</v>
      </c>
      <c r="V8" s="104">
        <f>Entradas!$K$834</f>
        <v>40.85</v>
      </c>
      <c r="W8" s="104">
        <f>Entradas!$K$768</f>
        <v>332.35</v>
      </c>
      <c r="X8" s="104">
        <f>Entradas!$K$704</f>
        <v>257.7</v>
      </c>
      <c r="Y8" s="104">
        <f>Entradas!$K$663</f>
        <v>159.45</v>
      </c>
      <c r="Z8" s="104">
        <f>Entradas!$K$626</f>
        <v>259</v>
      </c>
      <c r="AA8" s="104">
        <f>Entradas!$K$584</f>
        <v>304.2</v>
      </c>
      <c r="AB8" s="104">
        <f>Entradas!$K$543</f>
        <v>255.35</v>
      </c>
      <c r="AC8" s="104">
        <f>Entradas!$K$501</f>
        <v>418.85</v>
      </c>
      <c r="AD8" s="104">
        <f>Entradas!$K$456</f>
        <v>257.05</v>
      </c>
      <c r="AE8" s="104">
        <f>Entradas!$K$416</f>
        <v>646.25</v>
      </c>
      <c r="AF8" s="104">
        <f>Entradas!$K$376</f>
        <v>251.85</v>
      </c>
      <c r="AG8" s="104">
        <f>Entradas!$K$336</f>
        <v>252.7</v>
      </c>
      <c r="AH8" s="104">
        <f>Entradas!$K$295</f>
        <v>382.95</v>
      </c>
      <c r="AI8" s="104">
        <f>Entradas!$K$254</f>
        <v>470.4</v>
      </c>
      <c r="AJ8" s="104">
        <f>Entradas!$K$213</f>
        <v>312.35</v>
      </c>
      <c r="AK8" s="104">
        <f>Entradas!$K$174</f>
        <v>400.2</v>
      </c>
      <c r="AL8" s="104">
        <f>Entradas!$K$141</f>
        <v>376.1</v>
      </c>
      <c r="AM8" s="104">
        <f>Entradas!$K$106</f>
        <v>367.95</v>
      </c>
      <c r="AN8" s="104">
        <f>Entradas!$K$65</f>
        <v>446.25</v>
      </c>
      <c r="AO8" s="104">
        <f>Entradas!$K$24</f>
        <v>319.55</v>
      </c>
      <c r="AT8" s="76"/>
      <c r="AU8" s="76"/>
    </row>
    <row r="9">
      <c r="A9" s="123" t="s">
        <v>227</v>
      </c>
      <c r="B9" s="58"/>
      <c r="C9" s="80" t="s">
        <v>228</v>
      </c>
      <c r="D9" s="82">
        <f t="shared" si="3"/>
        <v>0</v>
      </c>
      <c r="E9" s="83"/>
      <c r="F9" s="85">
        <f>Entradas!$P$1866</f>
        <v>0</v>
      </c>
      <c r="G9" s="85">
        <f>Entradas!$P$1796</f>
        <v>5850</v>
      </c>
      <c r="H9" s="85">
        <f>Entradas!$P$1730</f>
        <v>6150</v>
      </c>
      <c r="I9" s="85">
        <f>Entradas!$P$1664</f>
        <v>6150</v>
      </c>
      <c r="J9" s="85">
        <f>Entradas!$P$1602</f>
        <v>5250</v>
      </c>
      <c r="K9" s="85">
        <f>Entradas!$P$1537</f>
        <v>3300</v>
      </c>
      <c r="L9" s="85">
        <f>Entradas!$P$1475</f>
        <v>0</v>
      </c>
      <c r="M9" s="85">
        <f>Entradas!$P$1410</f>
        <v>3300</v>
      </c>
      <c r="N9" s="85">
        <f>Entradas!$P$1354</f>
        <v>3597</v>
      </c>
      <c r="O9" s="85">
        <f>Entradas!$P$1291</f>
        <v>5150</v>
      </c>
      <c r="P9" s="85">
        <f>Entradas!$P$1228</f>
        <v>5200</v>
      </c>
      <c r="Q9" s="85">
        <f>Entradas!$P$1167</f>
        <v>5550</v>
      </c>
      <c r="R9" s="85">
        <f>Entradas!$P$1097</f>
        <v>3900</v>
      </c>
      <c r="S9" s="85">
        <f>Entradas!$P$1032</f>
        <v>8800</v>
      </c>
      <c r="T9" s="85">
        <f>Entradas!$P$966</f>
        <v>7500</v>
      </c>
      <c r="U9" s="85">
        <f>Entradas!$P$899</f>
        <v>7200</v>
      </c>
      <c r="V9" s="85">
        <f>Entradas!$P$827</f>
        <v>4200</v>
      </c>
      <c r="W9" s="85">
        <f>Entradas!$P$760</f>
        <v>4050</v>
      </c>
      <c r="X9" s="85">
        <f>Entradas!$P$697</f>
        <v>1500</v>
      </c>
      <c r="Y9" s="85">
        <f>Entradas!$P$663</f>
        <v>0</v>
      </c>
      <c r="Z9" s="85">
        <f>Entradas!$P$626</f>
        <v>0</v>
      </c>
      <c r="AA9" s="85">
        <f>Entradas!$P$584</f>
        <v>0</v>
      </c>
      <c r="AB9" s="85">
        <f>Entradas!$P$543</f>
        <v>0</v>
      </c>
      <c r="AC9" s="85">
        <f>Entradas!$P$494</f>
        <v>0</v>
      </c>
      <c r="AD9" s="85">
        <f>Entradas!$P$456</f>
        <v>0</v>
      </c>
      <c r="AE9" s="85">
        <f>Entradas!$P$416</f>
        <v>0</v>
      </c>
      <c r="AF9" s="85">
        <f>Entradas!$P$376</f>
        <v>0</v>
      </c>
      <c r="AG9" s="85">
        <f>Entradas!P336</f>
        <v>0</v>
      </c>
      <c r="AH9" s="85">
        <f>Entradas!P295</f>
        <v>0</v>
      </c>
      <c r="AI9" s="85">
        <f>Entradas!P254</f>
        <v>0</v>
      </c>
      <c r="AJ9" s="141">
        <f>Entradas!P213</f>
        <v>326.71</v>
      </c>
      <c r="AK9" s="85">
        <f>Entradas!$P$174</f>
        <v>0</v>
      </c>
      <c r="AL9" s="85">
        <f>Entradas!$P$141</f>
        <v>0</v>
      </c>
      <c r="AM9" s="85">
        <f>Entradas!$P$106</f>
        <v>200</v>
      </c>
      <c r="AN9" s="85">
        <v>0.0</v>
      </c>
      <c r="AO9" s="85">
        <v>0.0</v>
      </c>
      <c r="AT9" s="76"/>
      <c r="AU9" s="76"/>
    </row>
    <row r="10">
      <c r="A10" s="123" t="s">
        <v>277</v>
      </c>
      <c r="B10" s="10"/>
      <c r="C10" s="80" t="s">
        <v>279</v>
      </c>
      <c r="D10" s="82">
        <f t="shared" si="3"/>
        <v>0</v>
      </c>
      <c r="E10" s="83"/>
      <c r="F10" s="85">
        <f>Entradas!P1870</f>
        <v>0</v>
      </c>
      <c r="G10" s="85">
        <f>Entradas!P1800</f>
        <v>0</v>
      </c>
      <c r="H10" s="85">
        <f>Entradas!P1734</f>
        <v>0</v>
      </c>
      <c r="I10" s="85">
        <f>Entradas!P1668</f>
        <v>0</v>
      </c>
      <c r="J10" s="85">
        <f>Entradas!P1606</f>
        <v>0</v>
      </c>
      <c r="K10" s="85">
        <f>Entradas!P1541</f>
        <v>0</v>
      </c>
      <c r="L10" s="85">
        <f>Entradas!P1480</f>
        <v>0</v>
      </c>
      <c r="M10" s="85">
        <f>Entradas!P1415</f>
        <v>0</v>
      </c>
      <c r="N10" s="85">
        <f>Entradas!P1359</f>
        <v>0</v>
      </c>
      <c r="O10" s="85">
        <f>Entradas!$P$1297</f>
        <v>0</v>
      </c>
      <c r="P10" s="85">
        <f>Entradas!$P$1234</f>
        <v>150</v>
      </c>
      <c r="Q10" s="85">
        <f>Entradas!$P$1173</f>
        <v>0</v>
      </c>
      <c r="R10" s="85">
        <f>Entradas!$P$1103</f>
        <v>0</v>
      </c>
      <c r="S10" s="85">
        <f>Entradas!$P$1037</f>
        <v>0</v>
      </c>
      <c r="T10" s="85">
        <f>Entradas!$P$971</f>
        <v>0</v>
      </c>
      <c r="U10" s="85">
        <f>Entradas!$P$904</f>
        <v>0</v>
      </c>
      <c r="V10" s="85">
        <f>Entradas!$P$835</f>
        <v>406.15</v>
      </c>
      <c r="W10" s="85">
        <f>Entradas!$P$768</f>
        <v>0</v>
      </c>
      <c r="X10" s="85">
        <f>Entradas!$P$704</f>
        <v>0</v>
      </c>
      <c r="Y10" s="85">
        <f>Entradas!$P$656</f>
        <v>0</v>
      </c>
      <c r="Z10" s="85">
        <f>Entradas!$P$619</f>
        <v>0</v>
      </c>
      <c r="AA10" s="85">
        <f>Entradas!$P$577</f>
        <v>0</v>
      </c>
      <c r="AB10" s="85">
        <f>Entradas!$P$536</f>
        <v>0</v>
      </c>
      <c r="AC10" s="85">
        <f>Entradas!$P$501</f>
        <v>0</v>
      </c>
      <c r="AD10" s="85">
        <f>Entradas!$P$450</f>
        <v>0</v>
      </c>
      <c r="AE10" s="85">
        <f>Entradas!$P$410</f>
        <v>0</v>
      </c>
      <c r="AF10" s="85">
        <f>Entradas!$P$369</f>
        <v>0</v>
      </c>
      <c r="AG10" s="85">
        <f>Entradas!P328</f>
        <v>0</v>
      </c>
      <c r="AH10" s="85">
        <f>Entradas!P287</f>
        <v>0</v>
      </c>
      <c r="AI10" s="85">
        <f>Entradas!P244</f>
        <v>0</v>
      </c>
      <c r="AJ10" s="85">
        <f>Entradas!P203</f>
        <v>0</v>
      </c>
      <c r="AK10" s="85">
        <f>Entradas!$P$162</f>
        <v>0</v>
      </c>
      <c r="AL10" s="85">
        <f>Entradas!$P$86</f>
        <v>0</v>
      </c>
      <c r="AM10" s="85">
        <f>Entradas!$P$86</f>
        <v>0</v>
      </c>
      <c r="AN10" s="85">
        <f>Entradas!$P$65</f>
        <v>0</v>
      </c>
      <c r="AO10" s="85">
        <f>Entradas!$P$24</f>
        <v>700</v>
      </c>
      <c r="AT10" s="76"/>
      <c r="AU10" s="76"/>
    </row>
    <row r="11" ht="10.5" customHeight="1">
      <c r="A11" s="6"/>
      <c r="B11" s="6"/>
      <c r="C11" s="6"/>
      <c r="D11" s="50"/>
      <c r="E11" s="50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T11" s="76"/>
      <c r="AU11" s="76"/>
    </row>
    <row r="12" ht="20.25" customHeight="1">
      <c r="A12" s="57" t="s">
        <v>327</v>
      </c>
      <c r="B12" s="59"/>
      <c r="C12" s="60" t="s">
        <v>328</v>
      </c>
      <c r="D12" s="31">
        <f t="shared" ref="D12:D40" si="5">_xlfn.XLOOKUP($D$3,INDIRECT("$F$3:$AZ3" ),INDIRECT("$F" &amp; ROW() &amp; ":" &amp; "$AZ" &amp; ROW()))</f>
        <v>4310</v>
      </c>
      <c r="E12" s="61"/>
      <c r="F12" s="64">
        <f t="shared" ref="F12:AO12" si="4">SUM(F13:F17)</f>
        <v>4310</v>
      </c>
      <c r="G12" s="64">
        <f t="shared" si="4"/>
        <v>13064.67</v>
      </c>
      <c r="H12" s="64">
        <f t="shared" si="4"/>
        <v>13909.31</v>
      </c>
      <c r="I12" s="64">
        <f t="shared" si="4"/>
        <v>13741.25</v>
      </c>
      <c r="J12" s="64">
        <f t="shared" si="4"/>
        <v>14516.67</v>
      </c>
      <c r="K12" s="64">
        <f t="shared" si="4"/>
        <v>13298.61</v>
      </c>
      <c r="L12" s="64">
        <f t="shared" si="4"/>
        <v>14727.39</v>
      </c>
      <c r="M12" s="64">
        <f t="shared" si="4"/>
        <v>12758</v>
      </c>
      <c r="N12" s="64">
        <f t="shared" si="4"/>
        <v>11741.9</v>
      </c>
      <c r="O12" s="64">
        <f t="shared" si="4"/>
        <v>13328.74</v>
      </c>
      <c r="P12" s="64">
        <f t="shared" si="4"/>
        <v>15676.01</v>
      </c>
      <c r="Q12" s="64">
        <f t="shared" si="4"/>
        <v>11820.5</v>
      </c>
      <c r="R12" s="64">
        <f t="shared" si="4"/>
        <v>15823.48</v>
      </c>
      <c r="S12" s="64">
        <f t="shared" si="4"/>
        <v>12693.73</v>
      </c>
      <c r="T12" s="64">
        <f t="shared" si="4"/>
        <v>12759.19</v>
      </c>
      <c r="U12" s="64">
        <f t="shared" si="4"/>
        <v>13318.58</v>
      </c>
      <c r="V12" s="64">
        <f t="shared" si="4"/>
        <v>12427.72</v>
      </c>
      <c r="W12" s="64">
        <f t="shared" si="4"/>
        <v>12750.15</v>
      </c>
      <c r="X12" s="64">
        <f t="shared" si="4"/>
        <v>11055.31</v>
      </c>
      <c r="Y12" s="64">
        <f t="shared" si="4"/>
        <v>7485.02</v>
      </c>
      <c r="Z12" s="64">
        <f t="shared" si="4"/>
        <v>8622.88</v>
      </c>
      <c r="AA12" s="64">
        <f t="shared" si="4"/>
        <v>7458.12</v>
      </c>
      <c r="AB12" s="64">
        <f t="shared" si="4"/>
        <v>8669.53</v>
      </c>
      <c r="AC12" s="64">
        <f t="shared" si="4"/>
        <v>9428.78</v>
      </c>
      <c r="AD12" s="64">
        <f t="shared" si="4"/>
        <v>12451.86</v>
      </c>
      <c r="AE12" s="64">
        <f t="shared" si="4"/>
        <v>8564.75</v>
      </c>
      <c r="AF12" s="64">
        <f t="shared" si="4"/>
        <v>8155.99</v>
      </c>
      <c r="AG12" s="64">
        <f t="shared" si="4"/>
        <v>8315.75</v>
      </c>
      <c r="AH12" s="64">
        <f t="shared" si="4"/>
        <v>10475.73</v>
      </c>
      <c r="AI12" s="64">
        <f t="shared" si="4"/>
        <v>9819.12</v>
      </c>
      <c r="AJ12" s="64">
        <f t="shared" si="4"/>
        <v>9702.14</v>
      </c>
      <c r="AK12" s="64">
        <f t="shared" si="4"/>
        <v>11251.34</v>
      </c>
      <c r="AL12" s="64">
        <f t="shared" si="4"/>
        <v>7973.87</v>
      </c>
      <c r="AM12" s="64">
        <f t="shared" si="4"/>
        <v>8932.05</v>
      </c>
      <c r="AN12" s="64">
        <f t="shared" si="4"/>
        <v>9674.37</v>
      </c>
      <c r="AO12" s="64">
        <f t="shared" si="4"/>
        <v>11471.84</v>
      </c>
      <c r="AT12" s="76"/>
      <c r="AU12" s="76"/>
    </row>
    <row r="13">
      <c r="A13" s="57" t="s">
        <v>345</v>
      </c>
      <c r="B13" s="169" t="s">
        <v>347</v>
      </c>
      <c r="C13" s="80" t="s">
        <v>61</v>
      </c>
      <c r="D13" s="82">
        <f t="shared" si="5"/>
        <v>4250</v>
      </c>
      <c r="E13" s="50"/>
      <c r="F13" s="104">
        <f>SUMIFS(Despesas!$F:$F,Despesas!$A:$A,Gerencial!F$3,Despesas!$C:$C,Gerencial!$C13)</f>
        <v>4250</v>
      </c>
      <c r="G13" s="104">
        <f>SUMIFS(Despesas!$F:$F,Despesas!$A:$A,Gerencial!G$3,Despesas!$C:$C,Gerencial!$C13)</f>
        <v>12150</v>
      </c>
      <c r="H13" s="104">
        <f>SUMIFS(Despesas!$F:$F,Despesas!$A:$A,Gerencial!H$3,Despesas!$C:$C,Gerencial!$C13)</f>
        <v>11800</v>
      </c>
      <c r="I13" s="104">
        <f>SUMIFS(Despesas!$F:$F,Despesas!$A:$A,Gerencial!I$3,Despesas!$C:$C,Gerencial!$C13)</f>
        <v>11800</v>
      </c>
      <c r="J13" s="104">
        <f>SUMIFS(Despesas!$F:$F,Despesas!$A:$A,Gerencial!J$3,Despesas!$C:$C,Gerencial!$C13)</f>
        <v>11000</v>
      </c>
      <c r="K13" s="104">
        <f>SUMIFS(Despesas!$F:$F,Despesas!$A:$A,Gerencial!K$3,Despesas!$C:$C,Gerencial!$C13)</f>
        <v>11400</v>
      </c>
      <c r="L13" s="104">
        <f>SUMIFS(Despesas!$F:$F,Despesas!$A:$A,Gerencial!L$3,Despesas!$C:$C,Gerencial!$C13)</f>
        <v>10350</v>
      </c>
      <c r="M13" s="104">
        <f>SUMIFS(Despesas!$F:$F,Despesas!$A:$A,Gerencial!M$3,Despesas!$C:$C,Gerencial!$C13)</f>
        <v>11400</v>
      </c>
      <c r="N13" s="104">
        <f>SUMIFS(Despesas!$F:$F,Despesas!$A:$A,Gerencial!N$3,Despesas!$C:$C,Gerencial!$C13)</f>
        <v>10100</v>
      </c>
      <c r="O13" s="104">
        <f>SUMIFS(Despesas!$F:$F,Despesas!$A:$A,Gerencial!O$3,Despesas!$C:$C,Gerencial!$C13)</f>
        <v>11200</v>
      </c>
      <c r="P13" s="104">
        <f>SUMIFS(Despesas!$F:$F,Despesas!$A:$A,Gerencial!P$3,Despesas!$C:$C,Gerencial!$C13)</f>
        <v>11050</v>
      </c>
      <c r="Q13" s="104">
        <f>SUMIFS(Despesas!$F:$F,Despesas!$A:$A,Gerencial!Q$3,Despesas!$C:$C,Gerencial!$C13)</f>
        <v>10650</v>
      </c>
      <c r="R13" s="104">
        <f>SUMIFS(Despesas!$F:$F,Despesas!$A:$A,Gerencial!R$3,Despesas!$C:$C,Gerencial!$C13)</f>
        <v>11650</v>
      </c>
      <c r="S13" s="104">
        <f>SUMIFS(Despesas!$F:$F,Despesas!$A:$A,Gerencial!S$3,Despesas!$C:$C,Gerencial!$C13)</f>
        <v>10950</v>
      </c>
      <c r="T13" s="104">
        <f>SUMIFS(Despesas!$F:$F,Despesas!$A:$A,Gerencial!T$3,Despesas!$C:$C,Gerencial!$C13)</f>
        <v>10950</v>
      </c>
      <c r="U13" s="104">
        <f>SUMIFS(Despesas!$F:$F,Despesas!$A:$A,Gerencial!U$3,Despesas!$C:$C,Gerencial!$C13)</f>
        <v>11100</v>
      </c>
      <c r="V13" s="104">
        <f>SUMIFS(Despesas!$F:$F,Despesas!$A:$A,Gerencial!V$3,Despesas!$C:$C,Gerencial!$C13)</f>
        <v>10750</v>
      </c>
      <c r="W13" s="104">
        <f>SUMIFS(Despesas!$F:$F,Despesas!$A:$A,Gerencial!W$3,Despesas!$C:$C,Gerencial!$C13)</f>
        <v>11100</v>
      </c>
      <c r="X13" s="104">
        <f>SUMIFS(Despesas!$F:$F,Despesas!$A:$A,Gerencial!X$3,Despesas!$C:$C,Gerencial!$C13)</f>
        <v>7650</v>
      </c>
      <c r="Y13" s="104">
        <f>SUMIFS(Despesas!$F:$F,Despesas!$A:$A,Gerencial!Y$3,Despesas!$C:$C,Gerencial!$C13)</f>
        <v>6500</v>
      </c>
      <c r="Z13" s="104">
        <f>SUMIFS(Despesas!$F:$F,Despesas!$A:$A,Gerencial!Z$3,Despesas!$C:$C,Gerencial!$C13)</f>
        <v>5900</v>
      </c>
      <c r="AA13" s="104">
        <f>SUMIFS(Despesas!$F:$F,Despesas!$A:$A,Gerencial!AA$3,Despesas!$C:$C,Gerencial!$C13)</f>
        <v>6900</v>
      </c>
      <c r="AB13" s="104">
        <f>SUMIFS(Despesas!$F:$F,Despesas!$A:$A,Gerencial!AB$3,Despesas!$C:$C,Gerencial!$C13)</f>
        <v>6600</v>
      </c>
      <c r="AC13" s="104">
        <f>SUMIFS(Despesas!$F:$F,Despesas!$A:$A,Gerencial!AC$3,Despesas!$C:$C,Gerencial!$C13)</f>
        <v>6850</v>
      </c>
      <c r="AD13" s="104">
        <f>SUMIFS(Despesas!$F:$F,Despesas!$A:$A,Gerencial!AD$3,Despesas!$C:$C,Gerencial!$C13)</f>
        <v>7150</v>
      </c>
      <c r="AE13" s="104">
        <f>SUMIFS(Despesas!$F:$F,Despesas!$A:$A,Gerencial!AE$3,Despesas!$C:$C,Gerencial!$C13)</f>
        <v>6950</v>
      </c>
      <c r="AF13" s="104">
        <f>SUMIFS(Despesas!$F:$F,Despesas!$A:$A,Gerencial!AF$3,Despesas!$C:$C,Gerencial!$C13)</f>
        <v>7007.2</v>
      </c>
      <c r="AG13" s="104">
        <f>SUMIFS(Despesas!$F:$F,Despesas!$A:$A,Gerencial!AG$3,Despesas!$C:$C,Gerencial!$C13)</f>
        <v>7150</v>
      </c>
      <c r="AH13" s="104">
        <f>SUMIFS(Despesas!$F:$F,Despesas!$A:$A,Gerencial!AH$3,Despesas!$C:$C,Gerencial!$C13)</f>
        <v>7350</v>
      </c>
      <c r="AI13" s="104">
        <f>SUMIFS(Despesas!$F:$F,Despesas!$A:$A,Gerencial!AI$3,Despesas!$C:$C,Gerencial!$C13)</f>
        <v>7400</v>
      </c>
      <c r="AJ13" s="104">
        <f>SUMIFS(Despesas!$F:$F,Despesas!$A:$A,Gerencial!AJ$3,Despesas!$C:$C,Gerencial!$C13)</f>
        <v>7200</v>
      </c>
      <c r="AK13" s="104">
        <f>SUMIFS(Despesas!$F:$F,Despesas!$A:$A,Gerencial!AK$3,Despesas!$C:$C,Gerencial!$C13)</f>
        <v>6900</v>
      </c>
      <c r="AL13" s="104">
        <f>SUMIFS(Despesas!$F:$F,Despesas!$A:$A,Gerencial!AL$3,Despesas!$C:$C,Gerencial!$C13)</f>
        <v>5600</v>
      </c>
      <c r="AM13" s="104">
        <f>SUMIFS(Despesas!$F:$F,Despesas!$A:$A,Gerencial!AM$3,Despesas!$C:$C,Gerencial!$C13)</f>
        <v>6210</v>
      </c>
      <c r="AN13" s="104">
        <f>SUMIFS(Despesas!$F:$F,Despesas!$A:$A,Gerencial!AN$3,Despesas!$C:$C,Gerencial!$C13)</f>
        <v>6720</v>
      </c>
      <c r="AO13" s="104">
        <f>SUMIFS(Despesas!$G$3:$G$287,Despesas!$A$3:$A$287,$AO$3,Despesas!$C$3:$C$287,$C13)</f>
        <v>5310</v>
      </c>
      <c r="AT13" s="76"/>
      <c r="AU13" s="76"/>
    </row>
    <row r="14">
      <c r="A14" s="57" t="s">
        <v>439</v>
      </c>
      <c r="B14" s="58"/>
      <c r="C14" s="80" t="s">
        <v>87</v>
      </c>
      <c r="D14" s="82">
        <f t="shared" si="5"/>
        <v>0</v>
      </c>
      <c r="E14" s="50"/>
      <c r="F14" s="104">
        <f>SUMIFS(Despesas!$F:$F,Despesas!$A:$A,Gerencial!F$3,Despesas!$C:$C,Gerencial!$C14)</f>
        <v>0</v>
      </c>
      <c r="G14" s="104">
        <f>SUMIFS(Despesas!$F:$F,Despesas!$A:$A,Gerencial!G$3,Despesas!$C:$C,Gerencial!$C14)</f>
        <v>0</v>
      </c>
      <c r="H14" s="104">
        <f>SUMIFS(Despesas!$F:$F,Despesas!$A:$A,Gerencial!H$3,Despesas!$C:$C,Gerencial!$C14)</f>
        <v>0</v>
      </c>
      <c r="I14" s="104">
        <f>SUMIFS(Despesas!$F:$F,Despesas!$A:$A,Gerencial!I$3,Despesas!$C:$C,Gerencial!$C14)</f>
        <v>0</v>
      </c>
      <c r="J14" s="104">
        <f>SUMIFS(Despesas!$F:$F,Despesas!$A:$A,Gerencial!J$3,Despesas!$C:$C,Gerencial!$C14)</f>
        <v>0</v>
      </c>
      <c r="K14" s="104">
        <f>SUMIFS(Despesas!$F:$F,Despesas!$A:$A,Gerencial!K$3,Despesas!$C:$C,Gerencial!$C14)</f>
        <v>0</v>
      </c>
      <c r="L14" s="104">
        <f>SUMIFS(Despesas!$F:$F,Despesas!$A:$A,Gerencial!L$3,Despesas!$C:$C,Gerencial!$C14)</f>
        <v>0</v>
      </c>
      <c r="M14" s="104">
        <f>SUMIFS(Despesas!$F:$F,Despesas!$A:$A,Gerencial!M$3,Despesas!$C:$C,Gerencial!$C14)</f>
        <v>0</v>
      </c>
      <c r="N14" s="104">
        <f>SUMIFS(Despesas!$F:$F,Despesas!$A:$A,Gerencial!N$3,Despesas!$C:$C,Gerencial!$C14)</f>
        <v>0</v>
      </c>
      <c r="O14" s="104">
        <f>SUMIFS(Despesas!$F:$F,Despesas!$A:$A,Gerencial!O$3,Despesas!$C:$C,Gerencial!$C14)</f>
        <v>0</v>
      </c>
      <c r="P14" s="104">
        <f>SUMIFS(Despesas!$F:$F,Despesas!$A:$A,Gerencial!P$3,Despesas!$C:$C,Gerencial!$C14)</f>
        <v>0</v>
      </c>
      <c r="Q14" s="104">
        <f>SUMIFS(Despesas!$F:$F,Despesas!$A:$A,Gerencial!Q$3,Despesas!$C:$C,Gerencial!$C14)</f>
        <v>0</v>
      </c>
      <c r="R14" s="104">
        <f>SUMIFS(Despesas!$F:$F,Despesas!$A:$A,Gerencial!R$3,Despesas!$C:$C,Gerencial!$C14)</f>
        <v>0</v>
      </c>
      <c r="S14" s="104">
        <f>SUMIFS(Despesas!$F:$F,Despesas!$A:$A,Gerencial!S$3,Despesas!$C:$C,Gerencial!$C14)</f>
        <v>0</v>
      </c>
      <c r="T14" s="104">
        <f>SUMIFS(Despesas!$F:$F,Despesas!$A:$A,Gerencial!T$3,Despesas!$C:$C,Gerencial!$C14)</f>
        <v>0</v>
      </c>
      <c r="U14" s="104">
        <f>SUMIFS(Despesas!$F:$F,Despesas!$A:$A,Gerencial!U$3,Despesas!$C:$C,Gerencial!$C14)</f>
        <v>0</v>
      </c>
      <c r="V14" s="104">
        <f>SUMIFS(Despesas!$F:$F,Despesas!$A:$A,Gerencial!V$3,Despesas!$C:$C,Gerencial!$C14)</f>
        <v>0</v>
      </c>
      <c r="W14" s="104">
        <f>SUMIFS(Despesas!$F:$F,Despesas!$A:$A,Gerencial!W$3,Despesas!$C:$C,Gerencial!$C14)</f>
        <v>0</v>
      </c>
      <c r="X14" s="104">
        <f>SUMIFS(Despesas!$F:$F,Despesas!$A:$A,Gerencial!X$3,Despesas!$C:$C,Gerencial!$C14)</f>
        <v>0</v>
      </c>
      <c r="Y14" s="104">
        <f>SUMIFS(Despesas!$F:$F,Despesas!$A:$A,Gerencial!Y$3,Despesas!$C:$C,Gerencial!$C14)</f>
        <v>0</v>
      </c>
      <c r="Z14" s="104">
        <f>SUMIFS(Despesas!$F:$F,Despesas!$A:$A,Gerencial!Z$3,Despesas!$C:$C,Gerencial!$C14)</f>
        <v>0</v>
      </c>
      <c r="AA14" s="104">
        <f>SUMIFS(Despesas!$F:$F,Despesas!$A:$A,Gerencial!AA$3,Despesas!$C:$C,Gerencial!$C14)</f>
        <v>0</v>
      </c>
      <c r="AB14" s="104">
        <f>SUMIFS(Despesas!$F:$F,Despesas!$A:$A,Gerencial!AB$3,Despesas!$C:$C,Gerencial!$C14)</f>
        <v>0</v>
      </c>
      <c r="AC14" s="104">
        <f>SUMIFS(Despesas!$F:$F,Despesas!$A:$A,Gerencial!AC$3,Despesas!$C:$C,Gerencial!$C14)</f>
        <v>0</v>
      </c>
      <c r="AD14" s="104">
        <f>SUMIFS(Despesas!$F:$F,Despesas!$A:$A,Gerencial!AD$3,Despesas!$C:$C,Gerencial!$C14)</f>
        <v>0</v>
      </c>
      <c r="AE14" s="104">
        <f>SUMIFS(Despesas!$F:$F,Despesas!$A:$A,Gerencial!AE$3,Despesas!$C:$C,Gerencial!$C14)</f>
        <v>0</v>
      </c>
      <c r="AF14" s="104">
        <f>SUMIFS(Despesas!$F:$F,Despesas!$A:$A,Gerencial!AF$3,Despesas!$C:$C,Gerencial!$C14)</f>
        <v>0</v>
      </c>
      <c r="AG14" s="104">
        <f>SUMIFS(Despesas!$F:$F,Despesas!$A:$A,Gerencial!AG$3,Despesas!$C:$C,Gerencial!$C14)</f>
        <v>0</v>
      </c>
      <c r="AH14" s="104">
        <f>SUMIFS(Despesas!$F:$F,Despesas!$A:$A,Gerencial!AH$3,Despesas!$C:$C,Gerencial!$C14)</f>
        <v>0</v>
      </c>
      <c r="AI14" s="104">
        <f>SUMIFS(Despesas!$F:$F,Despesas!$A:$A,Gerencial!AI$3,Despesas!$C:$C,Gerencial!$C14)</f>
        <v>0</v>
      </c>
      <c r="AJ14" s="104">
        <f>SUMIFS(Despesas!$F:$F,Despesas!$A:$A,Gerencial!AJ$3,Despesas!$C:$C,Gerencial!$C14)</f>
        <v>0</v>
      </c>
      <c r="AK14" s="104">
        <f>SUMIFS(Despesas!$F:$F,Despesas!$A:$A,Gerencial!AK$3,Despesas!$C:$C,Gerencial!$C14)</f>
        <v>0</v>
      </c>
      <c r="AL14" s="104">
        <f>SUMIFS(Despesas!$F:$F,Despesas!$A:$A,Gerencial!AL$3,Despesas!$C:$C,Gerencial!$C14)</f>
        <v>0</v>
      </c>
      <c r="AM14" s="104">
        <f>SUMIFS(Despesas!$F:$F,Despesas!$A:$A,Gerencial!AM$3,Despesas!$C:$C,Gerencial!$C14)</f>
        <v>0</v>
      </c>
      <c r="AN14" s="104">
        <f>SUMIFS(Despesas!$F:$F,Despesas!$A:$A,Gerencial!AN$3,Despesas!$C:$C,Gerencial!$C14)</f>
        <v>0</v>
      </c>
      <c r="AO14" s="104">
        <f>SUMIFS(Despesas!$G$3:$G$287,Despesas!$A$3:$A$287,$AO$3,Despesas!$C$3:$C$287,$C14)</f>
        <v>700</v>
      </c>
    </row>
    <row r="15">
      <c r="A15" s="57" t="s">
        <v>519</v>
      </c>
      <c r="B15" s="10"/>
      <c r="C15" s="80" t="s">
        <v>188</v>
      </c>
      <c r="D15" s="82">
        <f t="shared" si="5"/>
        <v>0</v>
      </c>
      <c r="E15" s="50"/>
      <c r="F15" s="104">
        <f>SUMIFS(Despesas!$F:$F,Despesas!$A:$A,Gerencial!F$3,Despesas!$C:$C,Gerencial!$C15)</f>
        <v>0</v>
      </c>
      <c r="G15" s="104">
        <f>SUMIFS(Despesas!$F:$F,Despesas!$A:$A,Gerencial!G$3,Despesas!$C:$C,Gerencial!$C15)</f>
        <v>0</v>
      </c>
      <c r="H15" s="104">
        <f>SUMIFS(Despesas!$F:$F,Despesas!$A:$A,Gerencial!H$3,Despesas!$C:$C,Gerencial!$C15)</f>
        <v>0</v>
      </c>
      <c r="I15" s="104">
        <f>SUMIFS(Despesas!$F:$F,Despesas!$A:$A,Gerencial!I$3,Despesas!$C:$C,Gerencial!$C15)</f>
        <v>0</v>
      </c>
      <c r="J15" s="104">
        <f>SUMIFS(Despesas!$F:$F,Despesas!$A:$A,Gerencial!J$3,Despesas!$C:$C,Gerencial!$C15)</f>
        <v>0</v>
      </c>
      <c r="K15" s="104">
        <f>SUMIFS(Despesas!$F:$F,Despesas!$A:$A,Gerencial!K$3,Despesas!$C:$C,Gerencial!$C15)</f>
        <v>0</v>
      </c>
      <c r="L15" s="104">
        <f>SUMIFS(Despesas!$F:$F,Despesas!$A:$A,Gerencial!L$3,Despesas!$C:$C,Gerencial!$C15)</f>
        <v>0</v>
      </c>
      <c r="M15" s="104">
        <f>SUMIFS(Despesas!$F:$F,Despesas!$A:$A,Gerencial!M$3,Despesas!$C:$C,Gerencial!$C15)</f>
        <v>0</v>
      </c>
      <c r="N15" s="104">
        <f>SUMIFS(Despesas!$F:$F,Despesas!$A:$A,Gerencial!N$3,Despesas!$C:$C,Gerencial!$C15)</f>
        <v>0</v>
      </c>
      <c r="O15" s="104">
        <f>SUMIFS(Despesas!$F:$F,Despesas!$A:$A,Gerencial!O$3,Despesas!$C:$C,Gerencial!$C15)</f>
        <v>0</v>
      </c>
      <c r="P15" s="104">
        <f>SUMIFS(Despesas!$F:$F,Despesas!$A:$A,Gerencial!P$3,Despesas!$C:$C,Gerencial!$C15)</f>
        <v>650</v>
      </c>
      <c r="Q15" s="104">
        <f>SUMIFS(Despesas!$F:$F,Despesas!$A:$A,Gerencial!Q$3,Despesas!$C:$C,Gerencial!$C15)</f>
        <v>0</v>
      </c>
      <c r="R15" s="104">
        <f>SUMIFS(Despesas!$F:$F,Despesas!$A:$A,Gerencial!R$3,Despesas!$C:$C,Gerencial!$C15)</f>
        <v>0</v>
      </c>
      <c r="S15" s="104">
        <f>SUMIFS(Despesas!$F:$F,Despesas!$A:$A,Gerencial!S$3,Despesas!$C:$C,Gerencial!$C15)</f>
        <v>0</v>
      </c>
      <c r="T15" s="104">
        <f>SUMIFS(Despesas!$F:$F,Despesas!$A:$A,Gerencial!T$3,Despesas!$C:$C,Gerencial!$C15)</f>
        <v>0</v>
      </c>
      <c r="U15" s="104">
        <f>SUMIFS(Despesas!$F:$F,Despesas!$A:$A,Gerencial!U$3,Despesas!$C:$C,Gerencial!$C15)</f>
        <v>0</v>
      </c>
      <c r="V15" s="104">
        <f>SUMIFS(Despesas!$F:$F,Despesas!$A:$A,Gerencial!V$3,Despesas!$C:$C,Gerencial!$C15)</f>
        <v>0</v>
      </c>
      <c r="W15" s="104">
        <f>SUMIFS(Despesas!$F:$F,Despesas!$A:$A,Gerencial!W$3,Despesas!$C:$C,Gerencial!$C15)</f>
        <v>0</v>
      </c>
      <c r="X15" s="104">
        <f>SUMIFS(Despesas!$F:$F,Despesas!$A:$A,Gerencial!X$3,Despesas!$C:$C,Gerencial!$C15)</f>
        <v>0</v>
      </c>
      <c r="Y15" s="104">
        <f>SUMIFS(Despesas!$F:$F,Despesas!$A:$A,Gerencial!Y$3,Despesas!$C:$C,Gerencial!$C15)</f>
        <v>0</v>
      </c>
      <c r="Z15" s="104">
        <f>SUMIFS(Despesas!$F:$F,Despesas!$A:$A,Gerencial!Z$3,Despesas!$C:$C,Gerencial!$C15)</f>
        <v>0</v>
      </c>
      <c r="AA15" s="104">
        <f>SUMIFS(Despesas!$F:$F,Despesas!$A:$A,Gerencial!AA$3,Despesas!$C:$C,Gerencial!$C15)</f>
        <v>0</v>
      </c>
      <c r="AB15" s="104">
        <f>SUMIFS(Despesas!$F:$F,Despesas!$A:$A,Gerencial!AB$3,Despesas!$C:$C,Gerencial!$C15)</f>
        <v>0</v>
      </c>
      <c r="AC15" s="104">
        <f>SUMIFS(Despesas!$F:$F,Despesas!$A:$A,Gerencial!AC$3,Despesas!$C:$C,Gerencial!$C15)</f>
        <v>0</v>
      </c>
      <c r="AD15" s="104">
        <f>SUMIFS(Despesas!$F:$F,Despesas!$A:$A,Gerencial!AD$3,Despesas!$C:$C,Gerencial!$C15)</f>
        <v>1746.5</v>
      </c>
      <c r="AE15" s="104">
        <f>SUMIFS(Despesas!$F:$F,Despesas!$A:$A,Gerencial!AE$3,Despesas!$C:$C,Gerencial!$C15)</f>
        <v>0</v>
      </c>
      <c r="AF15" s="104">
        <f>SUMIFS(Despesas!$F:$F,Despesas!$A:$A,Gerencial!AF$3,Despesas!$C:$C,Gerencial!$C15)</f>
        <v>0</v>
      </c>
      <c r="AG15" s="104">
        <f>SUMIFS(Despesas!$F:$F,Despesas!$A:$A,Gerencial!AG$3,Despesas!$C:$C,Gerencial!$C15)</f>
        <v>0</v>
      </c>
      <c r="AH15" s="104">
        <f>SUMIFS(Despesas!$F:$F,Despesas!$A:$A,Gerencial!AH$3,Despesas!$C:$C,Gerencial!$C15)</f>
        <v>1290</v>
      </c>
      <c r="AI15" s="104">
        <f>SUMIFS(Despesas!$F:$F,Despesas!$A:$A,Gerencial!AI$3,Despesas!$C:$C,Gerencial!$C15)</f>
        <v>0</v>
      </c>
      <c r="AJ15" s="104">
        <f>SUMIFS(Despesas!$F:$F,Despesas!$A:$A,Gerencial!AJ$3,Despesas!$C:$C,Gerencial!$C15)</f>
        <v>0</v>
      </c>
      <c r="AK15" s="104">
        <f>SUMIFS(Despesas!$F:$F,Despesas!$A:$A,Gerencial!AK$3,Despesas!$C:$C,Gerencial!$C15)</f>
        <v>1000</v>
      </c>
      <c r="AL15" s="104">
        <f>SUMIFS(Despesas!$F:$F,Despesas!$A:$A,Gerencial!AL$3,Despesas!$C:$C,Gerencial!$C15)</f>
        <v>0</v>
      </c>
      <c r="AM15" s="104">
        <f>SUMIFS(Despesas!$F:$F,Despesas!$A:$A,Gerencial!AM$3,Despesas!$C:$C,Gerencial!$C15)</f>
        <v>1000</v>
      </c>
      <c r="AN15" s="104">
        <f>SUMIFS(Despesas!$F:$F,Despesas!$A:$A,Gerencial!AN$3,Despesas!$C:$C,Gerencial!$C15)</f>
        <v>1000</v>
      </c>
      <c r="AO15" s="104">
        <f>SUMIFS(Despesas!$G$3:$G$287,Despesas!$A$3:$A$287,$AO$3,Despesas!$C$3:$C$287,$C15)</f>
        <v>4000</v>
      </c>
    </row>
    <row r="16">
      <c r="A16" s="57" t="s">
        <v>593</v>
      </c>
      <c r="B16" s="240"/>
      <c r="C16" s="80" t="s">
        <v>248</v>
      </c>
      <c r="D16" s="82">
        <f t="shared" si="5"/>
        <v>0</v>
      </c>
      <c r="E16" s="50"/>
      <c r="F16" s="104">
        <f>SUMIFS(Despesas!$F:$F,Despesas!$A:$A,Gerencial!F$3,Despesas!$C:$C,Gerencial!$C16)</f>
        <v>0</v>
      </c>
      <c r="G16" s="104">
        <f>SUMIFS(Despesas!$F:$F,Despesas!$A:$A,Gerencial!G$3,Despesas!$C:$C,Gerencial!$C16)</f>
        <v>0</v>
      </c>
      <c r="H16" s="104">
        <f>SUMIFS(Despesas!$F:$F,Despesas!$A:$A,Gerencial!H$3,Despesas!$C:$C,Gerencial!$C16)</f>
        <v>0</v>
      </c>
      <c r="I16" s="104">
        <f>SUMIFS(Despesas!$F:$F,Despesas!$A:$A,Gerencial!I$3,Despesas!$C:$C,Gerencial!$C16)</f>
        <v>0</v>
      </c>
      <c r="J16" s="104">
        <f>SUMIFS(Despesas!$F:$F,Despesas!$A:$A,Gerencial!J$3,Despesas!$C:$C,Gerencial!$C16)</f>
        <v>2150</v>
      </c>
      <c r="K16" s="104">
        <f>SUMIFS(Despesas!$F:$F,Despesas!$A:$A,Gerencial!K$3,Despesas!$C:$C,Gerencial!$C16)</f>
        <v>0</v>
      </c>
      <c r="L16" s="104">
        <f>SUMIFS(Despesas!$F:$F,Despesas!$A:$A,Gerencial!L$3,Despesas!$C:$C,Gerencial!$C16)</f>
        <v>1965</v>
      </c>
      <c r="M16" s="104">
        <f>SUMIFS(Despesas!$F:$F,Despesas!$A:$A,Gerencial!M$3,Despesas!$C:$C,Gerencial!$C16)</f>
        <v>0</v>
      </c>
      <c r="N16" s="104">
        <f>SUMIFS(Despesas!$F:$F,Despesas!$A:$A,Gerencial!N$3,Despesas!$C:$C,Gerencial!$C16)</f>
        <v>0</v>
      </c>
      <c r="O16" s="104">
        <f>SUMIFS(Despesas!$F:$F,Despesas!$A:$A,Gerencial!O$3,Despesas!$C:$C,Gerencial!$C16)</f>
        <v>0</v>
      </c>
      <c r="P16" s="104">
        <f>SUMIFS(Despesas!$F:$F,Despesas!$A:$A,Gerencial!P$3,Despesas!$C:$C,Gerencial!$C16)</f>
        <v>869</v>
      </c>
      <c r="Q16" s="104">
        <f>SUMIFS(Despesas!$F:$F,Despesas!$A:$A,Gerencial!Q$3,Despesas!$C:$C,Gerencial!$C16)</f>
        <v>0</v>
      </c>
      <c r="R16" s="104">
        <f>SUMIFS(Despesas!$F:$F,Despesas!$A:$A,Gerencial!R$3,Despesas!$C:$C,Gerencial!$C16)</f>
        <v>900</v>
      </c>
      <c r="S16" s="104">
        <f>SUMIFS(Despesas!$F:$F,Despesas!$A:$A,Gerencial!S$3,Despesas!$C:$C,Gerencial!$C16)</f>
        <v>0</v>
      </c>
      <c r="T16" s="104">
        <f>SUMIFS(Despesas!$F:$F,Despesas!$A:$A,Gerencial!T$3,Despesas!$C:$C,Gerencial!$C16)</f>
        <v>0</v>
      </c>
      <c r="U16" s="104">
        <f>SUMIFS(Despesas!$F:$F,Despesas!$A:$A,Gerencial!U$3,Despesas!$C:$C,Gerencial!$C16)</f>
        <v>754</v>
      </c>
      <c r="V16" s="104">
        <f>SUMIFS(Despesas!$F:$F,Despesas!$A:$A,Gerencial!V$3,Despesas!$C:$C,Gerencial!$C16)</f>
        <v>0</v>
      </c>
      <c r="W16" s="104">
        <f>SUMIFS(Despesas!$F:$F,Despesas!$A:$A,Gerencial!W$3,Despesas!$C:$C,Gerencial!$C16)</f>
        <v>0</v>
      </c>
      <c r="X16" s="104">
        <f>SUMIFS(Despesas!$F:$F,Despesas!$A:$A,Gerencial!X$3,Despesas!$C:$C,Gerencial!$C16)</f>
        <v>2173</v>
      </c>
      <c r="Y16" s="104">
        <f>SUMIFS(Despesas!$F:$F,Despesas!$A:$A,Gerencial!Y$3,Despesas!$C:$C,Gerencial!$C16)</f>
        <v>0</v>
      </c>
      <c r="Z16" s="104">
        <f>SUMIFS(Despesas!$F:$F,Despesas!$A:$A,Gerencial!Z$3,Despesas!$C:$C,Gerencial!$C16)</f>
        <v>0</v>
      </c>
      <c r="AA16" s="104">
        <f>SUMIFS(Despesas!$F:$F,Despesas!$A:$A,Gerencial!AA$3,Despesas!$C:$C,Gerencial!$C16)</f>
        <v>0</v>
      </c>
      <c r="AB16" s="104">
        <f>SUMIFS(Despesas!$F:$F,Despesas!$A:$A,Gerencial!AB$3,Despesas!$C:$C,Gerencial!$C16)</f>
        <v>1022</v>
      </c>
      <c r="AC16" s="104">
        <f>SUMIFS(Despesas!$F:$F,Despesas!$A:$A,Gerencial!AC$3,Despesas!$C:$C,Gerencial!$C16)</f>
        <v>0</v>
      </c>
      <c r="AD16" s="104">
        <f>SUMIFS(Despesas!$F:$F,Despesas!$A:$A,Gerencial!AD$3,Despesas!$C:$C,Gerencial!$C16)</f>
        <v>1685</v>
      </c>
      <c r="AE16" s="104">
        <f>SUMIFS(Despesas!$F:$F,Despesas!$A:$A,Gerencial!AE$3,Despesas!$C:$C,Gerencial!$C16)</f>
        <v>0</v>
      </c>
      <c r="AF16" s="104">
        <f>SUMIFS(Despesas!$F:$F,Despesas!$A:$A,Gerencial!AF$3,Despesas!$C:$C,Gerencial!$C16)</f>
        <v>0</v>
      </c>
      <c r="AG16" s="104">
        <f>SUMIFS(Despesas!$F:$F,Despesas!$A:$A,Gerencial!AG$3,Despesas!$C:$C,Gerencial!$C16)</f>
        <v>0</v>
      </c>
      <c r="AH16" s="104">
        <f>SUMIFS(Despesas!$F:$F,Despesas!$A:$A,Gerencial!AH$3,Despesas!$C:$C,Gerencial!$C16)</f>
        <v>55</v>
      </c>
      <c r="AI16" s="104">
        <f>SUMIFS(Despesas!$F:$F,Despesas!$A:$A,Gerencial!AI$3,Despesas!$C:$C,Gerencial!$C16)</f>
        <v>0</v>
      </c>
      <c r="AJ16" s="104">
        <f>SUMIFS(Despesas!$F:$F,Despesas!$A:$A,Gerencial!AJ$3,Despesas!$C:$C,Gerencial!$C16)</f>
        <v>0</v>
      </c>
      <c r="AK16" s="104">
        <f>SUMIFS(Despesas!$F:$F,Despesas!$A:$A,Gerencial!AK$3,Despesas!$C:$C,Gerencial!$C16)</f>
        <v>1696</v>
      </c>
      <c r="AL16" s="104">
        <f>SUMIFS(Despesas!$F:$F,Despesas!$A:$A,Gerencial!AL$3,Despesas!$C:$C,Gerencial!$C16)</f>
        <v>0</v>
      </c>
      <c r="AM16" s="104">
        <f>SUMIFS(Despesas!$F:$F,Despesas!$A:$A,Gerencial!AM$3,Despesas!$C:$C,Gerencial!$C16)</f>
        <v>0</v>
      </c>
      <c r="AN16" s="104">
        <f>SUMIFS(Despesas!$F:$F,Despesas!$A:$A,Gerencial!AN$3,Despesas!$C:$C,Gerencial!$C16)</f>
        <v>625</v>
      </c>
      <c r="AO16" s="104">
        <f>SUMIFS(Despesas!$G$3:$G$287,Despesas!$A$3:$A$287,$AO$3,Despesas!$C$3:$C$287,$C16)</f>
        <v>0</v>
      </c>
    </row>
    <row r="17">
      <c r="A17" s="248" t="s">
        <v>666</v>
      </c>
      <c r="B17" s="249"/>
      <c r="C17" s="250" t="s">
        <v>669</v>
      </c>
      <c r="D17" s="252">
        <f t="shared" si="5"/>
        <v>60</v>
      </c>
      <c r="E17" s="254"/>
      <c r="F17" s="257">
        <f t="shared" ref="F17:AO17" si="6">SUM(F18:F40)</f>
        <v>60</v>
      </c>
      <c r="G17" s="257">
        <f t="shared" si="6"/>
        <v>914.67</v>
      </c>
      <c r="H17" s="257">
        <f t="shared" si="6"/>
        <v>2109.31</v>
      </c>
      <c r="I17" s="257">
        <f t="shared" si="6"/>
        <v>1941.25</v>
      </c>
      <c r="J17" s="257">
        <f t="shared" si="6"/>
        <v>1366.67</v>
      </c>
      <c r="K17" s="257">
        <f t="shared" si="6"/>
        <v>1898.61</v>
      </c>
      <c r="L17" s="257">
        <f t="shared" si="6"/>
        <v>2412.39</v>
      </c>
      <c r="M17" s="257">
        <f t="shared" si="6"/>
        <v>1358</v>
      </c>
      <c r="N17" s="257">
        <f t="shared" si="6"/>
        <v>1641.9</v>
      </c>
      <c r="O17" s="257">
        <f t="shared" si="6"/>
        <v>2128.74</v>
      </c>
      <c r="P17" s="257">
        <f t="shared" si="6"/>
        <v>3107.01</v>
      </c>
      <c r="Q17" s="257">
        <f t="shared" si="6"/>
        <v>1170.5</v>
      </c>
      <c r="R17" s="257">
        <f t="shared" si="6"/>
        <v>3273.48</v>
      </c>
      <c r="S17" s="257">
        <f t="shared" si="6"/>
        <v>1743.73</v>
      </c>
      <c r="T17" s="257">
        <f t="shared" si="6"/>
        <v>1809.19</v>
      </c>
      <c r="U17" s="257">
        <f t="shared" si="6"/>
        <v>1464.58</v>
      </c>
      <c r="V17" s="257">
        <f t="shared" si="6"/>
        <v>1677.72</v>
      </c>
      <c r="W17" s="257">
        <f t="shared" si="6"/>
        <v>1650.15</v>
      </c>
      <c r="X17" s="257">
        <f t="shared" si="6"/>
        <v>1232.31</v>
      </c>
      <c r="Y17" s="257">
        <f t="shared" si="6"/>
        <v>985.02</v>
      </c>
      <c r="Z17" s="257">
        <f t="shared" si="6"/>
        <v>2722.88</v>
      </c>
      <c r="AA17" s="257">
        <f t="shared" si="6"/>
        <v>558.12</v>
      </c>
      <c r="AB17" s="257">
        <f t="shared" si="6"/>
        <v>1047.53</v>
      </c>
      <c r="AC17" s="257">
        <f t="shared" si="6"/>
        <v>2578.78</v>
      </c>
      <c r="AD17" s="257">
        <f t="shared" si="6"/>
        <v>1870.36</v>
      </c>
      <c r="AE17" s="257">
        <f t="shared" si="6"/>
        <v>1614.75</v>
      </c>
      <c r="AF17" s="257">
        <f t="shared" si="6"/>
        <v>1148.79</v>
      </c>
      <c r="AG17" s="257">
        <f t="shared" si="6"/>
        <v>1165.75</v>
      </c>
      <c r="AH17" s="257">
        <f t="shared" si="6"/>
        <v>1780.73</v>
      </c>
      <c r="AI17" s="257">
        <f t="shared" si="6"/>
        <v>2419.12</v>
      </c>
      <c r="AJ17" s="257">
        <f t="shared" si="6"/>
        <v>2502.14</v>
      </c>
      <c r="AK17" s="257">
        <f t="shared" si="6"/>
        <v>1655.34</v>
      </c>
      <c r="AL17" s="257">
        <f t="shared" si="6"/>
        <v>2373.87</v>
      </c>
      <c r="AM17" s="257">
        <f t="shared" si="6"/>
        <v>1722.05</v>
      </c>
      <c r="AN17" s="257">
        <f t="shared" si="6"/>
        <v>1329.37</v>
      </c>
      <c r="AO17" s="257">
        <f t="shared" si="6"/>
        <v>1461.84</v>
      </c>
    </row>
    <row r="18" outlineLevel="1">
      <c r="A18" s="264" t="s">
        <v>677</v>
      </c>
      <c r="B18" s="265" t="s">
        <v>669</v>
      </c>
      <c r="C18" s="266" t="s">
        <v>171</v>
      </c>
      <c r="D18" s="82">
        <f t="shared" si="5"/>
        <v>0</v>
      </c>
      <c r="E18" s="50"/>
      <c r="F18" s="104">
        <f>SUMIFS(Despesas!$F:$F,Despesas!$A:$A,Gerencial!F$3,Despesas!$C:$C,Gerencial!$C18)</f>
        <v>0</v>
      </c>
      <c r="G18" s="104">
        <f>SUMIFS(Despesas!$F:$F,Despesas!$A:$A,Gerencial!G$3,Despesas!$C:$C,Gerencial!$C18)</f>
        <v>0</v>
      </c>
      <c r="H18" s="104">
        <f>SUMIFS(Despesas!$F:$F,Despesas!$A:$A,Gerencial!H$3,Despesas!$C:$C,Gerencial!$C18)</f>
        <v>29.99</v>
      </c>
      <c r="I18" s="104">
        <f>SUMIFS(Despesas!$F:$F,Despesas!$A:$A,Gerencial!I$3,Despesas!$C:$C,Gerencial!$C18)</f>
        <v>386</v>
      </c>
      <c r="J18" s="104">
        <f>SUMIFS(Despesas!$F:$F,Despesas!$A:$A,Gerencial!J$3,Despesas!$C:$C,Gerencial!$C18)</f>
        <v>563.05</v>
      </c>
      <c r="K18" s="104">
        <f>SUMIFS(Despesas!$F:$F,Despesas!$A:$A,Gerencial!K$3,Despesas!$C:$C,Gerencial!$C18)</f>
        <v>0</v>
      </c>
      <c r="L18" s="104">
        <f>SUMIFS(Despesas!$F:$F,Despesas!$A:$A,Gerencial!L$3,Despesas!$C:$C,Gerencial!$C18)</f>
        <v>0</v>
      </c>
      <c r="M18" s="104">
        <f>SUMIFS(Despesas!$F:$F,Despesas!$A:$A,Gerencial!M$3,Despesas!$C:$C,Gerencial!$C18)</f>
        <v>194.75</v>
      </c>
      <c r="N18" s="104">
        <f>SUMIFS(Despesas!$F:$F,Despesas!$A:$A,Gerencial!N$3,Despesas!$C:$C,Gerencial!$C18)</f>
        <v>0</v>
      </c>
      <c r="O18" s="104">
        <f>SUMIFS(Despesas!$F:$F,Despesas!$A:$A,Gerencial!O$3,Despesas!$C:$C,Gerencial!$C18)</f>
        <v>463</v>
      </c>
      <c r="P18" s="104">
        <f>SUMIFS(Despesas!$F:$F,Despesas!$A:$A,Gerencial!P$3,Despesas!$C:$C,Gerencial!$C18)</f>
        <v>0</v>
      </c>
      <c r="Q18" s="104">
        <f>SUMIFS(Despesas!$F:$F,Despesas!$A:$A,Gerencial!Q$3,Despesas!$C:$C,Gerencial!$C18)</f>
        <v>0</v>
      </c>
      <c r="R18" s="104">
        <f>SUMIFS(Despesas!$F:$F,Despesas!$A:$A,Gerencial!R$3,Despesas!$C:$C,Gerencial!$C18)</f>
        <v>886.4</v>
      </c>
      <c r="S18" s="104">
        <f>SUMIFS(Despesas!$F:$F,Despesas!$A:$A,Gerencial!S$3,Despesas!$C:$C,Gerencial!$C18)</f>
        <v>663.1</v>
      </c>
      <c r="T18" s="104">
        <f>SUMIFS(Despesas!$F:$F,Despesas!$A:$A,Gerencial!T$3,Despesas!$C:$C,Gerencial!$C18)</f>
        <v>191</v>
      </c>
      <c r="U18" s="104">
        <f>SUMIFS(Despesas!$F:$F,Despesas!$A:$A,Gerencial!U$3,Despesas!$C:$C,Gerencial!$C18)</f>
        <v>101</v>
      </c>
      <c r="V18" s="104">
        <f>SUMIFS(Despesas!$F:$F,Despesas!$A:$A,Gerencial!V$3,Despesas!$C:$C,Gerencial!$C18)</f>
        <v>285.95</v>
      </c>
      <c r="W18" s="104">
        <f>SUMIFS(Despesas!$F:$F,Despesas!$A:$A,Gerencial!W$3,Despesas!$C:$C,Gerencial!$C18)</f>
        <v>368.5</v>
      </c>
      <c r="X18" s="104">
        <f>SUMIFS(Despesas!$F:$F,Despesas!$A:$A,Gerencial!X$3,Despesas!$C:$C,Gerencial!$C18)</f>
        <v>83.6</v>
      </c>
      <c r="Y18" s="104">
        <f>SUMIFS(Despesas!$F:$F,Despesas!$A:$A,Gerencial!Y$3,Despesas!$C:$C,Gerencial!$C18)</f>
        <v>0</v>
      </c>
      <c r="Z18" s="104">
        <f>SUMIFS(Despesas!$F:$F,Despesas!$A:$A,Gerencial!Z$3,Despesas!$C:$C,Gerencial!$C18)</f>
        <v>296.47</v>
      </c>
      <c r="AA18" s="104">
        <f>SUMIFS(Despesas!$F:$F,Despesas!$A:$A,Gerencial!AA$3,Despesas!$C:$C,Gerencial!$C18)</f>
        <v>55.96</v>
      </c>
      <c r="AB18" s="104">
        <f>SUMIFS(Despesas!$F:$F,Despesas!$A:$A,Gerencial!AB$3,Despesas!$C:$C,Gerencial!$C18)</f>
        <v>203.3</v>
      </c>
      <c r="AC18" s="104">
        <f>SUMIFS(Despesas!$F:$F,Despesas!$A:$A,Gerencial!AC$3,Despesas!$C:$C,Gerencial!$C18)</f>
        <v>859.43</v>
      </c>
      <c r="AD18" s="104">
        <f>SUMIFS(Despesas!$F:$F,Despesas!$A:$A,Gerencial!AD$3,Despesas!$C:$C,Gerencial!$C18)</f>
        <v>924.38</v>
      </c>
      <c r="AE18" s="104">
        <f>SUMIFS(Despesas!$F:$F,Despesas!$A:$A,Gerencial!AE$3,Despesas!$C:$C,Gerencial!$C18)</f>
        <v>239.21</v>
      </c>
      <c r="AF18" s="104">
        <f>SUMIFS(Despesas!$F:$F,Despesas!$A:$A,Gerencial!AF$3,Despesas!$C:$C,Gerencial!$C18)</f>
        <v>199.78</v>
      </c>
      <c r="AG18" s="104">
        <f>SUMIFS(Despesas!$F:$F,Despesas!$A:$A,Gerencial!AG$3,Despesas!$C:$C,Gerencial!$C18)</f>
        <v>0</v>
      </c>
      <c r="AH18" s="104">
        <f>SUMIFS(Despesas!$F:$F,Despesas!$A:$A,Gerencial!AH$3,Despesas!$C:$C,Gerencial!$C18)</f>
        <v>260.75</v>
      </c>
      <c r="AI18" s="104">
        <f>SUMIFS(Despesas!$F:$F,Despesas!$A:$A,Gerencial!AI$3,Despesas!$C:$C,Gerencial!$C18)</f>
        <v>1110.9</v>
      </c>
      <c r="AJ18" s="104">
        <f>SUMIFS(Despesas!$F:$F,Despesas!$A:$A,Gerencial!AJ$3,Despesas!$C:$C,Gerencial!$C18)</f>
        <v>995.61</v>
      </c>
      <c r="AK18" s="104">
        <f>SUMIFS(Despesas!$F:$F,Despesas!$A:$A,Gerencial!AK$3,Despesas!$C:$C,Gerencial!$C18)</f>
        <v>371.45</v>
      </c>
      <c r="AL18" s="104">
        <f>SUMIFS(Despesas!$F:$F,Despesas!$A:$A,Gerencial!AL$3,Despesas!$C:$C,Gerencial!$C18)</f>
        <v>78.85</v>
      </c>
      <c r="AM18" s="104">
        <f>SUMIFS(Despesas!$F:$F,Despesas!$A:$A,Gerencial!AM$3,Despesas!$C:$C,Gerencial!$C18)</f>
        <v>0</v>
      </c>
      <c r="AN18" s="104">
        <f>SUMIFS(Despesas!$F:$F,Despesas!$A:$A,Gerencial!AN$3,Despesas!$C:$C,Gerencial!$C18)</f>
        <v>163.4</v>
      </c>
      <c r="AO18" s="104">
        <f>SUMIFS(Despesas!$G$3:$G$287,Despesas!$A$3:$A$287,$AO$3,Despesas!$C$3:$C$287,$C18)</f>
        <v>119.9</v>
      </c>
    </row>
    <row r="19" outlineLevel="1">
      <c r="A19" s="264" t="s">
        <v>737</v>
      </c>
      <c r="B19" s="194"/>
      <c r="C19" s="271" t="s">
        <v>315</v>
      </c>
      <c r="D19" s="82">
        <f t="shared" si="5"/>
        <v>0</v>
      </c>
      <c r="E19" s="50"/>
      <c r="F19" s="104">
        <f>SUMIFS(Despesas!$F:$F,Despesas!$A:$A,Gerencial!F$3,Despesas!$C:$C,Gerencial!$C19)</f>
        <v>0</v>
      </c>
      <c r="G19" s="104">
        <f>SUMIFS(Despesas!$F:$F,Despesas!$A:$A,Gerencial!G$3,Despesas!$C:$C,Gerencial!$C19)</f>
        <v>0</v>
      </c>
      <c r="H19" s="104">
        <f>SUMIFS(Despesas!$F:$F,Despesas!$A:$A,Gerencial!H$3,Despesas!$C:$C,Gerencial!$C19)</f>
        <v>269.4</v>
      </c>
      <c r="I19" s="104">
        <f>SUMIFS(Despesas!$F:$F,Despesas!$A:$A,Gerencial!I$3,Despesas!$C:$C,Gerencial!$C19)</f>
        <v>0</v>
      </c>
      <c r="J19" s="104">
        <f>SUMIFS(Despesas!$F:$F,Despesas!$A:$A,Gerencial!J$3,Despesas!$C:$C,Gerencial!$C19)</f>
        <v>0</v>
      </c>
      <c r="K19" s="104">
        <f>SUMIFS(Despesas!$F:$F,Despesas!$A:$A,Gerencial!K$3,Despesas!$C:$C,Gerencial!$C19)</f>
        <v>264</v>
      </c>
      <c r="L19" s="104">
        <f>SUMIFS(Despesas!$F:$F,Despesas!$A:$A,Gerencial!L$3,Despesas!$C:$C,Gerencial!$C19)</f>
        <v>0</v>
      </c>
      <c r="M19" s="104">
        <f>SUMIFS(Despesas!$F:$F,Despesas!$A:$A,Gerencial!M$3,Despesas!$C:$C,Gerencial!$C19)</f>
        <v>0</v>
      </c>
      <c r="N19" s="104">
        <f>SUMIFS(Despesas!$F:$F,Despesas!$A:$A,Gerencial!N$3,Despesas!$C:$C,Gerencial!$C19)</f>
        <v>257.4</v>
      </c>
      <c r="O19" s="104">
        <f>SUMIFS(Despesas!$F:$F,Despesas!$A:$A,Gerencial!O$3,Despesas!$C:$C,Gerencial!$C19)</f>
        <v>49.99</v>
      </c>
      <c r="P19" s="104">
        <f>SUMIFS(Despesas!$F:$F,Despesas!$A:$A,Gerencial!P$3,Despesas!$C:$C,Gerencial!$C19)</f>
        <v>149.97</v>
      </c>
      <c r="Q19" s="104">
        <f>SUMIFS(Despesas!$F:$F,Despesas!$A:$A,Gerencial!Q$3,Despesas!$C:$C,Gerencial!$C19)</f>
        <v>0</v>
      </c>
      <c r="R19" s="104">
        <f>SUMIFS(Despesas!$F:$F,Despesas!$A:$A,Gerencial!R$3,Despesas!$C:$C,Gerencial!$C19)</f>
        <v>199.96</v>
      </c>
      <c r="S19" s="104">
        <f>SUMIFS(Despesas!$F:$F,Despesas!$A:$A,Gerencial!S$3,Despesas!$C:$C,Gerencial!$C19)</f>
        <v>99.98</v>
      </c>
      <c r="T19" s="104">
        <f>SUMIFS(Despesas!$F:$F,Despesas!$A:$A,Gerencial!T$3,Despesas!$C:$C,Gerencial!$C19)</f>
        <v>99.98</v>
      </c>
      <c r="U19" s="104">
        <f>SUMIFS(Despesas!$F:$F,Despesas!$A:$A,Gerencial!U$3,Despesas!$C:$C,Gerencial!$C19)</f>
        <v>99.98</v>
      </c>
      <c r="V19" s="104">
        <f>SUMIFS(Despesas!$F:$F,Despesas!$A:$A,Gerencial!V$3,Despesas!$C:$C,Gerencial!$C19)</f>
        <v>99.98</v>
      </c>
      <c r="W19" s="104">
        <f>SUMIFS(Despesas!$F:$F,Despesas!$A:$A,Gerencial!W$3,Despesas!$C:$C,Gerencial!$C19)</f>
        <v>99.98</v>
      </c>
      <c r="X19" s="104">
        <f>SUMIFS(Despesas!$F:$F,Despesas!$A:$A,Gerencial!X$3,Despesas!$C:$C,Gerencial!$C19)</f>
        <v>99.98</v>
      </c>
      <c r="Y19" s="104">
        <f>SUMIFS(Despesas!$F:$F,Despesas!$A:$A,Gerencial!Y$3,Despesas!$C:$C,Gerencial!$C19)</f>
        <v>0</v>
      </c>
      <c r="Z19" s="104">
        <f>SUMIFS(Despesas!$F:$F,Despesas!$A:$A,Gerencial!Z$3,Despesas!$C:$C,Gerencial!$C19)</f>
        <v>99.98</v>
      </c>
      <c r="AA19" s="104">
        <f>SUMIFS(Despesas!$F:$F,Despesas!$A:$A,Gerencial!AA$3,Despesas!$C:$C,Gerencial!$C19)</f>
        <v>0</v>
      </c>
      <c r="AB19" s="104">
        <f>SUMIFS(Despesas!$F:$F,Despesas!$A:$A,Gerencial!AB$3,Despesas!$C:$C,Gerencial!$C19)</f>
        <v>187.96</v>
      </c>
      <c r="AC19" s="104">
        <f>SUMIFS(Despesas!$F:$F,Despesas!$A:$A,Gerencial!AC$3,Despesas!$C:$C,Gerencial!$C19)</f>
        <v>0</v>
      </c>
      <c r="AD19" s="104">
        <f>SUMIFS(Despesas!$F:$F,Despesas!$A:$A,Gerencial!AD$3,Despesas!$C:$C,Gerencial!$C19)</f>
        <v>93.98</v>
      </c>
      <c r="AE19" s="104">
        <f>SUMIFS(Despesas!$F:$F,Despesas!$A:$A,Gerencial!AE$3,Despesas!$C:$C,Gerencial!$C19)</f>
        <v>93.98</v>
      </c>
      <c r="AF19" s="104">
        <f>SUMIFS(Despesas!$F:$F,Despesas!$A:$A,Gerencial!AF$3,Despesas!$C:$C,Gerencial!$C19)</f>
        <v>93.98</v>
      </c>
      <c r="AG19" s="104">
        <f>SUMIFS(Despesas!$F:$F,Despesas!$A:$A,Gerencial!AG$3,Despesas!$C:$C,Gerencial!$C19)</f>
        <v>0</v>
      </c>
      <c r="AH19" s="104">
        <f>SUMIFS(Despesas!$F:$F,Despesas!$A:$A,Gerencial!AH$3,Despesas!$C:$C,Gerencial!$C19)</f>
        <v>137.97</v>
      </c>
      <c r="AI19" s="104">
        <f>SUMIFS(Despesas!$F:$F,Despesas!$A:$A,Gerencial!AI$3,Despesas!$C:$C,Gerencial!$C19)</f>
        <v>91.98</v>
      </c>
      <c r="AJ19" s="104">
        <f>SUMIFS(Despesas!$F:$F,Despesas!$A:$A,Gerencial!AJ$3,Despesas!$C:$C,Gerencial!$C19)</f>
        <v>52.5</v>
      </c>
      <c r="AK19" s="104">
        <f>SUMIFS(Despesas!$F:$F,Despesas!$A:$A,Gerencial!AK$3,Despesas!$C:$C,Gerencial!$C19)</f>
        <v>0</v>
      </c>
      <c r="AL19" s="104">
        <f>SUMIFS(Despesas!$F:$F,Despesas!$A:$A,Gerencial!AL$3,Despesas!$C:$C,Gerencial!$C19)</f>
        <v>0</v>
      </c>
      <c r="AM19" s="104">
        <f>SUMIFS(Despesas!$F:$F,Despesas!$A:$A,Gerencial!AM$3,Despesas!$C:$C,Gerencial!$C19)</f>
        <v>169.5</v>
      </c>
      <c r="AN19" s="104">
        <f>SUMIFS(Despesas!$F:$F,Despesas!$A:$A,Gerencial!AN$3,Despesas!$C:$C,Gerencial!$C19)</f>
        <v>0</v>
      </c>
      <c r="AO19" s="104">
        <f>SUMIFS(Despesas!$G$3:$G$287,Despesas!$A$3:$A$287,$AO$3,Despesas!$C$3:C$287,$C19)</f>
        <v>0</v>
      </c>
    </row>
    <row r="20" outlineLevel="1">
      <c r="A20" s="280" t="s">
        <v>778</v>
      </c>
      <c r="B20" s="194"/>
      <c r="C20" s="271" t="s">
        <v>75</v>
      </c>
      <c r="D20" s="82">
        <f t="shared" si="5"/>
        <v>0</v>
      </c>
      <c r="E20" s="50"/>
      <c r="F20" s="104">
        <f>SUMIFS(Despesas!$F:$F,Despesas!$A:$A,Gerencial!F$3,Despesas!$C:$C,Gerencial!$C20)</f>
        <v>0</v>
      </c>
      <c r="G20" s="104">
        <f>SUMIFS(Despesas!$F:$F,Despesas!$A:$A,Gerencial!G$3,Despesas!$C:$C,Gerencial!$C20)</f>
        <v>320</v>
      </c>
      <c r="H20" s="104">
        <f>SUMIFS(Despesas!$F:$F,Despesas!$A:$A,Gerencial!H$3,Despesas!$C:$C,Gerencial!$C20)</f>
        <v>703</v>
      </c>
      <c r="I20" s="104">
        <f>SUMIFS(Despesas!$F:$F,Despesas!$A:$A,Gerencial!I$3,Despesas!$C:$C,Gerencial!$C20)</f>
        <v>511</v>
      </c>
      <c r="J20" s="104">
        <f>SUMIFS(Despesas!$F:$F,Despesas!$A:$A,Gerencial!J$3,Despesas!$C:$C,Gerencial!$C20)</f>
        <v>472.9</v>
      </c>
      <c r="K20" s="104">
        <f>SUMIFS(Despesas!$F:$F,Despesas!$A:$A,Gerencial!K$3,Despesas!$C:$C,Gerencial!$C20)</f>
        <v>400</v>
      </c>
      <c r="L20" s="104">
        <f>SUMIFS(Despesas!$F:$F,Despesas!$A:$A,Gerencial!L$3,Despesas!$C:$C,Gerencial!$C20)</f>
        <v>280</v>
      </c>
      <c r="M20" s="104">
        <f>SUMIFS(Despesas!$F:$F,Despesas!$A:$A,Gerencial!M$3,Despesas!$C:$C,Gerencial!$C20)</f>
        <v>619.6</v>
      </c>
      <c r="N20" s="104">
        <f>SUMIFS(Despesas!$F:$F,Despesas!$A:$A,Gerencial!N$3,Despesas!$C:$C,Gerencial!$C20)</f>
        <v>520</v>
      </c>
      <c r="O20" s="104">
        <f>SUMIFS(Despesas!$F:$F,Despesas!$A:$A,Gerencial!O$3,Despesas!$C:$C,Gerencial!$C20)</f>
        <v>443.3</v>
      </c>
      <c r="P20" s="104">
        <f>SUMIFS(Despesas!$F:$F,Despesas!$A:$A,Gerencial!P$3,Despesas!$C:$C,Gerencial!$C20)</f>
        <v>266.4</v>
      </c>
      <c r="Q20" s="104">
        <f>SUMIFS(Despesas!$F:$F,Despesas!$A:$A,Gerencial!Q$3,Despesas!$C:$C,Gerencial!$C20)</f>
        <v>527</v>
      </c>
      <c r="R20" s="104">
        <f>SUMIFS(Despesas!$F:$F,Despesas!$A:$A,Gerencial!R$3,Despesas!$C:$C,Gerencial!$C20)</f>
        <v>293</v>
      </c>
      <c r="S20" s="104">
        <f>SUMIFS(Despesas!$F:$F,Despesas!$A:$A,Gerencial!S$3,Despesas!$C:$C,Gerencial!$C20)</f>
        <v>328.6</v>
      </c>
      <c r="T20" s="104">
        <f>SUMIFS(Despesas!$F:$F,Despesas!$A:$A,Gerencial!T$3,Despesas!$C:$C,Gerencial!$C20)</f>
        <v>488.2</v>
      </c>
      <c r="U20" s="104">
        <f>SUMIFS(Despesas!$F:$F,Despesas!$A:$A,Gerencial!U$3,Despesas!$C:$C,Gerencial!$C20)</f>
        <v>217.8</v>
      </c>
      <c r="V20" s="104">
        <f>SUMIFS(Despesas!$F:$F,Despesas!$A:$A,Gerencial!V$3,Despesas!$C:$C,Gerencial!$C20)</f>
        <v>428.2</v>
      </c>
      <c r="W20" s="104">
        <f>SUMIFS(Despesas!$F:$F,Despesas!$A:$A,Gerencial!W$3,Despesas!$C:$C,Gerencial!$C20)</f>
        <v>332.4</v>
      </c>
      <c r="X20" s="104">
        <f>SUMIFS(Despesas!$F:$F,Despesas!$A:$A,Gerencial!X$3,Despesas!$C:$C,Gerencial!$C20)</f>
        <v>414.4</v>
      </c>
      <c r="Y20" s="104">
        <f>SUMIFS(Despesas!$F:$F,Despesas!$A:$A,Gerencial!Y$3,Despesas!$C:$C,Gerencial!$C20)</f>
        <v>218.2</v>
      </c>
      <c r="Z20" s="104">
        <f>SUMIFS(Despesas!$F:$F,Despesas!$A:$A,Gerencial!Z$3,Despesas!$C:$C,Gerencial!$C20)</f>
        <v>310</v>
      </c>
      <c r="AA20" s="104">
        <f>SUMIFS(Despesas!$F:$F,Despesas!$A:$A,Gerencial!AA$3,Despesas!$C:$C,Gerencial!$C20)</f>
        <v>105</v>
      </c>
      <c r="AB20" s="104">
        <f>SUMIFS(Despesas!$F:$F,Despesas!$A:$A,Gerencial!AB$3,Despesas!$C:$C,Gerencial!$C20)</f>
        <v>306.2</v>
      </c>
      <c r="AC20" s="104">
        <f>SUMIFS(Despesas!$F:$F,Despesas!$A:$A,Gerencial!AC$3,Despesas!$C:$C,Gerencial!$C20)</f>
        <v>275.6</v>
      </c>
      <c r="AD20" s="104">
        <f>SUMIFS(Despesas!$F:$F,Despesas!$A:$A,Gerencial!AD$3,Despesas!$C:$C,Gerencial!$C20)</f>
        <v>280</v>
      </c>
      <c r="AE20" s="104">
        <f>SUMIFS(Despesas!$F:$F,Despesas!$A:$A,Gerencial!AE$3,Despesas!$C:$C,Gerencial!$C20)</f>
        <v>350</v>
      </c>
      <c r="AF20" s="104">
        <f>SUMIFS(Despesas!$F:$F,Despesas!$A:$A,Gerencial!AF$3,Despesas!$C:$C,Gerencial!$C20)</f>
        <v>245</v>
      </c>
      <c r="AG20" s="104">
        <f>SUMIFS(Despesas!$F:$F,Despesas!$A:$A,Gerencial!AG$3,Despesas!$C:$C,Gerencial!$C20)</f>
        <v>238.6</v>
      </c>
      <c r="AH20" s="104">
        <f>SUMIFS(Despesas!$F:$F,Despesas!$A:$A,Gerencial!AH$3,Despesas!$C:$C,Gerencial!$C20)</f>
        <v>331.3</v>
      </c>
      <c r="AI20" s="104">
        <f>SUMIFS(Despesas!$F:$F,Despesas!$A:$A,Gerencial!AI$3,Despesas!$C:$C,Gerencial!$C20)</f>
        <v>153</v>
      </c>
      <c r="AJ20" s="104">
        <f>SUMIFS(Despesas!$F:$F,Despesas!$A:$A,Gerencial!AJ$3,Despesas!$C:$C,Gerencial!$C20)</f>
        <v>339</v>
      </c>
      <c r="AK20" s="104">
        <f>SUMIFS(Despesas!$F:$F,Despesas!$A:$A,Gerencial!AK$3,Despesas!$C:$C,Gerencial!$C20)</f>
        <v>140</v>
      </c>
      <c r="AL20" s="104">
        <f>SUMIFS(Despesas!$F:$F,Despesas!$A:$A,Gerencial!AL$3,Despesas!$C:$C,Gerencial!$C20)</f>
        <v>385</v>
      </c>
      <c r="AM20" s="104">
        <f>SUMIFS(Despesas!$F:$F,Despesas!$A:$A,Gerencial!AM$3,Despesas!$C:$C,Gerencial!$C20)</f>
        <v>129</v>
      </c>
      <c r="AN20" s="104">
        <f>SUMIFS(Despesas!$F:$F,Despesas!$A:$A,Gerencial!AN$3,Despesas!$C:$C,Gerencial!$C20)</f>
        <v>269</v>
      </c>
      <c r="AO20" s="104">
        <f>SUMIFS(Despesas!$G$3:$G$287,Despesas!$A$3:$A$287,$AO$3,Despesas!$C$3:C$287,$C20)</f>
        <v>245</v>
      </c>
    </row>
    <row r="21" outlineLevel="1">
      <c r="A21" s="280" t="s">
        <v>831</v>
      </c>
      <c r="B21" s="194"/>
      <c r="C21" s="271" t="s">
        <v>80</v>
      </c>
      <c r="D21" s="82">
        <f t="shared" si="5"/>
        <v>0</v>
      </c>
      <c r="E21" s="50"/>
      <c r="F21" s="104">
        <f>SUMIFS(Despesas!$F:$F,Despesas!$A:$A,Gerencial!F$3,Despesas!$C:$C,Gerencial!$C21)</f>
        <v>0</v>
      </c>
      <c r="G21" s="104">
        <f>SUMIFS(Despesas!$F:$F,Despesas!$A:$A,Gerencial!G$3,Despesas!$C:$C,Gerencial!$C21)</f>
        <v>102</v>
      </c>
      <c r="H21" s="104">
        <f>SUMIFS(Despesas!$F:$F,Despesas!$A:$A,Gerencial!H$3,Despesas!$C:$C,Gerencial!$C21)</f>
        <v>51</v>
      </c>
      <c r="I21" s="104">
        <f>SUMIFS(Despesas!$F:$F,Despesas!$A:$A,Gerencial!I$3,Despesas!$C:$C,Gerencial!$C21)</f>
        <v>85</v>
      </c>
      <c r="J21" s="104">
        <f>SUMIFS(Despesas!$F:$F,Despesas!$A:$A,Gerencial!J$3,Despesas!$C:$C,Gerencial!$C21)</f>
        <v>99</v>
      </c>
      <c r="K21" s="104">
        <f>SUMIFS(Despesas!$F:$F,Despesas!$A:$A,Gerencial!K$3,Despesas!$C:$C,Gerencial!$C21)</f>
        <v>62</v>
      </c>
      <c r="L21" s="104">
        <f>SUMIFS(Despesas!$F:$F,Despesas!$A:$A,Gerencial!L$3,Despesas!$C:$C,Gerencial!$C21)</f>
        <v>90</v>
      </c>
      <c r="M21" s="104">
        <f>SUMIFS(Despesas!$F:$F,Despesas!$A:$A,Gerencial!M$3,Despesas!$C:$C,Gerencial!$C21)</f>
        <v>30</v>
      </c>
      <c r="N21" s="104">
        <f>SUMIFS(Despesas!$F:$F,Despesas!$A:$A,Gerencial!N$3,Despesas!$C:$C,Gerencial!$C21)</f>
        <v>30</v>
      </c>
      <c r="O21" s="104">
        <f>SUMIFS(Despesas!$F:$F,Despesas!$A:$A,Gerencial!O$3,Despesas!$C:$C,Gerencial!$C21)</f>
        <v>60</v>
      </c>
      <c r="P21" s="104">
        <f>SUMIFS(Despesas!$F:$F,Despesas!$A:$A,Gerencial!P$3,Despesas!$C:$C,Gerencial!$C21)</f>
        <v>30</v>
      </c>
      <c r="Q21" s="104">
        <f>SUMIFS(Despesas!$F:$F,Despesas!$A:$A,Gerencial!Q$3,Despesas!$C:$C,Gerencial!$C21)</f>
        <v>60</v>
      </c>
      <c r="R21" s="104">
        <f>SUMIFS(Despesas!$F:$F,Despesas!$A:$A,Gerencial!R$3,Despesas!$C:$C,Gerencial!$C21)</f>
        <v>60</v>
      </c>
      <c r="S21" s="104">
        <f>SUMIFS(Despesas!$F:$F,Despesas!$A:$A,Gerencial!S$3,Despesas!$C:$C,Gerencial!$C21)</f>
        <v>30</v>
      </c>
      <c r="T21" s="104">
        <f>SUMIFS(Despesas!$F:$F,Despesas!$A:$A,Gerencial!T$3,Despesas!$C:$C,Gerencial!$C21)</f>
        <v>60</v>
      </c>
      <c r="U21" s="104">
        <f>SUMIFS(Despesas!$F:$F,Despesas!$A:$A,Gerencial!U$3,Despesas!$C:$C,Gerencial!$C21)</f>
        <v>30</v>
      </c>
      <c r="V21" s="104">
        <f>SUMIFS(Despesas!$F:$F,Despesas!$A:$A,Gerencial!V$3,Despesas!$C:$C,Gerencial!$C21)</f>
        <v>60</v>
      </c>
      <c r="W21" s="104">
        <f>SUMIFS(Despesas!$F:$F,Despesas!$A:$A,Gerencial!W$3,Despesas!$C:$C,Gerencial!$C21)</f>
        <v>30</v>
      </c>
      <c r="X21" s="104">
        <f>SUMIFS(Despesas!$F:$F,Despesas!$A:$A,Gerencial!X$3,Despesas!$C:$C,Gerencial!$C21)</f>
        <v>60</v>
      </c>
      <c r="Y21" s="104">
        <f>SUMIFS(Despesas!$F:$F,Despesas!$A:$A,Gerencial!Y$3,Despesas!$C:$C,Gerencial!$C21)</f>
        <v>30</v>
      </c>
      <c r="Z21" s="104">
        <f>SUMIFS(Despesas!$F:$F,Despesas!$A:$A,Gerencial!Z$3,Despesas!$C:$C,Gerencial!$C21)</f>
        <v>60</v>
      </c>
      <c r="AA21" s="104">
        <f>SUMIFS(Despesas!$F:$F,Despesas!$A:$A,Gerencial!AA$3,Despesas!$C:$C,Gerencial!$C21)</f>
        <v>45</v>
      </c>
      <c r="AB21" s="104">
        <f>SUMIFS(Despesas!$F:$F,Despesas!$A:$A,Gerencial!AB$3,Despesas!$C:$C,Gerencial!$C21)</f>
        <v>30</v>
      </c>
      <c r="AC21" s="104">
        <f>SUMIFS(Despesas!$F:$F,Despesas!$A:$A,Gerencial!AC$3,Despesas!$C:$C,Gerencial!$C21)</f>
        <v>60</v>
      </c>
      <c r="AD21" s="104">
        <f>SUMIFS(Despesas!$F:$F,Despesas!$A:$A,Gerencial!AD$3,Despesas!$C:$C,Gerencial!$C21)</f>
        <v>30</v>
      </c>
      <c r="AE21" s="104">
        <f>SUMIFS(Despesas!$F:$F,Despesas!$A:$A,Gerencial!AE$3,Despesas!$C:$C,Gerencial!$C21)</f>
        <v>60</v>
      </c>
      <c r="AF21" s="104">
        <f>SUMIFS(Despesas!$F:$F,Despesas!$A:$A,Gerencial!AF$3,Despesas!$C:$C,Gerencial!$C21)</f>
        <v>28</v>
      </c>
      <c r="AG21" s="104">
        <f>SUMIFS(Despesas!$F:$F,Despesas!$A:$A,Gerencial!AG$3,Despesas!$C:$C,Gerencial!$C21)</f>
        <v>28</v>
      </c>
      <c r="AH21" s="104">
        <f>SUMIFS(Despesas!$F:$F,Despesas!$A:$A,Gerencial!AH$3,Despesas!$C:$C,Gerencial!$C21)</f>
        <v>56</v>
      </c>
      <c r="AI21" s="104">
        <f>SUMIFS(Despesas!$F:$F,Despesas!$A:$A,Gerencial!AI$3,Despesas!$C:$C,Gerencial!$C21)</f>
        <v>28</v>
      </c>
      <c r="AJ21" s="104">
        <f>SUMIFS(Despesas!$F:$F,Despesas!$A:$A,Gerencial!AJ$3,Despesas!$C:$C,Gerencial!$C21)</f>
        <v>56</v>
      </c>
      <c r="AK21" s="104">
        <f>SUMIFS(Despesas!$F:$F,Despesas!$A:$A,Gerencial!AK$3,Despesas!$C:$C,Gerencial!$C21)</f>
        <v>60</v>
      </c>
      <c r="AL21" s="104">
        <f>SUMIFS(Despesas!$F:$F,Despesas!$A:$A,Gerencial!AL$3,Despesas!$C:$C,Gerencial!$C21)</f>
        <v>0</v>
      </c>
      <c r="AM21" s="104">
        <f>SUMIFS(Despesas!$F:$F,Despesas!$A:$A,Gerencial!AM$3,Despesas!$C:$C,Gerencial!$C21)</f>
        <v>24</v>
      </c>
      <c r="AN21" s="104">
        <f>SUMIFS(Despesas!$F:$F,Despesas!$A:$A,Gerencial!AN$3,Despesas!$C:$C,Gerencial!$C21)</f>
        <v>48</v>
      </c>
      <c r="AO21" s="104">
        <f>SUMIFS(Despesas!$G$3:$G$287,Despesas!$A$3:$A$287,$AO$3,Despesas!$C$3:C$287,$C21)</f>
        <v>12</v>
      </c>
    </row>
    <row r="22" outlineLevel="1">
      <c r="A22" s="280" t="s">
        <v>877</v>
      </c>
      <c r="B22" s="194"/>
      <c r="C22" s="266" t="s">
        <v>116</v>
      </c>
      <c r="D22" s="82">
        <f t="shared" si="5"/>
        <v>60</v>
      </c>
      <c r="E22" s="50"/>
      <c r="F22" s="104">
        <f>SUMIFS(Despesas!$F:$F,Despesas!$A:$A,Gerencial!F$3,Despesas!$C:$C,Gerencial!$C22)</f>
        <v>60</v>
      </c>
      <c r="G22" s="104">
        <f>SUMIFS(Despesas!$F:$F,Despesas!$A:$A,Gerencial!G$3,Despesas!$C:$C,Gerencial!$C22)</f>
        <v>0</v>
      </c>
      <c r="H22" s="104">
        <f>SUMIFS(Despesas!$F:$F,Despesas!$A:$A,Gerencial!H$3,Despesas!$C:$C,Gerencial!$C22)</f>
        <v>306.42</v>
      </c>
      <c r="I22" s="104">
        <f>SUMIFS(Despesas!$F:$F,Despesas!$A:$A,Gerencial!I$3,Despesas!$C:$C,Gerencial!$C22)</f>
        <v>0</v>
      </c>
      <c r="J22" s="104">
        <f>SUMIFS(Despesas!$F:$F,Despesas!$A:$A,Gerencial!J$3,Despesas!$C:$C,Gerencial!$C22)</f>
        <v>0</v>
      </c>
      <c r="K22" s="104">
        <f>SUMIFS(Despesas!$F:$F,Despesas!$A:$A,Gerencial!K$3,Despesas!$C:$C,Gerencial!$C22)</f>
        <v>0</v>
      </c>
      <c r="L22" s="104">
        <f>SUMIFS(Despesas!$F:$F,Despesas!$A:$A,Gerencial!L$3,Despesas!$C:$C,Gerencial!$C22)</f>
        <v>0</v>
      </c>
      <c r="M22" s="104">
        <f>SUMIFS(Despesas!$F:$F,Despesas!$A:$A,Gerencial!M$3,Despesas!$C:$C,Gerencial!$C22)</f>
        <v>0</v>
      </c>
      <c r="N22" s="104">
        <f>SUMIFS(Despesas!$F:$F,Despesas!$A:$A,Gerencial!N$3,Despesas!$C:$C,Gerencial!$C22)</f>
        <v>0</v>
      </c>
      <c r="O22" s="104">
        <f>SUMIFS(Despesas!$F:$F,Despesas!$A:$A,Gerencial!O$3,Despesas!$C:$C,Gerencial!$C22)</f>
        <v>0</v>
      </c>
      <c r="P22" s="104">
        <f>SUMIFS(Despesas!$F:$F,Despesas!$A:$A,Gerencial!P$3,Despesas!$C:$C,Gerencial!$C22)</f>
        <v>0</v>
      </c>
      <c r="Q22" s="104">
        <f>SUMIFS(Despesas!$F:$F,Despesas!$A:$A,Gerencial!Q$3,Despesas!$C:$C,Gerencial!$C22)</f>
        <v>33.5</v>
      </c>
      <c r="R22" s="104">
        <f>SUMIFS(Despesas!$F:$F,Despesas!$A:$A,Gerencial!R$3,Despesas!$C:$C,Gerencial!$C22)</f>
        <v>0</v>
      </c>
      <c r="S22" s="104">
        <f>SUMIFS(Despesas!$F:$F,Despesas!$A:$A,Gerencial!S$3,Despesas!$C:$C,Gerencial!$C22)</f>
        <v>0</v>
      </c>
      <c r="T22" s="104">
        <f>SUMIFS(Despesas!$F:$F,Despesas!$A:$A,Gerencial!T$3,Despesas!$C:$C,Gerencial!$C22)</f>
        <v>29</v>
      </c>
      <c r="U22" s="104">
        <f>SUMIFS(Despesas!$F:$F,Despesas!$A:$A,Gerencial!U$3,Despesas!$C:$C,Gerencial!$C22)</f>
        <v>7.99</v>
      </c>
      <c r="V22" s="104">
        <f>SUMIFS(Despesas!$F:$F,Despesas!$A:$A,Gerencial!V$3,Despesas!$C:$C,Gerencial!$C22)</f>
        <v>11.95</v>
      </c>
      <c r="W22" s="104">
        <f>SUMIFS(Despesas!$F:$F,Despesas!$A:$A,Gerencial!W$3,Despesas!$C:$C,Gerencial!$C22)</f>
        <v>27.96</v>
      </c>
      <c r="X22" s="104">
        <f>SUMIFS(Despesas!$F:$F,Despesas!$A:$A,Gerencial!X$3,Despesas!$C:$C,Gerencial!$C22)</f>
        <v>20.97</v>
      </c>
      <c r="Y22" s="104">
        <f>SUMIFS(Despesas!$F:$F,Despesas!$A:$A,Gerencial!Y$3,Despesas!$C:$C,Gerencial!$C22)</f>
        <v>0</v>
      </c>
      <c r="Z22" s="104">
        <f>SUMIFS(Despesas!$F:$F,Despesas!$A:$A,Gerencial!Z$3,Despesas!$C:$C,Gerencial!$C22)</f>
        <v>28.76</v>
      </c>
      <c r="AA22" s="104">
        <f>SUMIFS(Despesas!$F:$F,Despesas!$A:$A,Gerencial!AA$3,Despesas!$C:$C,Gerencial!$C22)</f>
        <v>0</v>
      </c>
      <c r="AB22" s="104">
        <f>SUMIFS(Despesas!$F:$F,Despesas!$A:$A,Gerencial!AB$3,Despesas!$C:$C,Gerencial!$C22)</f>
        <v>54.73</v>
      </c>
      <c r="AC22" s="104">
        <f>SUMIFS(Despesas!$F:$F,Despesas!$A:$A,Gerencial!AC$3,Despesas!$C:$C,Gerencial!$C22)</f>
        <v>0</v>
      </c>
      <c r="AD22" s="104">
        <f>SUMIFS(Despesas!$F:$F,Despesas!$A:$A,Gerencial!AD$3,Despesas!$C:$C,Gerencial!$C22)</f>
        <v>0</v>
      </c>
      <c r="AE22" s="104">
        <f>SUMIFS(Despesas!$F:$F,Despesas!$A:$A,Gerencial!AE$3,Despesas!$C:$C,Gerencial!$C22)</f>
        <v>29.16</v>
      </c>
      <c r="AF22" s="104">
        <f>SUMIFS(Despesas!$F:$F,Despesas!$A:$A,Gerencial!AF$3,Despesas!$C:$C,Gerencial!$C22)</f>
        <v>0</v>
      </c>
      <c r="AG22" s="104">
        <f>SUMIFS(Despesas!$F:$F,Despesas!$A:$A,Gerencial!AG$3,Despesas!$C:$C,Gerencial!$C22)</f>
        <v>0</v>
      </c>
      <c r="AH22" s="104">
        <f>SUMIFS(Despesas!$F:$F,Despesas!$A:$A,Gerencial!AH$3,Despesas!$C:$C,Gerencial!$C22)</f>
        <v>0</v>
      </c>
      <c r="AI22" s="104">
        <f>SUMIFS(Despesas!$F:$F,Despesas!$A:$A,Gerencial!AI$3,Despesas!$C:$C,Gerencial!$C22)</f>
        <v>0</v>
      </c>
      <c r="AJ22" s="104">
        <f>SUMIFS(Despesas!$F:$F,Despesas!$A:$A,Gerencial!AJ$3,Despesas!$C:$C,Gerencial!$C22)</f>
        <v>40.8</v>
      </c>
      <c r="AK22" s="104">
        <f>SUMIFS(Despesas!$F:$F,Despesas!$A:$A,Gerencial!AK$3,Despesas!$C:$C,Gerencial!$C22)</f>
        <v>49.4</v>
      </c>
      <c r="AL22" s="104">
        <f>SUMIFS(Despesas!$F:$F,Despesas!$A:$A,Gerencial!AL$3,Despesas!$C:$C,Gerencial!$C22)</f>
        <v>0</v>
      </c>
      <c r="AM22" s="104">
        <f>SUMIFS(Despesas!$F:$F,Despesas!$A:$A,Gerencial!AM$3,Despesas!$C:$C,Gerencial!$C22)</f>
        <v>27.5</v>
      </c>
      <c r="AN22" s="104">
        <f>SUMIFS(Despesas!$F:$F,Despesas!$A:$A,Gerencial!AN$3,Despesas!$C:$C,Gerencial!$C22)</f>
        <v>0</v>
      </c>
      <c r="AO22" s="104">
        <f>SUMIFS(Despesas!$G$3:$G$287,Despesas!$A$3:$A$287,$AO$3,Despesas!$C$3:C$287,$C22)</f>
        <v>125.94</v>
      </c>
    </row>
    <row r="23" outlineLevel="1">
      <c r="A23" s="280" t="s">
        <v>935</v>
      </c>
      <c r="B23" s="194"/>
      <c r="C23" s="266" t="s">
        <v>69</v>
      </c>
      <c r="D23" s="82">
        <f t="shared" si="5"/>
        <v>0</v>
      </c>
      <c r="E23" s="50"/>
      <c r="F23" s="104">
        <f>SUMIFS(Despesas!$F:$F,Despesas!$A:$A,Gerencial!F$3,Despesas!$C:$C,Gerencial!$C23)</f>
        <v>0</v>
      </c>
      <c r="G23" s="104">
        <f>SUMIFS(Despesas!$F:$F,Despesas!$A:$A,Gerencial!G$3,Despesas!$C:$C,Gerencial!$C23)</f>
        <v>33.52</v>
      </c>
      <c r="H23" s="104">
        <f>SUMIFS(Despesas!$F:$F,Despesas!$A:$A,Gerencial!H$3,Despesas!$C:$C,Gerencial!$C23)</f>
        <v>37.45</v>
      </c>
      <c r="I23" s="104">
        <f>SUMIFS(Despesas!$F:$F,Despesas!$A:$A,Gerencial!I$3,Despesas!$C:$C,Gerencial!$C23)</f>
        <v>55.05</v>
      </c>
      <c r="J23" s="104">
        <f>SUMIFS(Despesas!$F:$F,Despesas!$A:$A,Gerencial!J$3,Despesas!$C:$C,Gerencial!$C23)</f>
        <v>0</v>
      </c>
      <c r="K23" s="104">
        <f>SUMIFS(Despesas!$F:$F,Despesas!$A:$A,Gerencial!K$3,Despesas!$C:$C,Gerencial!$C23)</f>
        <v>0</v>
      </c>
      <c r="L23" s="104">
        <f>SUMIFS(Despesas!$F:$F,Despesas!$A:$A,Gerencial!L$3,Despesas!$C:$C,Gerencial!$C23)</f>
        <v>0</v>
      </c>
      <c r="M23" s="104">
        <f>SUMIFS(Despesas!$F:$F,Despesas!$A:$A,Gerencial!M$3,Despesas!$C:$C,Gerencial!$C23)</f>
        <v>13.58</v>
      </c>
      <c r="N23" s="104">
        <f>SUMIFS(Despesas!$F:$F,Despesas!$A:$A,Gerencial!N$3,Despesas!$C:$C,Gerencial!$C23)</f>
        <v>0</v>
      </c>
      <c r="O23" s="104">
        <f>SUMIFS(Despesas!$F:$F,Despesas!$A:$A,Gerencial!O$3,Despesas!$C:$C,Gerencial!$C23)</f>
        <v>33.98</v>
      </c>
      <c r="P23" s="104">
        <f>SUMIFS(Despesas!$F:$F,Despesas!$A:$A,Gerencial!P$3,Despesas!$C:$C,Gerencial!$C23)</f>
        <v>0</v>
      </c>
      <c r="Q23" s="104">
        <f>SUMIFS(Despesas!$F:$F,Despesas!$A:$A,Gerencial!Q$3,Despesas!$C:$C,Gerencial!$C23)</f>
        <v>0</v>
      </c>
      <c r="R23" s="104">
        <f>SUMIFS(Despesas!$F:$F,Despesas!$A:$A,Gerencial!R$3,Despesas!$C:$C,Gerencial!$C23)</f>
        <v>13.78</v>
      </c>
      <c r="S23" s="104">
        <f>SUMIFS(Despesas!$F:$F,Despesas!$A:$A,Gerencial!S$3,Despesas!$C:$C,Gerencial!$C23)</f>
        <v>11.98</v>
      </c>
      <c r="T23" s="104">
        <f>SUMIFS(Despesas!$F:$F,Despesas!$A:$A,Gerencial!T$3,Despesas!$C:$C,Gerencial!$C23)</f>
        <v>12.3</v>
      </c>
      <c r="U23" s="104">
        <f>SUMIFS(Despesas!$F:$F,Despesas!$A:$A,Gerencial!U$3,Despesas!$C:$C,Gerencial!$C23)</f>
        <v>11.98</v>
      </c>
      <c r="V23" s="104">
        <f>SUMIFS(Despesas!$F:$F,Despesas!$A:$A,Gerencial!V$3,Despesas!$C:$C,Gerencial!$C23)</f>
        <v>30.75</v>
      </c>
      <c r="W23" s="104">
        <f>SUMIFS(Despesas!$F:$F,Despesas!$A:$A,Gerencial!W$3,Despesas!$C:$C,Gerencial!$C23)</f>
        <v>13.99</v>
      </c>
      <c r="X23" s="104">
        <f>SUMIFS(Despesas!$F:$F,Despesas!$A:$A,Gerencial!X$3,Despesas!$C:$C,Gerencial!$C23)</f>
        <v>8.98</v>
      </c>
      <c r="Y23" s="104">
        <f>SUMIFS(Despesas!$F:$F,Despesas!$A:$A,Gerencial!Y$3,Despesas!$C:$C,Gerencial!$C23)</f>
        <v>11.58</v>
      </c>
      <c r="Z23" s="104">
        <f>SUMIFS(Despesas!$F:$F,Despesas!$A:$A,Gerencial!Z$3,Despesas!$C:$C,Gerencial!$C23)</f>
        <v>19.17</v>
      </c>
      <c r="AA23" s="104">
        <f>SUMIFS(Despesas!$F:$F,Despesas!$A:$A,Gerencial!AA$3,Despesas!$C:$C,Gerencial!$C23)</f>
        <v>14.97</v>
      </c>
      <c r="AB23" s="104">
        <f>SUMIFS(Despesas!$F:$F,Despesas!$A:$A,Gerencial!AB$3,Despesas!$C:$C,Gerencial!$C23)</f>
        <v>9.98</v>
      </c>
      <c r="AC23" s="104">
        <f>SUMIFS(Despesas!$F:$F,Despesas!$A:$A,Gerencial!AC$3,Despesas!$C:$C,Gerencial!$C23)</f>
        <v>0</v>
      </c>
      <c r="AD23" s="104">
        <f>SUMIFS(Despesas!$F:$F,Despesas!$A:$A,Gerencial!AD$3,Despesas!$C:$C,Gerencial!$C23)</f>
        <v>13.47</v>
      </c>
      <c r="AE23" s="104">
        <f>SUMIFS(Despesas!$F:$F,Despesas!$A:$A,Gerencial!AE$3,Despesas!$C:$C,Gerencial!$C23)</f>
        <v>14.97</v>
      </c>
      <c r="AF23" s="104">
        <f>SUMIFS(Despesas!$F:$F,Despesas!$A:$A,Gerencial!AF$3,Despesas!$C:$C,Gerencial!$C23)</f>
        <v>0</v>
      </c>
      <c r="AG23" s="104">
        <f>SUMIFS(Despesas!$F:$F,Despesas!$A:$A,Gerencial!AG$3,Despesas!$C:$C,Gerencial!$C23)</f>
        <v>12.38</v>
      </c>
      <c r="AH23" s="104">
        <f>SUMIFS(Despesas!$F:$F,Despesas!$A:$A,Gerencial!AH$3,Despesas!$C:$C,Gerencial!$C23)</f>
        <v>0</v>
      </c>
      <c r="AI23" s="104">
        <f>SUMIFS(Despesas!$F:$F,Despesas!$A:$A,Gerencial!AI$3,Despesas!$C:$C,Gerencial!$C23)</f>
        <v>0</v>
      </c>
      <c r="AJ23" s="104">
        <f>SUMIFS(Despesas!$F:$F,Despesas!$A:$A,Gerencial!AJ$3,Despesas!$C:$C,Gerencial!$C23)</f>
        <v>11.58</v>
      </c>
      <c r="AK23" s="104">
        <f>SUMIFS(Despesas!$F:$F,Despesas!$A:$A,Gerencial!AK$3,Despesas!$C:$C,Gerencial!$C23)</f>
        <v>0</v>
      </c>
      <c r="AL23" s="104">
        <f>SUMIFS(Despesas!$F:$F,Despesas!$A:$A,Gerencial!AL$3,Despesas!$C:$C,Gerencial!$C23)</f>
        <v>0</v>
      </c>
      <c r="AM23" s="104">
        <f>SUMIFS(Despesas!$F:$F,Despesas!$A:$A,Gerencial!AM$3,Despesas!$C:$C,Gerencial!$C23)</f>
        <v>0</v>
      </c>
      <c r="AN23" s="104">
        <f>SUMIFS(Despesas!$F:$F,Despesas!$A:$A,Gerencial!AN$3,Despesas!$C:$C,Gerencial!$C23)</f>
        <v>19.73</v>
      </c>
      <c r="AO23" s="104">
        <f>SUMIFS(Despesas!$G$3:$G$287,Despesas!$A$3:$A$287,$AO$3,Despesas!$C$3:C$287,$C23)</f>
        <v>21.46</v>
      </c>
    </row>
    <row r="24" outlineLevel="1">
      <c r="A24" s="280" t="s">
        <v>987</v>
      </c>
      <c r="B24" s="194"/>
      <c r="C24" s="271" t="s">
        <v>74</v>
      </c>
      <c r="D24" s="82">
        <f t="shared" si="5"/>
        <v>0</v>
      </c>
      <c r="E24" s="50"/>
      <c r="F24" s="104">
        <f>SUMIFS(Despesas!$F:$F,Despesas!$A:$A,Gerencial!F$3,Despesas!$C:$C,Gerencial!$C24)</f>
        <v>0</v>
      </c>
      <c r="G24" s="104">
        <f>SUMIFS(Despesas!$F:$F,Despesas!$A:$A,Gerencial!G$3,Despesas!$C:$C,Gerencial!$C24)</f>
        <v>0</v>
      </c>
      <c r="H24" s="104">
        <f>SUMIFS(Despesas!$F:$F,Despesas!$A:$A,Gerencial!H$3,Despesas!$C:$C,Gerencial!$C24)</f>
        <v>0</v>
      </c>
      <c r="I24" s="104">
        <f>SUMIFS(Despesas!$F:$F,Despesas!$A:$A,Gerencial!I$3,Despesas!$C:$C,Gerencial!$C24)</f>
        <v>0</v>
      </c>
      <c r="J24" s="104">
        <f>SUMIFS(Despesas!$F:$F,Despesas!$A:$A,Gerencial!J$3,Despesas!$C:$C,Gerencial!$C24)</f>
        <v>0</v>
      </c>
      <c r="K24" s="104">
        <f>SUMIFS(Despesas!$F:$F,Despesas!$A:$A,Gerencial!K$3,Despesas!$C:$C,Gerencial!$C24)</f>
        <v>0</v>
      </c>
      <c r="L24" s="104">
        <f>SUMIFS(Despesas!$F:$F,Despesas!$A:$A,Gerencial!L$3,Despesas!$C:$C,Gerencial!$C24)</f>
        <v>0</v>
      </c>
      <c r="M24" s="104">
        <f>SUMIFS(Despesas!$F:$F,Despesas!$A:$A,Gerencial!M$3,Despesas!$C:$C,Gerencial!$C24)</f>
        <v>0</v>
      </c>
      <c r="N24" s="104">
        <f>SUMIFS(Despesas!$F:$F,Despesas!$A:$A,Gerencial!N$3,Despesas!$C:$C,Gerencial!$C24)</f>
        <v>0</v>
      </c>
      <c r="O24" s="104">
        <f>SUMIFS(Despesas!$F:$F,Despesas!$A:$A,Gerencial!O$3,Despesas!$C:$C,Gerencial!$C24)</f>
        <v>0</v>
      </c>
      <c r="P24" s="104">
        <f>SUMIFS(Despesas!$F:$F,Despesas!$A:$A,Gerencial!P$3,Despesas!$C:$C,Gerencial!$C24)</f>
        <v>0</v>
      </c>
      <c r="Q24" s="104">
        <f>SUMIFS(Despesas!$F:$F,Despesas!$A:$A,Gerencial!Q$3,Despesas!$C:$C,Gerencial!$C24)</f>
        <v>0</v>
      </c>
      <c r="R24" s="104">
        <f>SUMIFS(Despesas!$F:$F,Despesas!$A:$A,Gerencial!R$3,Despesas!$C:$C,Gerencial!$C24)</f>
        <v>0</v>
      </c>
      <c r="S24" s="104">
        <f>SUMIFS(Despesas!$F:$F,Despesas!$A:$A,Gerencial!S$3,Despesas!$C:$C,Gerencial!$C24)</f>
        <v>0</v>
      </c>
      <c r="T24" s="104">
        <f>SUMIFS(Despesas!$F:$F,Despesas!$A:$A,Gerencial!T$3,Despesas!$C:$C,Gerencial!$C24)</f>
        <v>0</v>
      </c>
      <c r="U24" s="104">
        <f>SUMIFS(Despesas!$F:$F,Despesas!$A:$A,Gerencial!U$3,Despesas!$C:$C,Gerencial!$C24)</f>
        <v>0</v>
      </c>
      <c r="V24" s="104">
        <f>SUMIFS(Despesas!$F:$F,Despesas!$A:$A,Gerencial!V$3,Despesas!$C:$C,Gerencial!$C24)</f>
        <v>0</v>
      </c>
      <c r="W24" s="104">
        <f>SUMIFS(Despesas!$F:$F,Despesas!$A:$A,Gerencial!W$3,Despesas!$C:$C,Gerencial!$C24)</f>
        <v>0</v>
      </c>
      <c r="X24" s="104">
        <f>SUMIFS(Despesas!$F:$F,Despesas!$A:$A,Gerencial!X$3,Despesas!$C:$C,Gerencial!$C24)</f>
        <v>0</v>
      </c>
      <c r="Y24" s="104">
        <f>SUMIFS(Despesas!$F:$F,Despesas!$A:$A,Gerencial!Y$3,Despesas!$C:$C,Gerencial!$C24)</f>
        <v>0</v>
      </c>
      <c r="Z24" s="104">
        <f>SUMIFS(Despesas!$F:$F,Despesas!$A:$A,Gerencial!Z$3,Despesas!$C:$C,Gerencial!$C24)</f>
        <v>0</v>
      </c>
      <c r="AA24" s="104">
        <f>SUMIFS(Despesas!$F:$F,Despesas!$A:$A,Gerencial!AA$3,Despesas!$C:$C,Gerencial!$C24)</f>
        <v>0</v>
      </c>
      <c r="AB24" s="104">
        <f>SUMIFS(Despesas!$F:$F,Despesas!$A:$A,Gerencial!AB$3,Despesas!$C:$C,Gerencial!$C24)</f>
        <v>0</v>
      </c>
      <c r="AC24" s="104">
        <f>SUMIFS(Despesas!$F:$F,Despesas!$A:$A,Gerencial!AC$3,Despesas!$C:$C,Gerencial!$C24)</f>
        <v>0</v>
      </c>
      <c r="AD24" s="104">
        <f>SUMIFS(Despesas!$F:$F,Despesas!$A:$A,Gerencial!AD$3,Despesas!$C:$C,Gerencial!$C24)</f>
        <v>0</v>
      </c>
      <c r="AE24" s="104">
        <f>SUMIFS(Despesas!$F:$F,Despesas!$A:$A,Gerencial!AE$3,Despesas!$C:$C,Gerencial!$C24)</f>
        <v>0</v>
      </c>
      <c r="AF24" s="104">
        <f>SUMIFS(Despesas!$F:$F,Despesas!$A:$A,Gerencial!AF$3,Despesas!$C:$C,Gerencial!$C24)</f>
        <v>0</v>
      </c>
      <c r="AG24" s="104">
        <f>SUMIFS(Despesas!$F:$F,Despesas!$A:$A,Gerencial!AG$3,Despesas!$C:$C,Gerencial!$C24)</f>
        <v>0</v>
      </c>
      <c r="AH24" s="104">
        <f>SUMIFS(Despesas!$F:$F,Despesas!$A:$A,Gerencial!AH$3,Despesas!$C:$C,Gerencial!$C24)</f>
        <v>0</v>
      </c>
      <c r="AI24" s="104">
        <f>SUMIFS(Despesas!$F:$F,Despesas!$A:$A,Gerencial!AI$3,Despesas!$C:$C,Gerencial!$C24)</f>
        <v>0</v>
      </c>
      <c r="AJ24" s="104">
        <f>SUMIFS(Despesas!$F:$F,Despesas!$A:$A,Gerencial!AJ$3,Despesas!$C:$C,Gerencial!$C24)</f>
        <v>0</v>
      </c>
      <c r="AK24" s="104">
        <f>SUMIFS(Despesas!$F:$F,Despesas!$A:$A,Gerencial!AK$3,Despesas!$C:$C,Gerencial!$C24)</f>
        <v>0</v>
      </c>
      <c r="AL24" s="104">
        <f>SUMIFS(Despesas!$F:$F,Despesas!$A:$A,Gerencial!AL$3,Despesas!$C:$C,Gerencial!$C24)</f>
        <v>0</v>
      </c>
      <c r="AM24" s="104">
        <f>SUMIFS(Despesas!$F:$F,Despesas!$A:$A,Gerencial!AM$3,Despesas!$C:$C,Gerencial!$C24)</f>
        <v>0</v>
      </c>
      <c r="AN24" s="104">
        <f>SUMIFS(Despesas!$F:$F,Despesas!$A:$A,Gerencial!AN$3,Despesas!$C:$C,Gerencial!$C24)</f>
        <v>0</v>
      </c>
      <c r="AO24" s="104">
        <f>SUMIFS(Despesas!$G$3:$G$287,Despesas!$A$3:$A$287,$AO$3,Despesas!$C$3:C$287,$C24)</f>
        <v>0</v>
      </c>
    </row>
    <row r="25" outlineLevel="1">
      <c r="A25" s="280" t="s">
        <v>1025</v>
      </c>
      <c r="B25" s="194"/>
      <c r="C25" s="266" t="s">
        <v>1026</v>
      </c>
      <c r="D25" s="82">
        <f t="shared" si="5"/>
        <v>0</v>
      </c>
      <c r="E25" s="50"/>
      <c r="F25" s="104">
        <f>SUMIFS(Despesas!$F:$F,Despesas!$A:$A,Gerencial!F$3,Despesas!$C:$C,Gerencial!$C25)</f>
        <v>0</v>
      </c>
      <c r="G25" s="104">
        <f>SUMIFS(Despesas!$F:$F,Despesas!$A:$A,Gerencial!G$3,Despesas!$C:$C,Gerencial!$C25)</f>
        <v>0</v>
      </c>
      <c r="H25" s="104">
        <f>SUMIFS(Despesas!$F:$F,Despesas!$A:$A,Gerencial!H$3,Despesas!$C:$C,Gerencial!$C25)</f>
        <v>0</v>
      </c>
      <c r="I25" s="104">
        <f>SUMIFS(Despesas!$F:$F,Despesas!$A:$A,Gerencial!I$3,Despesas!$C:$C,Gerencial!$C25)</f>
        <v>51.6</v>
      </c>
      <c r="J25" s="104">
        <f>SUMIFS(Despesas!$F:$F,Despesas!$A:$A,Gerencial!J$3,Despesas!$C:$C,Gerencial!$C25)</f>
        <v>0</v>
      </c>
      <c r="K25" s="104">
        <f>SUMIFS(Despesas!$F:$F,Despesas!$A:$A,Gerencial!K$3,Despesas!$C:$C,Gerencial!$C25)</f>
        <v>0</v>
      </c>
      <c r="L25" s="104">
        <f>SUMIFS(Despesas!$F:$F,Despesas!$A:$A,Gerencial!L$3,Despesas!$C:$C,Gerencial!$C25)</f>
        <v>0</v>
      </c>
      <c r="M25" s="104">
        <f>SUMIFS(Despesas!$F:$F,Despesas!$A:$A,Gerencial!M$3,Despesas!$C:$C,Gerencial!$C25)</f>
        <v>0</v>
      </c>
      <c r="N25" s="104">
        <f>SUMIFS(Despesas!$F:$F,Despesas!$A:$A,Gerencial!N$3,Despesas!$C:$C,Gerencial!$C25)</f>
        <v>0</v>
      </c>
      <c r="O25" s="104">
        <f>SUMIFS(Despesas!$F:$F,Despesas!$A:$A,Gerencial!O$3,Despesas!$C:$C,Gerencial!$C25)</f>
        <v>0</v>
      </c>
      <c r="P25" s="104">
        <f>SUMIFS(Despesas!$F:$F,Despesas!$A:$A,Gerencial!P$3,Despesas!$C:$C,Gerencial!$C25)</f>
        <v>0</v>
      </c>
      <c r="Q25" s="104">
        <f>SUMIFS(Despesas!$F:$F,Despesas!$A:$A,Gerencial!Q$3,Despesas!$C:$C,Gerencial!$C25)</f>
        <v>0</v>
      </c>
      <c r="R25" s="104">
        <f>SUMIFS(Despesas!$F:$F,Despesas!$A:$A,Gerencial!R$3,Despesas!$C:$C,Gerencial!$C25)</f>
        <v>0</v>
      </c>
      <c r="S25" s="104">
        <f>SUMIFS(Despesas!$F:$F,Despesas!$A:$A,Gerencial!S$3,Despesas!$C:$C,Gerencial!$C25)</f>
        <v>0</v>
      </c>
      <c r="T25" s="104">
        <f>SUMIFS(Despesas!$F:$F,Despesas!$A:$A,Gerencial!T$3,Despesas!$C:$C,Gerencial!$C25)</f>
        <v>0</v>
      </c>
      <c r="U25" s="104">
        <f>SUMIFS(Despesas!$F:$F,Despesas!$A:$A,Gerencial!U$3,Despesas!$C:$C,Gerencial!$C25)</f>
        <v>0</v>
      </c>
      <c r="V25" s="104">
        <f>SUMIFS(Despesas!$F:$F,Despesas!$A:$A,Gerencial!V$3,Despesas!$C:$C,Gerencial!$C25)</f>
        <v>0</v>
      </c>
      <c r="W25" s="104">
        <f>SUMIFS(Despesas!$F:$F,Despesas!$A:$A,Gerencial!W$3,Despesas!$C:$C,Gerencial!$C25)</f>
        <v>0</v>
      </c>
      <c r="X25" s="104">
        <f>SUMIFS(Despesas!$F:$F,Despesas!$A:$A,Gerencial!X$3,Despesas!$C:$C,Gerencial!$C25)</f>
        <v>0</v>
      </c>
      <c r="Y25" s="104">
        <f>SUMIFS(Despesas!$F:$F,Despesas!$A:$A,Gerencial!Y$3,Despesas!$C:$C,Gerencial!$C25)</f>
        <v>0</v>
      </c>
      <c r="Z25" s="104">
        <f>SUMIFS(Despesas!$F:$F,Despesas!$A:$A,Gerencial!Z$3,Despesas!$C:$C,Gerencial!$C25)</f>
        <v>230</v>
      </c>
      <c r="AA25" s="104">
        <f>SUMIFS(Despesas!$F:$F,Despesas!$A:$A,Gerencial!AA$3,Despesas!$C:$C,Gerencial!$C25)</f>
        <v>0</v>
      </c>
      <c r="AB25" s="104">
        <f>SUMIFS(Despesas!$F:$F,Despesas!$A:$A,Gerencial!AB$3,Despesas!$C:$C,Gerencial!$C25)</f>
        <v>0</v>
      </c>
      <c r="AC25" s="104">
        <f>SUMIFS(Despesas!$F:$F,Despesas!$A:$A,Gerencial!AC$3,Despesas!$C:$C,Gerencial!$C25)</f>
        <v>0</v>
      </c>
      <c r="AD25" s="104">
        <f>SUMIFS(Despesas!$F:$F,Despesas!$A:$A,Gerencial!AD$3,Despesas!$C:$C,Gerencial!$C25)</f>
        <v>0</v>
      </c>
      <c r="AE25" s="104">
        <f>SUMIFS(Despesas!$F:$F,Despesas!$A:$A,Gerencial!AE$3,Despesas!$C:$C,Gerencial!$C25)</f>
        <v>0</v>
      </c>
      <c r="AF25" s="104">
        <f>SUMIFS(Despesas!$F:$F,Despesas!$A:$A,Gerencial!AF$3,Despesas!$C:$C,Gerencial!$C25)</f>
        <v>0</v>
      </c>
      <c r="AG25" s="104">
        <f>SUMIFS(Despesas!$F:$F,Despesas!$A:$A,Gerencial!AG$3,Despesas!$C:$C,Gerencial!$C25)</f>
        <v>0</v>
      </c>
      <c r="AH25" s="104">
        <f>SUMIFS(Despesas!$F:$F,Despesas!$A:$A,Gerencial!AH$3,Despesas!$C:$C,Gerencial!$C25)</f>
        <v>0</v>
      </c>
      <c r="AI25" s="104">
        <f>SUMIFS(Despesas!$F:$F,Despesas!$A:$A,Gerencial!AI$3,Despesas!$C:$C,Gerencial!$C25)</f>
        <v>0</v>
      </c>
      <c r="AJ25" s="104">
        <f>SUMIFS(Despesas!$F:$F,Despesas!$A:$A,Gerencial!AJ$3,Despesas!$C:$C,Gerencial!$C25)</f>
        <v>0</v>
      </c>
      <c r="AK25" s="104">
        <f>SUMIFS(Despesas!$F:$F,Despesas!$A:$A,Gerencial!AK$3,Despesas!$C:$C,Gerencial!$C25)</f>
        <v>0</v>
      </c>
      <c r="AL25" s="104">
        <f>SUMIFS(Despesas!$F:$F,Despesas!$A:$A,Gerencial!AL$3,Despesas!$C:$C,Gerencial!$C25)</f>
        <v>0</v>
      </c>
      <c r="AM25" s="104">
        <f>SUMIFS(Despesas!$F:$F,Despesas!$A:$A,Gerencial!AM$3,Despesas!$C:$C,Gerencial!$C25)</f>
        <v>0</v>
      </c>
      <c r="AN25" s="104">
        <f>SUMIFS(Despesas!$F:$F,Despesas!$A:$A,Gerencial!AN$3,Despesas!$C:$C,Gerencial!$C25)</f>
        <v>0</v>
      </c>
      <c r="AO25" s="104">
        <f>SUMIFS(Despesas!$G$3:$G$287,Despesas!$A$3:$A$287,$AO$3,Despesas!$C$3:C$287,$C25)</f>
        <v>0</v>
      </c>
    </row>
    <row r="26" outlineLevel="1">
      <c r="A26" s="280" t="s">
        <v>1061</v>
      </c>
      <c r="B26" s="194"/>
      <c r="C26" s="271" t="s">
        <v>58</v>
      </c>
      <c r="D26" s="82">
        <f t="shared" si="5"/>
        <v>0</v>
      </c>
      <c r="E26" s="50"/>
      <c r="F26" s="104">
        <f>SUMIFS(Despesas!$F:$F,Despesas!$A:$A,Gerencial!F$3,Despesas!$C:$C,Gerencial!$C26)</f>
        <v>0</v>
      </c>
      <c r="G26" s="104">
        <f>SUMIFS(Despesas!$F:$F,Despesas!$A:$A,Gerencial!G$3,Despesas!$C:$C,Gerencial!$C26)</f>
        <v>0</v>
      </c>
      <c r="H26" s="104">
        <f>SUMIFS(Despesas!$F:$F,Despesas!$A:$A,Gerencial!H$3,Despesas!$C:$C,Gerencial!$C26)</f>
        <v>14.99</v>
      </c>
      <c r="I26" s="104">
        <f>SUMIFS(Despesas!$F:$F,Despesas!$A:$A,Gerencial!I$3,Despesas!$C:$C,Gerencial!$C26)</f>
        <v>46.5</v>
      </c>
      <c r="J26" s="104">
        <f>SUMIFS(Despesas!$F:$F,Despesas!$A:$A,Gerencial!J$3,Despesas!$C:$C,Gerencial!$C26)</f>
        <v>0</v>
      </c>
      <c r="K26" s="104">
        <f>SUMIFS(Despesas!$F:$F,Despesas!$A:$A,Gerencial!K$3,Despesas!$C:$C,Gerencial!$C26)</f>
        <v>16.79</v>
      </c>
      <c r="L26" s="104">
        <f>SUMIFS(Despesas!$F:$F,Despesas!$A:$A,Gerencial!L$3,Despesas!$C:$C,Gerencial!$C26)</f>
        <v>0</v>
      </c>
      <c r="M26" s="104">
        <f>SUMIFS(Despesas!$F:$F,Despesas!$A:$A,Gerencial!M$3,Despesas!$C:$C,Gerencial!$C26)</f>
        <v>0</v>
      </c>
      <c r="N26" s="104">
        <f>SUMIFS(Despesas!$F:$F,Despesas!$A:$A,Gerencial!N$3,Despesas!$C:$C,Gerencial!$C26)</f>
        <v>0</v>
      </c>
      <c r="O26" s="104">
        <f>SUMIFS(Despesas!$F:$F,Despesas!$A:$A,Gerencial!O$3,Despesas!$C:$C,Gerencial!$C26)</f>
        <v>0</v>
      </c>
      <c r="P26" s="104">
        <f>SUMIFS(Despesas!$F:$F,Despesas!$A:$A,Gerencial!P$3,Despesas!$C:$C,Gerencial!$C26)</f>
        <v>0</v>
      </c>
      <c r="Q26" s="104">
        <f>SUMIFS(Despesas!$F:$F,Despesas!$A:$A,Gerencial!Q$3,Despesas!$C:$C,Gerencial!$C26)</f>
        <v>0</v>
      </c>
      <c r="R26" s="104">
        <f>SUMIFS(Despesas!$F:$F,Despesas!$A:$A,Gerencial!R$3,Despesas!$C:$C,Gerencial!$C26)</f>
        <v>0</v>
      </c>
      <c r="S26" s="104">
        <f>SUMIFS(Despesas!$F:$F,Despesas!$A:$A,Gerencial!S$3,Despesas!$C:$C,Gerencial!$C26)</f>
        <v>0</v>
      </c>
      <c r="T26" s="104">
        <f>SUMIFS(Despesas!$F:$F,Despesas!$A:$A,Gerencial!T$3,Despesas!$C:$C,Gerencial!$C26)</f>
        <v>0</v>
      </c>
      <c r="U26" s="104">
        <f>SUMIFS(Despesas!$F:$F,Despesas!$A:$A,Gerencial!U$3,Despesas!$C:$C,Gerencial!$C26)</f>
        <v>0</v>
      </c>
      <c r="V26" s="104">
        <f>SUMIFS(Despesas!$F:$F,Despesas!$A:$A,Gerencial!V$3,Despesas!$C:$C,Gerencial!$C26)</f>
        <v>0</v>
      </c>
      <c r="W26" s="104">
        <f>SUMIFS(Despesas!$F:$F,Despesas!$A:$A,Gerencial!W$3,Despesas!$C:$C,Gerencial!$C26)</f>
        <v>0</v>
      </c>
      <c r="X26" s="104">
        <f>SUMIFS(Despesas!$F:$F,Despesas!$A:$A,Gerencial!X$3,Despesas!$C:$C,Gerencial!$C26)</f>
        <v>0</v>
      </c>
      <c r="Y26" s="104">
        <f>SUMIFS(Despesas!$F:$F,Despesas!$A:$A,Gerencial!Y$3,Despesas!$C:$C,Gerencial!$C26)</f>
        <v>27.3</v>
      </c>
      <c r="Z26" s="104">
        <f>SUMIFS(Despesas!$F:$F,Despesas!$A:$A,Gerencial!Z$3,Despesas!$C:$C,Gerencial!$C26)</f>
        <v>0</v>
      </c>
      <c r="AA26" s="104">
        <f>SUMIFS(Despesas!$F:$F,Despesas!$A:$A,Gerencial!AA$3,Despesas!$C:$C,Gerencial!$C26)</f>
        <v>27.3</v>
      </c>
      <c r="AB26" s="104">
        <f>SUMIFS(Despesas!$F:$F,Despesas!$A:$A,Gerencial!AB$3,Despesas!$C:$C,Gerencial!$C26)</f>
        <v>0</v>
      </c>
      <c r="AC26" s="104">
        <f>SUMIFS(Despesas!$F:$F,Despesas!$A:$A,Gerencial!AC$3,Despesas!$C:$C,Gerencial!$C26)</f>
        <v>0</v>
      </c>
      <c r="AD26" s="104">
        <f>SUMIFS(Despesas!$F:$F,Despesas!$A:$A,Gerencial!AD$3,Despesas!$C:$C,Gerencial!$C26)</f>
        <v>36.4</v>
      </c>
      <c r="AE26" s="104">
        <f>SUMIFS(Despesas!$F:$F,Despesas!$A:$A,Gerencial!AE$3,Despesas!$C:$C,Gerencial!$C26)</f>
        <v>0</v>
      </c>
      <c r="AF26" s="104">
        <f>SUMIFS(Despesas!$F:$F,Despesas!$A:$A,Gerencial!AF$3,Despesas!$C:$C,Gerencial!$C26)</f>
        <v>0</v>
      </c>
      <c r="AG26" s="104">
        <f>SUMIFS(Despesas!$F:$F,Despesas!$A:$A,Gerencial!AG$3,Despesas!$C:$C,Gerencial!$C26)</f>
        <v>0</v>
      </c>
      <c r="AH26" s="104">
        <f>SUMIFS(Despesas!$F:$F,Despesas!$A:$A,Gerencial!AH$3,Despesas!$C:$C,Gerencial!$C26)</f>
        <v>0</v>
      </c>
      <c r="AI26" s="104">
        <f>SUMIFS(Despesas!$F:$F,Despesas!$A:$A,Gerencial!AI$3,Despesas!$C:$C,Gerencial!$C26)</f>
        <v>0</v>
      </c>
      <c r="AJ26" s="104">
        <f>SUMIFS(Despesas!$F:$F,Despesas!$A:$A,Gerencial!AJ$3,Despesas!$C:$C,Gerencial!$C26)</f>
        <v>0</v>
      </c>
      <c r="AK26" s="104">
        <f>SUMIFS(Despesas!$F:$F,Despesas!$A:$A,Gerencial!AK$3,Despesas!$C:$C,Gerencial!$C26)</f>
        <v>0</v>
      </c>
      <c r="AL26" s="104">
        <f>SUMIFS(Despesas!$F:$F,Despesas!$A:$A,Gerencial!AL$3,Despesas!$C:$C,Gerencial!$C26)</f>
        <v>0</v>
      </c>
      <c r="AM26" s="104">
        <f>SUMIFS(Despesas!$F:$F,Despesas!$A:$A,Gerencial!AM$3,Despesas!$C:$C,Gerencial!$C26)</f>
        <v>0</v>
      </c>
      <c r="AN26" s="104">
        <f>SUMIFS(Despesas!$F:$F,Despesas!$A:$A,Gerencial!AN$3,Despesas!$C:$C,Gerencial!$C26)</f>
        <v>0</v>
      </c>
      <c r="AO26" s="104">
        <f>SUMIFS(Despesas!$G$3:$G$287,Despesas!$A$3:$A$287,$AO$3,Despesas!$C$3:C$287,$C26)</f>
        <v>30</v>
      </c>
    </row>
    <row r="27" outlineLevel="1">
      <c r="A27" s="280" t="s">
        <v>1091</v>
      </c>
      <c r="B27" s="194"/>
      <c r="C27" s="271" t="s">
        <v>55</v>
      </c>
      <c r="D27" s="82">
        <f t="shared" si="5"/>
        <v>0</v>
      </c>
      <c r="E27" s="50"/>
      <c r="F27" s="104">
        <f>SUMIFS(Despesas!$F:$F,Despesas!$A:$A,Gerencial!F$3,Despesas!$C:$C,Gerencial!$C27)</f>
        <v>0</v>
      </c>
      <c r="G27" s="104">
        <f>SUMIFS(Despesas!$F:$F,Despesas!$A:$A,Gerencial!G$3,Despesas!$C:$C,Gerencial!$C27)</f>
        <v>272.25</v>
      </c>
      <c r="H27" s="104">
        <f>SUMIFS(Despesas!$F:$F,Despesas!$A:$A,Gerencial!H$3,Despesas!$C:$C,Gerencial!$C27)</f>
        <v>0</v>
      </c>
      <c r="I27" s="104">
        <f>SUMIFS(Despesas!$F:$F,Despesas!$A:$A,Gerencial!I$3,Despesas!$C:$C,Gerencial!$C27)</f>
        <v>0</v>
      </c>
      <c r="J27" s="104">
        <f>SUMIFS(Despesas!$F:$F,Despesas!$A:$A,Gerencial!J$3,Despesas!$C:$C,Gerencial!$C27)</f>
        <v>0</v>
      </c>
      <c r="K27" s="104">
        <f>SUMIFS(Despesas!$F:$F,Despesas!$A:$A,Gerencial!K$3,Despesas!$C:$C,Gerencial!$C27)</f>
        <v>0</v>
      </c>
      <c r="L27" s="104">
        <f>SUMIFS(Despesas!$F:$F,Despesas!$A:$A,Gerencial!L$3,Despesas!$C:$C,Gerencial!$C27)</f>
        <v>0</v>
      </c>
      <c r="M27" s="104">
        <f>SUMIFS(Despesas!$F:$F,Despesas!$A:$A,Gerencial!M$3,Despesas!$C:$C,Gerencial!$C27)</f>
        <v>340.4</v>
      </c>
      <c r="N27" s="104">
        <f>SUMIFS(Despesas!$F:$F,Despesas!$A:$A,Gerencial!N$3,Despesas!$C:$C,Gerencial!$C27)</f>
        <v>0</v>
      </c>
      <c r="O27" s="104">
        <f>SUMIFS(Despesas!$F:$F,Despesas!$A:$A,Gerencial!O$3,Despesas!$C:$C,Gerencial!$C27)</f>
        <v>151.2</v>
      </c>
      <c r="P27" s="104">
        <f>SUMIFS(Despesas!$F:$F,Despesas!$A:$A,Gerencial!P$3,Despesas!$C:$C,Gerencial!$C27)</f>
        <v>96.1</v>
      </c>
      <c r="Q27" s="104">
        <f>SUMIFS(Despesas!$F:$F,Despesas!$A:$A,Gerencial!Q$3,Despesas!$C:$C,Gerencial!$C27)</f>
        <v>279</v>
      </c>
      <c r="R27" s="104">
        <f>SUMIFS(Despesas!$F:$F,Despesas!$A:$A,Gerencial!R$3,Despesas!$C:$C,Gerencial!$C27)</f>
        <v>213.88</v>
      </c>
      <c r="S27" s="104">
        <f>SUMIFS(Despesas!$F:$F,Despesas!$A:$A,Gerencial!S$3,Despesas!$C:$C,Gerencial!$C27)</f>
        <v>130.29</v>
      </c>
      <c r="T27" s="104">
        <f>SUMIFS(Despesas!$F:$F,Despesas!$A:$A,Gerencial!T$3,Despesas!$C:$C,Gerencial!$C27)</f>
        <v>164.38</v>
      </c>
      <c r="U27" s="104">
        <f>SUMIFS(Despesas!$F:$F,Despesas!$A:$A,Gerencial!U$3,Despesas!$C:$C,Gerencial!$C27)</f>
        <v>407.4</v>
      </c>
      <c r="V27" s="104">
        <f>SUMIFS(Despesas!$F:$F,Despesas!$A:$A,Gerencial!V$3,Despesas!$C:$C,Gerencial!$C27)</f>
        <v>75.6</v>
      </c>
      <c r="W27" s="104">
        <f>SUMIFS(Despesas!$F:$F,Despesas!$A:$A,Gerencial!W$3,Despesas!$C:$C,Gerencial!$C27)</f>
        <v>194.5</v>
      </c>
      <c r="X27" s="104">
        <f>SUMIFS(Despesas!$F:$F,Despesas!$A:$A,Gerencial!X$3,Despesas!$C:$C,Gerencial!$C27)</f>
        <v>75.6</v>
      </c>
      <c r="Y27" s="104">
        <f>SUMIFS(Despesas!$F:$F,Despesas!$A:$A,Gerencial!Y$3,Despesas!$C:$C,Gerencial!$C27)</f>
        <v>113.4</v>
      </c>
      <c r="Z27" s="104">
        <f>SUMIFS(Despesas!$F:$F,Despesas!$A:$A,Gerencial!Z$3,Despesas!$C:$C,Gerencial!$C27)</f>
        <v>787.9</v>
      </c>
      <c r="AA27" s="104">
        <f>SUMIFS(Despesas!$F:$F,Despesas!$A:$A,Gerencial!AA$3,Despesas!$C:$C,Gerencial!$C27)</f>
        <v>0</v>
      </c>
      <c r="AB27" s="104">
        <f>SUMIFS(Despesas!$F:$F,Despesas!$A:$A,Gerencial!AB$3,Despesas!$C:$C,Gerencial!$C27)</f>
        <v>114.1</v>
      </c>
      <c r="AC27" s="104">
        <f>SUMIFS(Despesas!$F:$F,Despesas!$A:$A,Gerencial!AC$3,Despesas!$C:$C,Gerencial!$C27)</f>
        <v>333.9</v>
      </c>
      <c r="AD27" s="104">
        <f>SUMIFS(Despesas!$F:$F,Despesas!$A:$A,Gerencial!AD$3,Despesas!$C:$C,Gerencial!$C27)</f>
        <v>0</v>
      </c>
      <c r="AE27" s="104">
        <f>SUMIFS(Despesas!$F:$F,Despesas!$A:$A,Gerencial!AE$3,Despesas!$C:$C,Gerencial!$C27)</f>
        <v>363.2</v>
      </c>
      <c r="AF27" s="104">
        <f>SUMIFS(Despesas!$F:$F,Despesas!$A:$A,Gerencial!AF$3,Despesas!$C:$C,Gerencial!$C27)</f>
        <v>156.46</v>
      </c>
      <c r="AG27" s="104">
        <f>SUMIFS(Despesas!$F:$F,Despesas!$A:$A,Gerencial!AG$3,Despesas!$C:$C,Gerencial!$C27)</f>
        <v>0</v>
      </c>
      <c r="AH27" s="104">
        <f>SUMIFS(Despesas!$F:$F,Despesas!$A:$A,Gerencial!AH$3,Despesas!$C:$C,Gerencial!$C27)</f>
        <v>123.5</v>
      </c>
      <c r="AI27" s="104">
        <f>SUMIFS(Despesas!$F:$F,Despesas!$A:$A,Gerencial!AI$3,Despesas!$C:$C,Gerencial!$C27)</f>
        <v>310.9</v>
      </c>
      <c r="AJ27" s="104">
        <f>SUMIFS(Despesas!$F:$F,Despesas!$A:$A,Gerencial!AJ$3,Despesas!$C:$C,Gerencial!$C27)</f>
        <v>0</v>
      </c>
      <c r="AK27" s="104">
        <f>SUMIFS(Despesas!$F:$F,Despesas!$A:$A,Gerencial!AK$3,Despesas!$C:$C,Gerencial!$C27)</f>
        <v>136.1</v>
      </c>
      <c r="AL27" s="104">
        <f>SUMIFS(Despesas!$F:$F,Despesas!$A:$A,Gerencial!AL$3,Despesas!$C:$C,Gerencial!$C27)</f>
        <v>141.8</v>
      </c>
      <c r="AM27" s="104">
        <f>SUMIFS(Despesas!$F:$F,Despesas!$A:$A,Gerencial!AM$3,Despesas!$C:$C,Gerencial!$C27)</f>
        <v>0</v>
      </c>
      <c r="AN27" s="104">
        <f>SUMIFS(Despesas!$F:$F,Despesas!$A:$A,Gerencial!AN$3,Despesas!$C:$C,Gerencial!$C27)</f>
        <v>98.7</v>
      </c>
      <c r="AO27" s="104">
        <f>SUMIFS(Despesas!$G$3:$G$287,Despesas!$A$3:$A$287,$AO$3,Despesas!$C$3:C$287,$C27)</f>
        <v>319.83</v>
      </c>
    </row>
    <row r="28" outlineLevel="1">
      <c r="A28" s="280" t="s">
        <v>1132</v>
      </c>
      <c r="B28" s="194"/>
      <c r="C28" s="271" t="s">
        <v>1134</v>
      </c>
      <c r="D28" s="82">
        <f t="shared" si="5"/>
        <v>0</v>
      </c>
      <c r="E28" s="50"/>
      <c r="F28" s="104">
        <f>SUMIFS(Despesas!$F:$F,Despesas!$A:$A,Gerencial!F$3,Despesas!$C:$C,Gerencial!$C28)</f>
        <v>0</v>
      </c>
      <c r="G28" s="104">
        <f>SUMIFS(Despesas!$F:$F,Despesas!$A:$A,Gerencial!G$3,Despesas!$C:$C,Gerencial!$C28)</f>
        <v>0</v>
      </c>
      <c r="H28" s="104">
        <f>SUMIFS(Despesas!$F:$F,Despesas!$A:$A,Gerencial!H$3,Despesas!$C:$C,Gerencial!$C28)</f>
        <v>0</v>
      </c>
      <c r="I28" s="104">
        <f>SUMIFS(Despesas!$F:$F,Despesas!$A:$A,Gerencial!I$3,Despesas!$C:$C,Gerencial!$C28)</f>
        <v>0</v>
      </c>
      <c r="J28" s="104">
        <f>SUMIFS(Despesas!$F:$F,Despesas!$A:$A,Gerencial!J$3,Despesas!$C:$C,Gerencial!$C28)</f>
        <v>0</v>
      </c>
      <c r="K28" s="104">
        <f>SUMIFS(Despesas!$F:$F,Despesas!$A:$A,Gerencial!K$3,Despesas!$C:$C,Gerencial!$C28)</f>
        <v>0</v>
      </c>
      <c r="L28" s="104">
        <f>SUMIFS(Despesas!$F:$F,Despesas!$A:$A,Gerencial!L$3,Despesas!$C:$C,Gerencial!$C28)</f>
        <v>0</v>
      </c>
      <c r="M28" s="104">
        <f>SUMIFS(Despesas!$F:$F,Despesas!$A:$A,Gerencial!M$3,Despesas!$C:$C,Gerencial!$C28)</f>
        <v>0</v>
      </c>
      <c r="N28" s="104">
        <f>SUMIFS(Despesas!$F:$F,Despesas!$A:$A,Gerencial!N$3,Despesas!$C:$C,Gerencial!$C28)</f>
        <v>0</v>
      </c>
      <c r="O28" s="104">
        <f>SUMIFS(Despesas!$F:$F,Despesas!$A:$A,Gerencial!O$3,Despesas!$C:$C,Gerencial!$C28)</f>
        <v>0</v>
      </c>
      <c r="P28" s="104">
        <f>SUMIFS(Despesas!$F:$F,Despesas!$A:$A,Gerencial!P$3,Despesas!$C:$C,Gerencial!$C28)</f>
        <v>0</v>
      </c>
      <c r="Q28" s="104">
        <f>SUMIFS(Despesas!$F:$F,Despesas!$A:$A,Gerencial!Q$3,Despesas!$C:$C,Gerencial!$C28)</f>
        <v>0</v>
      </c>
      <c r="R28" s="104">
        <f>SUMIFS(Despesas!$F:$F,Despesas!$A:$A,Gerencial!R$3,Despesas!$C:$C,Gerencial!$C28)</f>
        <v>0</v>
      </c>
      <c r="S28" s="104">
        <f>SUMIFS(Despesas!$F:$F,Despesas!$A:$A,Gerencial!S$3,Despesas!$C:$C,Gerencial!$C28)</f>
        <v>0</v>
      </c>
      <c r="T28" s="104">
        <f>SUMIFS(Despesas!$F:$F,Despesas!$A:$A,Gerencial!T$3,Despesas!$C:$C,Gerencial!$C28)</f>
        <v>0</v>
      </c>
      <c r="U28" s="104">
        <f>SUMIFS(Despesas!$F:$F,Despesas!$A:$A,Gerencial!U$3,Despesas!$C:$C,Gerencial!$C28)</f>
        <v>0</v>
      </c>
      <c r="V28" s="104">
        <f>SUMIFS(Despesas!$F:$F,Despesas!$A:$A,Gerencial!V$3,Despesas!$C:$C,Gerencial!$C28)</f>
        <v>160</v>
      </c>
      <c r="W28" s="104">
        <f>SUMIFS(Despesas!$F:$F,Despesas!$A:$A,Gerencial!W$3,Despesas!$C:$C,Gerencial!$C28)</f>
        <v>0</v>
      </c>
      <c r="X28" s="104">
        <f>SUMIFS(Despesas!$F:$F,Despesas!$A:$A,Gerencial!X$3,Despesas!$C:$C,Gerencial!$C28)</f>
        <v>0</v>
      </c>
      <c r="Y28" s="104">
        <f>SUMIFS(Despesas!$F:$F,Despesas!$A:$A,Gerencial!Y$3,Despesas!$C:$C,Gerencial!$C28)</f>
        <v>0</v>
      </c>
      <c r="Z28" s="104">
        <f>SUMIFS(Despesas!$F:$F,Despesas!$A:$A,Gerencial!Z$3,Despesas!$C:$C,Gerencial!$C28)</f>
        <v>0</v>
      </c>
      <c r="AA28" s="104">
        <f>SUMIFS(Despesas!$F:$F,Despesas!$A:$A,Gerencial!AA$3,Despesas!$C:$C,Gerencial!$C28)</f>
        <v>0</v>
      </c>
      <c r="AB28" s="104">
        <f>SUMIFS(Despesas!$F:$F,Despesas!$A:$A,Gerencial!AB$3,Despesas!$C:$C,Gerencial!$C28)</f>
        <v>0</v>
      </c>
      <c r="AC28" s="104">
        <f>SUMIFS(Despesas!$F:$F,Despesas!$A:$A,Gerencial!AC$3,Despesas!$C:$C,Gerencial!$C28)</f>
        <v>0</v>
      </c>
      <c r="AD28" s="104">
        <f>SUMIFS(Despesas!$F:$F,Despesas!$A:$A,Gerencial!AD$3,Despesas!$C:$C,Gerencial!$C28)</f>
        <v>0</v>
      </c>
      <c r="AE28" s="104">
        <f>SUMIFS(Despesas!$F:$F,Despesas!$A:$A,Gerencial!AE$3,Despesas!$C:$C,Gerencial!$C28)</f>
        <v>0</v>
      </c>
      <c r="AF28" s="104">
        <f>SUMIFS(Despesas!$F:$F,Despesas!$A:$A,Gerencial!AF$3,Despesas!$C:$C,Gerencial!$C28)</f>
        <v>0</v>
      </c>
      <c r="AG28" s="104">
        <f>SUMIFS(Despesas!$F:$F,Despesas!$A:$A,Gerencial!AG$3,Despesas!$C:$C,Gerencial!$C28)</f>
        <v>0</v>
      </c>
      <c r="AH28" s="104">
        <f>SUMIFS(Despesas!$F:$F,Despesas!$A:$A,Gerencial!AH$3,Despesas!$C:$C,Gerencial!$C28)</f>
        <v>0</v>
      </c>
      <c r="AI28" s="104">
        <f>SUMIFS(Despesas!$F:$F,Despesas!$A:$A,Gerencial!AI$3,Despesas!$C:$C,Gerencial!$C28)</f>
        <v>0</v>
      </c>
      <c r="AJ28" s="104">
        <f>SUMIFS(Despesas!$F:$F,Despesas!$A:$A,Gerencial!AJ$3,Despesas!$C:$C,Gerencial!$C28)</f>
        <v>0</v>
      </c>
      <c r="AK28" s="104">
        <f>SUMIFS(Despesas!$F:$F,Despesas!$A:$A,Gerencial!AK$3,Despesas!$C:$C,Gerencial!$C28)</f>
        <v>0</v>
      </c>
      <c r="AL28" s="104">
        <f>SUMIFS(Despesas!$F:$F,Despesas!$A:$A,Gerencial!AL$3,Despesas!$C:$C,Gerencial!$C28)</f>
        <v>0</v>
      </c>
      <c r="AM28" s="104">
        <f>SUMIFS(Despesas!$F:$F,Despesas!$A:$A,Gerencial!AM$3,Despesas!$C:$C,Gerencial!$C28)</f>
        <v>0</v>
      </c>
      <c r="AN28" s="104">
        <f>SUMIFS(Despesas!$F:$F,Despesas!$A:$A,Gerencial!AN$3,Despesas!$C:$C,Gerencial!$C28)</f>
        <v>0</v>
      </c>
      <c r="AO28" s="104">
        <f>SUMIFS(Despesas!$G$3:$G$287,Despesas!$A$3:$A$287,$AO$3,Despesas!$C$3:C$287,$C28)</f>
        <v>0</v>
      </c>
    </row>
    <row r="29" outlineLevel="1">
      <c r="A29" s="280" t="s">
        <v>1169</v>
      </c>
      <c r="B29" s="194"/>
      <c r="C29" s="271" t="s">
        <v>93</v>
      </c>
      <c r="D29" s="82">
        <f t="shared" si="5"/>
        <v>0</v>
      </c>
      <c r="E29" s="50"/>
      <c r="F29" s="104">
        <f>SUMIFS(Despesas!$F:$F,Despesas!$A:$A,Gerencial!F$3,Despesas!$C:$C,Gerencial!$C29)</f>
        <v>0</v>
      </c>
      <c r="G29" s="104">
        <f>SUMIFS(Despesas!$F:$F,Despesas!$A:$A,Gerencial!G$3,Despesas!$C:$C,Gerencial!$C29)</f>
        <v>151</v>
      </c>
      <c r="H29" s="104">
        <f>SUMIFS(Despesas!$F:$F,Despesas!$A:$A,Gerencial!H$3,Despesas!$C:$C,Gerencial!$C29)</f>
        <v>511.51</v>
      </c>
      <c r="I29" s="104">
        <f>SUMIFS(Despesas!$F:$F,Despesas!$A:$A,Gerencial!I$3,Despesas!$C:$C,Gerencial!$C29)</f>
        <v>233.11</v>
      </c>
      <c r="J29" s="104">
        <f>SUMIFS(Despesas!$F:$F,Despesas!$A:$A,Gerencial!J$3,Despesas!$C:$C,Gerencial!$C29)</f>
        <v>231.72</v>
      </c>
      <c r="K29" s="104">
        <f>SUMIFS(Despesas!$F:$F,Despesas!$A:$A,Gerencial!K$3,Despesas!$C:$C,Gerencial!$C29)</f>
        <v>0</v>
      </c>
      <c r="L29" s="104">
        <f>SUMIFS(Despesas!$F:$F,Despesas!$A:$A,Gerencial!L$3,Despesas!$C:$C,Gerencial!$C29)</f>
        <v>372.3</v>
      </c>
      <c r="M29" s="104">
        <f>SUMIFS(Despesas!$F:$F,Despesas!$A:$A,Gerencial!M$3,Despesas!$C:$C,Gerencial!$C29)</f>
        <v>123</v>
      </c>
      <c r="N29" s="104">
        <f>SUMIFS(Despesas!$F:$F,Despesas!$A:$A,Gerencial!N$3,Despesas!$C:$C,Gerencial!$C29)</f>
        <v>0</v>
      </c>
      <c r="O29" s="104">
        <f>SUMIFS(Despesas!$F:$F,Despesas!$A:$A,Gerencial!O$3,Despesas!$C:$C,Gerencial!$C29)</f>
        <v>125.85</v>
      </c>
      <c r="P29" s="104">
        <f>SUMIFS(Despesas!$F:$F,Despesas!$A:$A,Gerencial!P$3,Despesas!$C:$C,Gerencial!$C29)</f>
        <v>0</v>
      </c>
      <c r="Q29" s="104">
        <f>SUMIFS(Despesas!$F:$F,Despesas!$A:$A,Gerencial!Q$3,Despesas!$C:$C,Gerencial!$C29)</f>
        <v>141</v>
      </c>
      <c r="R29" s="104">
        <f>SUMIFS(Despesas!$F:$F,Despesas!$A:$A,Gerencial!R$3,Despesas!$C:$C,Gerencial!$C29)</f>
        <v>525.5</v>
      </c>
      <c r="S29" s="104">
        <f>SUMIFS(Despesas!$F:$F,Despesas!$A:$A,Gerencial!S$3,Despesas!$C:$C,Gerencial!$C29)</f>
        <v>195.8</v>
      </c>
      <c r="T29" s="104">
        <f>SUMIFS(Despesas!$F:$F,Despesas!$A:$A,Gerencial!T$3,Despesas!$C:$C,Gerencial!$C29)</f>
        <v>349</v>
      </c>
      <c r="U29" s="104">
        <f>SUMIFS(Despesas!$F:$F,Despesas!$A:$A,Gerencial!U$3,Despesas!$C:$C,Gerencial!$C29)</f>
        <v>323.8</v>
      </c>
      <c r="V29" s="104">
        <f>SUMIFS(Despesas!$F:$F,Despesas!$A:$A,Gerencial!V$3,Despesas!$C:$C,Gerencial!$C29)</f>
        <v>333.5</v>
      </c>
      <c r="W29" s="104">
        <f>SUMIFS(Despesas!$F:$F,Despesas!$A:$A,Gerencial!W$3,Despesas!$C:$C,Gerencial!$C29)</f>
        <v>236</v>
      </c>
      <c r="X29" s="104">
        <f>SUMIFS(Despesas!$F:$F,Despesas!$A:$A,Gerencial!X$3,Despesas!$C:$C,Gerencial!$C29)</f>
        <v>268.9</v>
      </c>
      <c r="Y29" s="104">
        <f>SUMIFS(Despesas!$F:$F,Despesas!$A:$A,Gerencial!Y$3,Despesas!$C:$C,Gerencial!$C29)</f>
        <v>87.15</v>
      </c>
      <c r="Z29" s="104">
        <f>SUMIFS(Despesas!$F:$F,Despesas!$A:$A,Gerencial!Z$3,Despesas!$C:$C,Gerencial!$C29)</f>
        <v>296.87</v>
      </c>
      <c r="AA29" s="104">
        <f>SUMIFS(Despesas!$F:$F,Despesas!$A:$A,Gerencial!AA$3,Despesas!$C:$C,Gerencial!$C29)</f>
        <v>296</v>
      </c>
      <c r="AB29" s="104">
        <f>SUMIFS(Despesas!$F:$F,Despesas!$A:$A,Gerencial!AB$3,Despesas!$C:$C,Gerencial!$C29)</f>
        <v>100</v>
      </c>
      <c r="AC29" s="104">
        <f>SUMIFS(Despesas!$F:$F,Despesas!$A:$A,Gerencial!AC$3,Despesas!$C:$C,Gerencial!$C29)</f>
        <v>104</v>
      </c>
      <c r="AD29" s="104">
        <f>SUMIFS(Despesas!$F:$F,Despesas!$A:$A,Gerencial!AD$3,Despesas!$C:$C,Gerencial!$C29)</f>
        <v>268.8</v>
      </c>
      <c r="AE29" s="104">
        <f>SUMIFS(Despesas!$F:$F,Despesas!$A:$A,Gerencial!AE$3,Despesas!$C:$C,Gerencial!$C29)</f>
        <v>386.2</v>
      </c>
      <c r="AF29" s="104">
        <f>SUMIFS(Despesas!$F:$F,Despesas!$A:$A,Gerencial!AF$3,Despesas!$C:$C,Gerencial!$C29)</f>
        <v>100</v>
      </c>
      <c r="AG29" s="104">
        <f>SUMIFS(Despesas!$F:$F,Despesas!$A:$A,Gerencial!AG$3,Despesas!$C:$C,Gerencial!$C29)</f>
        <v>655.79</v>
      </c>
      <c r="AH29" s="104">
        <f>SUMIFS(Despesas!$F:$F,Despesas!$A:$A,Gerencial!AH$3,Despesas!$C:$C,Gerencial!$C29)</f>
        <v>444</v>
      </c>
      <c r="AI29" s="104">
        <f>SUMIFS(Despesas!$F:$F,Despesas!$A:$A,Gerencial!AI$3,Despesas!$C:$C,Gerencial!$C29)</f>
        <v>204.5</v>
      </c>
      <c r="AJ29" s="104">
        <f>SUMIFS(Despesas!$F:$F,Despesas!$A:$A,Gerencial!AJ$3,Despesas!$C:$C,Gerencial!$C29)</f>
        <v>465</v>
      </c>
      <c r="AK29" s="104">
        <f>SUMIFS(Despesas!$F:$F,Despesas!$A:$A,Gerencial!AK$3,Despesas!$C:$C,Gerencial!$C29)</f>
        <v>180.8</v>
      </c>
      <c r="AL29" s="104">
        <f>SUMIFS(Despesas!$F:$F,Despesas!$A:$A,Gerencial!AL$3,Despesas!$C:$C,Gerencial!$C29)</f>
        <v>47.8</v>
      </c>
      <c r="AM29" s="104">
        <f>SUMIFS(Despesas!$F:$F,Despesas!$A:$A,Gerencial!AM$3,Despesas!$C:$C,Gerencial!$C29)</f>
        <v>420.8</v>
      </c>
      <c r="AN29" s="104">
        <f>SUMIFS(Despesas!$F:$F,Despesas!$A:$A,Gerencial!AN$3,Despesas!$C:$C,Gerencial!$C29)</f>
        <v>457.87</v>
      </c>
      <c r="AO29" s="104">
        <f>SUMIFS(Despesas!$G$3:$G$287,Despesas!$A$3:$A$287,$AO$3,Despesas!$C$3:C$287,$C29)</f>
        <v>387.23</v>
      </c>
    </row>
    <row r="30" outlineLevel="1">
      <c r="A30" s="280" t="s">
        <v>1205</v>
      </c>
      <c r="B30" s="194"/>
      <c r="C30" s="266" t="s">
        <v>308</v>
      </c>
      <c r="D30" s="82">
        <f t="shared" si="5"/>
        <v>0</v>
      </c>
      <c r="E30" s="50"/>
      <c r="F30" s="104">
        <f>SUMIFS(Despesas!$F:$F,Despesas!$A:$A,Gerencial!F$3,Despesas!$C:$C,Gerencial!$C30)</f>
        <v>0</v>
      </c>
      <c r="G30" s="104">
        <f>SUMIFS(Despesas!$F:$F,Despesas!$A:$A,Gerencial!G$3,Despesas!$C:$C,Gerencial!$C30)</f>
        <v>0</v>
      </c>
      <c r="H30" s="104">
        <f>SUMIFS(Despesas!$F:$F,Despesas!$A:$A,Gerencial!H$3,Despesas!$C:$C,Gerencial!$C30)</f>
        <v>0</v>
      </c>
      <c r="I30" s="104">
        <f>SUMIFS(Despesas!$F:$F,Despesas!$A:$A,Gerencial!I$3,Despesas!$C:$C,Gerencial!$C30)</f>
        <v>563.2</v>
      </c>
      <c r="J30" s="104">
        <f>SUMIFS(Despesas!$F:$F,Despesas!$A:$A,Gerencial!J$3,Despesas!$C:$C,Gerencial!$C30)</f>
        <v>0</v>
      </c>
      <c r="K30" s="104">
        <f>SUMIFS(Despesas!$F:$F,Despesas!$A:$A,Gerencial!K$3,Despesas!$C:$C,Gerencial!$C30)</f>
        <v>0</v>
      </c>
      <c r="L30" s="104">
        <f>SUMIFS(Despesas!$F:$F,Despesas!$A:$A,Gerencial!L$3,Despesas!$C:$C,Gerencial!$C30)</f>
        <v>0</v>
      </c>
      <c r="M30" s="104">
        <f>SUMIFS(Despesas!$F:$F,Despesas!$A:$A,Gerencial!M$3,Despesas!$C:$C,Gerencial!$C30)</f>
        <v>0</v>
      </c>
      <c r="N30" s="104">
        <f>SUMIFS(Despesas!$F:$F,Despesas!$A:$A,Gerencial!N$3,Despesas!$C:$C,Gerencial!$C30)</f>
        <v>0</v>
      </c>
      <c r="O30" s="104">
        <f>SUMIFS(Despesas!$F:$F,Despesas!$A:$A,Gerencial!O$3,Despesas!$C:$C,Gerencial!$C30)</f>
        <v>0</v>
      </c>
      <c r="P30" s="104">
        <f>SUMIFS(Despesas!$F:$F,Despesas!$A:$A,Gerencial!P$3,Despesas!$C:$C,Gerencial!$C30)</f>
        <v>0</v>
      </c>
      <c r="Q30" s="104">
        <f>SUMIFS(Despesas!$F:$F,Despesas!$A:$A,Gerencial!Q$3,Despesas!$C:$C,Gerencial!$C30)</f>
        <v>0</v>
      </c>
      <c r="R30" s="104">
        <f>SUMIFS(Despesas!$F:$F,Despesas!$A:$A,Gerencial!R$3,Despesas!$C:$C,Gerencial!$C30)</f>
        <v>0</v>
      </c>
      <c r="S30" s="104">
        <f>SUMIFS(Despesas!$F:$F,Despesas!$A:$A,Gerencial!S$3,Despesas!$C:$C,Gerencial!$C30)</f>
        <v>0</v>
      </c>
      <c r="T30" s="104">
        <f>SUMIFS(Despesas!$F:$F,Despesas!$A:$A,Gerencial!T$3,Despesas!$C:$C,Gerencial!$C30)</f>
        <v>0</v>
      </c>
      <c r="U30" s="104">
        <f>SUMIFS(Despesas!$F:$F,Despesas!$A:$A,Gerencial!U$3,Despesas!$C:$C,Gerencial!$C30)</f>
        <v>0</v>
      </c>
      <c r="V30" s="104">
        <f>SUMIFS(Despesas!$F:$F,Despesas!$A:$A,Gerencial!V$3,Despesas!$C:$C,Gerencial!$C30)</f>
        <v>0</v>
      </c>
      <c r="W30" s="104">
        <f>SUMIFS(Despesas!$F:$F,Despesas!$A:$A,Gerencial!W$3,Despesas!$C:$C,Gerencial!$C30)</f>
        <v>0</v>
      </c>
      <c r="X30" s="104">
        <f>SUMIFS(Despesas!$F:$F,Despesas!$A:$A,Gerencial!X$3,Despesas!$C:$C,Gerencial!$C30)</f>
        <v>0</v>
      </c>
      <c r="Y30" s="104">
        <f>SUMIFS(Despesas!$F:$F,Despesas!$A:$A,Gerencial!Y$3,Despesas!$C:$C,Gerencial!$C30)</f>
        <v>0</v>
      </c>
      <c r="Z30" s="104">
        <f>SUMIFS(Despesas!$F:$F,Despesas!$A:$A,Gerencial!Z$3,Despesas!$C:$C,Gerencial!$C30)</f>
        <v>0</v>
      </c>
      <c r="AA30" s="104">
        <f>SUMIFS(Despesas!$F:$F,Despesas!$A:$A,Gerencial!AA$3,Despesas!$C:$C,Gerencial!$C30)</f>
        <v>0</v>
      </c>
      <c r="AB30" s="104">
        <f>SUMIFS(Despesas!$F:$F,Despesas!$A:$A,Gerencial!AB$3,Despesas!$C:$C,Gerencial!$C30)</f>
        <v>0</v>
      </c>
      <c r="AC30" s="104">
        <f>SUMIFS(Despesas!$F:$F,Despesas!$A:$A,Gerencial!AC$3,Despesas!$C:$C,Gerencial!$C30)</f>
        <v>0</v>
      </c>
      <c r="AD30" s="104">
        <f>SUMIFS(Despesas!$F:$F,Despesas!$A:$A,Gerencial!AD$3,Despesas!$C:$C,Gerencial!$C30)</f>
        <v>0</v>
      </c>
      <c r="AE30" s="104">
        <f>SUMIFS(Despesas!$F:$F,Despesas!$A:$A,Gerencial!AE$3,Despesas!$C:$C,Gerencial!$C30)</f>
        <v>0</v>
      </c>
      <c r="AF30" s="104">
        <f>SUMIFS(Despesas!$F:$F,Despesas!$A:$A,Gerencial!AF$3,Despesas!$C:$C,Gerencial!$C30)</f>
        <v>0</v>
      </c>
      <c r="AG30" s="104">
        <f>SUMIFS(Despesas!$F:$F,Despesas!$A:$A,Gerencial!AG$3,Despesas!$C:$C,Gerencial!$C30)</f>
        <v>0</v>
      </c>
      <c r="AH30" s="104">
        <f>SUMIFS(Despesas!$F:$F,Despesas!$A:$A,Gerencial!AH$3,Despesas!$C:$C,Gerencial!$C30)</f>
        <v>0</v>
      </c>
      <c r="AI30" s="104">
        <f>SUMIFS(Despesas!$F:$F,Despesas!$A:$A,Gerencial!AI$3,Despesas!$C:$C,Gerencial!$C30)</f>
        <v>0</v>
      </c>
      <c r="AJ30" s="104">
        <f>SUMIFS(Despesas!$F:$F,Despesas!$A:$A,Gerencial!AJ$3,Despesas!$C:$C,Gerencial!$C30)</f>
        <v>0</v>
      </c>
      <c r="AK30" s="104">
        <f>SUMIFS(Despesas!$F:$F,Despesas!$A:$A,Gerencial!AK$3,Despesas!$C:$C,Gerencial!$C30)</f>
        <v>0</v>
      </c>
      <c r="AL30" s="104">
        <f>SUMIFS(Despesas!$F:$F,Despesas!$A:$A,Gerencial!AL$3,Despesas!$C:$C,Gerencial!$C30)</f>
        <v>0</v>
      </c>
      <c r="AM30" s="104">
        <f>SUMIFS(Despesas!$F:$F,Despesas!$A:$A,Gerencial!AM$3,Despesas!$C:$C,Gerencial!$C30)</f>
        <v>203.54</v>
      </c>
      <c r="AN30" s="104">
        <f>SUMIFS(Despesas!$F:$F,Despesas!$A:$A,Gerencial!AN$3,Despesas!$C:$C,Gerencial!$C30)</f>
        <v>0</v>
      </c>
      <c r="AO30" s="104">
        <f>SUMIFS(Despesas!$G$3:$G$287,Despesas!$A$3:$A$287,$AO$3,Despesas!$C$3:C$287,$C30)</f>
        <v>0</v>
      </c>
    </row>
    <row r="31" outlineLevel="1">
      <c r="A31" s="280" t="s">
        <v>1229</v>
      </c>
      <c r="B31" s="194"/>
      <c r="C31" s="271" t="s">
        <v>680</v>
      </c>
      <c r="D31" s="82">
        <f t="shared" si="5"/>
        <v>0</v>
      </c>
      <c r="E31" s="50"/>
      <c r="F31" s="104">
        <f>SUMIFS(Despesas!$F:$F,Despesas!$A:$A,Gerencial!F$3,Despesas!$C:$C,Gerencial!$C31)</f>
        <v>0</v>
      </c>
      <c r="G31" s="104">
        <f>SUMIFS(Despesas!$F:$F,Despesas!$A:$A,Gerencial!G$3,Despesas!$C:$C,Gerencial!$C31)</f>
        <v>0</v>
      </c>
      <c r="H31" s="104">
        <f>SUMIFS(Despesas!$F:$F,Despesas!$A:$A,Gerencial!H$3,Despesas!$C:$C,Gerencial!$C31)</f>
        <v>0</v>
      </c>
      <c r="I31" s="104">
        <f>SUMIFS(Despesas!$F:$F,Despesas!$A:$A,Gerencial!I$3,Despesas!$C:$C,Gerencial!$C31)</f>
        <v>0</v>
      </c>
      <c r="J31" s="104">
        <f>SUMIFS(Despesas!$F:$F,Despesas!$A:$A,Gerencial!J$3,Despesas!$C:$C,Gerencial!$C31)</f>
        <v>0</v>
      </c>
      <c r="K31" s="104">
        <f>SUMIFS(Despesas!$F:$F,Despesas!$A:$A,Gerencial!K$3,Despesas!$C:$C,Gerencial!$C31)</f>
        <v>1020</v>
      </c>
      <c r="L31" s="104">
        <f>SUMIFS(Despesas!$F:$F,Despesas!$A:$A,Gerencial!L$3,Despesas!$C:$C,Gerencial!$C31)</f>
        <v>1360</v>
      </c>
      <c r="M31" s="104">
        <f>SUMIFS(Despesas!$F:$F,Despesas!$A:$A,Gerencial!M$3,Despesas!$C:$C,Gerencial!$C31)</f>
        <v>0</v>
      </c>
      <c r="N31" s="104">
        <f>SUMIFS(Despesas!$F:$F,Despesas!$A:$A,Gerencial!N$3,Despesas!$C:$C,Gerencial!$C31)</f>
        <v>0</v>
      </c>
      <c r="O31" s="104">
        <f>SUMIFS(Despesas!$F:$F,Despesas!$A:$A,Gerencial!O$3,Despesas!$C:$C,Gerencial!$C31)</f>
        <v>21.99</v>
      </c>
      <c r="P31" s="104">
        <f>SUMIFS(Despesas!$F:$F,Despesas!$A:$A,Gerencial!P$3,Despesas!$C:$C,Gerencial!$C31)</f>
        <v>0</v>
      </c>
      <c r="Q31" s="104">
        <f>SUMIFS(Despesas!$F:$F,Despesas!$A:$A,Gerencial!Q$3,Despesas!$C:$C,Gerencial!$C31)</f>
        <v>0</v>
      </c>
      <c r="R31" s="104">
        <f>SUMIFS(Despesas!$F:$F,Despesas!$A:$A,Gerencial!R$3,Despesas!$C:$C,Gerencial!$C31)</f>
        <v>0</v>
      </c>
      <c r="S31" s="104">
        <f>SUMIFS(Despesas!$F:$F,Despesas!$A:$A,Gerencial!S$3,Despesas!$C:$C,Gerencial!$C31)</f>
        <v>0</v>
      </c>
      <c r="T31" s="104">
        <f>SUMIFS(Despesas!$F:$F,Despesas!$A:$A,Gerencial!T$3,Despesas!$C:$C,Gerencial!$C31)</f>
        <v>0</v>
      </c>
      <c r="U31" s="104">
        <f>SUMIFS(Despesas!$F:$F,Despesas!$A:$A,Gerencial!U$3,Despesas!$C:$C,Gerencial!$C31)</f>
        <v>0</v>
      </c>
      <c r="V31" s="104">
        <f>SUMIFS(Despesas!$F:$F,Despesas!$A:$A,Gerencial!V$3,Despesas!$C:$C,Gerencial!$C31)</f>
        <v>0</v>
      </c>
      <c r="W31" s="104">
        <f>SUMIFS(Despesas!$F:$F,Despesas!$A:$A,Gerencial!W$3,Despesas!$C:$C,Gerencial!$C31)</f>
        <v>0</v>
      </c>
      <c r="X31" s="104">
        <f>SUMIFS(Despesas!$F:$F,Despesas!$A:$A,Gerencial!X$3,Despesas!$C:$C,Gerencial!$C31)</f>
        <v>0</v>
      </c>
      <c r="Y31" s="104">
        <f>SUMIFS(Despesas!$F:$F,Despesas!$A:$A,Gerencial!Y$3,Despesas!$C:$C,Gerencial!$C31)</f>
        <v>0</v>
      </c>
      <c r="Z31" s="104">
        <f>SUMIFS(Despesas!$F:$F,Despesas!$A:$A,Gerencial!Z$3,Despesas!$C:$C,Gerencial!$C31)</f>
        <v>0</v>
      </c>
      <c r="AA31" s="104">
        <f>SUMIFS(Despesas!$F:$F,Despesas!$A:$A,Gerencial!AA$3,Despesas!$C:$C,Gerencial!$C31)</f>
        <v>0</v>
      </c>
      <c r="AB31" s="104">
        <f>SUMIFS(Despesas!$F:$F,Despesas!$A:$A,Gerencial!AB$3,Despesas!$C:$C,Gerencial!$C31)</f>
        <v>0</v>
      </c>
      <c r="AC31" s="104">
        <f>SUMIFS(Despesas!$F:$F,Despesas!$A:$A,Gerencial!AC$3,Despesas!$C:$C,Gerencial!$C31)</f>
        <v>0</v>
      </c>
      <c r="AD31" s="104">
        <f>SUMIFS(Despesas!$F:$F,Despesas!$A:$A,Gerencial!AD$3,Despesas!$C:$C,Gerencial!$C31)</f>
        <v>0</v>
      </c>
      <c r="AE31" s="104">
        <f>SUMIFS(Despesas!$F:$F,Despesas!$A:$A,Gerencial!AE$3,Despesas!$C:$C,Gerencial!$C31)</f>
        <v>0</v>
      </c>
      <c r="AF31" s="104">
        <f>SUMIFS(Despesas!$F:$F,Despesas!$A:$A,Gerencial!AF$3,Despesas!$C:$C,Gerencial!$C31)</f>
        <v>0</v>
      </c>
      <c r="AG31" s="104">
        <f>SUMIFS(Despesas!$F:$F,Despesas!$A:$A,Gerencial!AG$3,Despesas!$C:$C,Gerencial!$C31)</f>
        <v>0</v>
      </c>
      <c r="AH31" s="104">
        <f>SUMIFS(Despesas!$F:$F,Despesas!$A:$A,Gerencial!AH$3,Despesas!$C:$C,Gerencial!$C31)</f>
        <v>20.29</v>
      </c>
      <c r="AI31" s="104">
        <f>SUMIFS(Despesas!$F:$F,Despesas!$A:$A,Gerencial!AI$3,Despesas!$C:$C,Gerencial!$C31)</f>
        <v>0</v>
      </c>
      <c r="AJ31" s="104">
        <f>SUMIFS(Despesas!$F:$F,Despesas!$A:$A,Gerencial!AJ$3,Despesas!$C:$C,Gerencial!$C31)</f>
        <v>0</v>
      </c>
      <c r="AK31" s="104">
        <f>SUMIFS(Despesas!$F:$F,Despesas!$A:$A,Gerencial!AK$3,Despesas!$C:$C,Gerencial!$C31)</f>
        <v>0</v>
      </c>
      <c r="AL31" s="104">
        <f>SUMIFS(Despesas!$F:$F,Despesas!$A:$A,Gerencial!AL$3,Despesas!$C:$C,Gerencial!$C31)</f>
        <v>0</v>
      </c>
      <c r="AM31" s="104">
        <f>SUMIFS(Despesas!$F:$F,Despesas!$A:$A,Gerencial!AM$3,Despesas!$C:$C,Gerencial!$C31)</f>
        <v>0</v>
      </c>
      <c r="AN31" s="104">
        <f>SUMIFS(Despesas!$F:$F,Despesas!$A:$A,Gerencial!AN$3,Despesas!$C:$C,Gerencial!$C31)</f>
        <v>0</v>
      </c>
      <c r="AO31" s="104">
        <f>SUMIFS(Despesas!$G$3:$G$287,Despesas!$A$3:$A$287,$AO$3,Despesas!$C$3:C$287,$C31)</f>
        <v>0</v>
      </c>
    </row>
    <row r="32" outlineLevel="1">
      <c r="A32" s="280" t="s">
        <v>1262</v>
      </c>
      <c r="B32" s="194"/>
      <c r="C32" s="266" t="s">
        <v>112</v>
      </c>
      <c r="D32" s="82">
        <f t="shared" si="5"/>
        <v>0</v>
      </c>
      <c r="E32" s="50"/>
      <c r="F32" s="104">
        <f>SUMIFS(Despesas!$F:$F,Despesas!$A:$A,Gerencial!F$3,Despesas!$C:$C,Gerencial!$C32)</f>
        <v>0</v>
      </c>
      <c r="G32" s="104">
        <f>SUMIFS(Despesas!$F:$F,Despesas!$A:$A,Gerencial!G$3,Despesas!$C:$C,Gerencial!$C32)</f>
        <v>0</v>
      </c>
      <c r="H32" s="104">
        <f>SUMIFS(Despesas!$F:$F,Despesas!$A:$A,Gerencial!H$3,Despesas!$C:$C,Gerencial!$C32)</f>
        <v>55.97</v>
      </c>
      <c r="I32" s="104">
        <f>SUMIFS(Despesas!$F:$F,Despesas!$A:$A,Gerencial!I$3,Despesas!$C:$C,Gerencial!$C32)</f>
        <v>0</v>
      </c>
      <c r="J32" s="104">
        <f>SUMIFS(Despesas!$F:$F,Despesas!$A:$A,Gerencial!J$3,Despesas!$C:$C,Gerencial!$C32)</f>
        <v>0</v>
      </c>
      <c r="K32" s="104">
        <f>SUMIFS(Despesas!$F:$F,Despesas!$A:$A,Gerencial!K$3,Despesas!$C:$C,Gerencial!$C32)</f>
        <v>69.03</v>
      </c>
      <c r="L32" s="104">
        <f>SUMIFS(Despesas!$F:$F,Despesas!$A:$A,Gerencial!L$3,Despesas!$C:$C,Gerencial!$C32)</f>
        <v>0</v>
      </c>
      <c r="M32" s="104">
        <f>SUMIFS(Despesas!$F:$F,Despesas!$A:$A,Gerencial!M$3,Despesas!$C:$C,Gerencial!$C32)</f>
        <v>27.38</v>
      </c>
      <c r="N32" s="104">
        <f>SUMIFS(Despesas!$F:$F,Despesas!$A:$A,Gerencial!N$3,Despesas!$C:$C,Gerencial!$C32)</f>
        <v>0</v>
      </c>
      <c r="O32" s="104">
        <f>SUMIFS(Despesas!$F:$F,Despesas!$A:$A,Gerencial!O$3,Despesas!$C:$C,Gerencial!$C32)</f>
        <v>25.98</v>
      </c>
      <c r="P32" s="104">
        <f>SUMIFS(Despesas!$F:$F,Despesas!$A:$A,Gerencial!P$3,Despesas!$C:$C,Gerencial!$C32)</f>
        <v>0</v>
      </c>
      <c r="Q32" s="104">
        <f>SUMIFS(Despesas!$F:$F,Despesas!$A:$A,Gerencial!Q$3,Despesas!$C:$C,Gerencial!$C32)</f>
        <v>0</v>
      </c>
      <c r="R32" s="104">
        <f>SUMIFS(Despesas!$F:$F,Despesas!$A:$A,Gerencial!R$3,Despesas!$C:$C,Gerencial!$C32)</f>
        <v>80.96</v>
      </c>
      <c r="S32" s="104">
        <f>SUMIFS(Despesas!$F:$F,Despesas!$A:$A,Gerencial!S$3,Despesas!$C:$C,Gerencial!$C32)</f>
        <v>14.99</v>
      </c>
      <c r="T32" s="104">
        <f>SUMIFS(Despesas!$F:$F,Despesas!$A:$A,Gerencial!T$3,Despesas!$C:$C,Gerencial!$C32)</f>
        <v>0</v>
      </c>
      <c r="U32" s="104">
        <f>SUMIFS(Despesas!$F:$F,Despesas!$A:$A,Gerencial!U$3,Despesas!$C:$C,Gerencial!$C32)</f>
        <v>103.73</v>
      </c>
      <c r="V32" s="104">
        <f>SUMIFS(Despesas!$F:$F,Despesas!$A:$A,Gerencial!V$3,Despesas!$C:$C,Gerencial!$C32)</f>
        <v>69.47</v>
      </c>
      <c r="W32" s="104">
        <f>SUMIFS(Despesas!$F:$F,Despesas!$A:$A,Gerencial!W$3,Despesas!$C:$C,Gerencial!$C32)</f>
        <v>11.99</v>
      </c>
      <c r="X32" s="104">
        <f>SUMIFS(Despesas!$F:$F,Despesas!$A:$A,Gerencial!X$3,Despesas!$C:$C,Gerencial!$C32)</f>
        <v>0</v>
      </c>
      <c r="Y32" s="104">
        <f>SUMIFS(Despesas!$F:$F,Despesas!$A:$A,Gerencial!Y$3,Despesas!$C:$C,Gerencial!$C32)</f>
        <v>13.39</v>
      </c>
      <c r="Z32" s="104">
        <f>SUMIFS(Despesas!$F:$F,Despesas!$A:$A,Gerencial!Z$3,Despesas!$C:$C,Gerencial!$C32)</f>
        <v>18.69</v>
      </c>
      <c r="AA32" s="104">
        <f>SUMIFS(Despesas!$F:$F,Despesas!$A:$A,Gerencial!AA$3,Despesas!$C:$C,Gerencial!$C32)</f>
        <v>13.89</v>
      </c>
      <c r="AB32" s="104">
        <f>SUMIFS(Despesas!$F:$F,Despesas!$A:$A,Gerencial!AB$3,Despesas!$C:$C,Gerencial!$C32)</f>
        <v>2.29</v>
      </c>
      <c r="AC32" s="104">
        <f>SUMIFS(Despesas!$F:$F,Despesas!$A:$A,Gerencial!AC$3,Despesas!$C:$C,Gerencial!$C32)</f>
        <v>42.85</v>
      </c>
      <c r="AD32" s="104">
        <f>SUMIFS(Despesas!$F:$F,Despesas!$A:$A,Gerencial!AD$3,Despesas!$C:$C,Gerencial!$C32)</f>
        <v>69.93</v>
      </c>
      <c r="AE32" s="104">
        <f>SUMIFS(Despesas!$F:$F,Despesas!$A:$A,Gerencial!AE$3,Despesas!$C:$C,Gerencial!$C32)</f>
        <v>58.03</v>
      </c>
      <c r="AF32" s="104">
        <f>SUMIFS(Despesas!$F:$F,Despesas!$A:$A,Gerencial!AF$3,Despesas!$C:$C,Gerencial!$C32)</f>
        <v>56.23</v>
      </c>
      <c r="AG32" s="104">
        <f>SUMIFS(Despesas!$F:$F,Despesas!$A:$A,Gerencial!AG$3,Despesas!$C:$C,Gerencial!$C32)</f>
        <v>37.46</v>
      </c>
      <c r="AH32" s="104">
        <f>SUMIFS(Despesas!$F:$F,Despesas!$A:$A,Gerencial!AH$3,Despesas!$C:$C,Gerencial!$C32)</f>
        <v>12.87</v>
      </c>
      <c r="AI32" s="104">
        <f>SUMIFS(Despesas!$F:$F,Despesas!$A:$A,Gerencial!AI$3,Despesas!$C:$C,Gerencial!$C32)</f>
        <v>96.25</v>
      </c>
      <c r="AJ32" s="104">
        <f>SUMIFS(Despesas!$F:$F,Despesas!$A:$A,Gerencial!AJ$3,Despesas!$C:$C,Gerencial!$C32)</f>
        <v>26.47</v>
      </c>
      <c r="AK32" s="104">
        <f>SUMIFS(Despesas!$F:$F,Despesas!$A:$A,Gerencial!AK$3,Despesas!$C:$C,Gerencial!$C32)</f>
        <v>30.78</v>
      </c>
      <c r="AL32" s="104">
        <f>SUMIFS(Despesas!$F:$F,Despesas!$A:$A,Gerencial!AL$3,Despesas!$C:$C,Gerencial!$C32)</f>
        <v>35.99</v>
      </c>
      <c r="AM32" s="104">
        <f>SUMIFS(Despesas!$F:$F,Despesas!$A:$A,Gerencial!AM$3,Despesas!$C:$C,Gerencial!$C32)</f>
        <v>103.44</v>
      </c>
      <c r="AN32" s="104">
        <f>SUMIFS(Despesas!$F:$F,Despesas!$A:$A,Gerencial!AN$3,Despesas!$C:$C,Gerencial!$C32)</f>
        <v>97.74</v>
      </c>
      <c r="AO32" s="104">
        <f>SUMIFS(Despesas!$G$3:$G$287,Despesas!$A$3:$A$287,$AO$3,Despesas!$C$3:C$287,$C32)</f>
        <v>48.1</v>
      </c>
    </row>
    <row r="33" outlineLevel="1">
      <c r="A33" s="280" t="s">
        <v>1294</v>
      </c>
      <c r="B33" s="194"/>
      <c r="C33" s="266" t="s">
        <v>231</v>
      </c>
      <c r="D33" s="82">
        <f t="shared" si="5"/>
        <v>0</v>
      </c>
      <c r="E33" s="50"/>
      <c r="F33" s="104">
        <f>SUMIFS(Despesas!$F:$F,Despesas!$A:$A,Gerencial!F$3,Despesas!$C:$C,Gerencial!$C33)</f>
        <v>0</v>
      </c>
      <c r="G33" s="104">
        <f>SUMIFS(Despesas!$F:$F,Despesas!$A:$A,Gerencial!G$3,Despesas!$C:$C,Gerencial!$C33)</f>
        <v>0</v>
      </c>
      <c r="H33" s="104">
        <f>SUMIFS(Despesas!$F:$F,Despesas!$A:$A,Gerencial!H$3,Despesas!$C:$C,Gerencial!$C33)</f>
        <v>0</v>
      </c>
      <c r="I33" s="104">
        <f>SUMIFS(Despesas!$F:$F,Despesas!$A:$A,Gerencial!I$3,Despesas!$C:$C,Gerencial!$C33)</f>
        <v>9.79</v>
      </c>
      <c r="J33" s="104">
        <f>SUMIFS(Despesas!$F:$F,Despesas!$A:$A,Gerencial!J$3,Despesas!$C:$C,Gerencial!$C33)</f>
        <v>0</v>
      </c>
      <c r="K33" s="104">
        <f>SUMIFS(Despesas!$F:$F,Despesas!$A:$A,Gerencial!K$3,Despesas!$C:$C,Gerencial!$C33)</f>
        <v>39.9</v>
      </c>
      <c r="L33" s="104">
        <f>SUMIFS(Despesas!$F:$F,Despesas!$A:$A,Gerencial!L$3,Despesas!$C:$C,Gerencial!$C33)</f>
        <v>0</v>
      </c>
      <c r="M33" s="104">
        <f>SUMIFS(Despesas!$F:$F,Despesas!$A:$A,Gerencial!M$3,Despesas!$C:$C,Gerencial!$C33)</f>
        <v>9.29</v>
      </c>
      <c r="N33" s="104">
        <f>SUMIFS(Despesas!$F:$F,Despesas!$A:$A,Gerencial!N$3,Despesas!$C:$C,Gerencial!$C33)</f>
        <v>0</v>
      </c>
      <c r="O33" s="104">
        <f>SUMIFS(Despesas!$F:$F,Despesas!$A:$A,Gerencial!O$3,Despesas!$C:$C,Gerencial!$C33)</f>
        <v>711</v>
      </c>
      <c r="P33" s="104">
        <f>SUMIFS(Despesas!$F:$F,Despesas!$A:$A,Gerencial!P$3,Despesas!$C:$C,Gerencial!$C33)</f>
        <v>1667.74</v>
      </c>
      <c r="Q33" s="104">
        <f>SUMIFS(Despesas!$F:$F,Despesas!$A:$A,Gerencial!Q$3,Despesas!$C:$C,Gerencial!$C33)</f>
        <v>130</v>
      </c>
      <c r="R33" s="104">
        <f>SUMIFS(Despesas!$F:$F,Despesas!$A:$A,Gerencial!R$3,Despesas!$C:$C,Gerencial!$C33)</f>
        <v>850</v>
      </c>
      <c r="S33" s="104">
        <f>SUMIFS(Despesas!$F:$F,Despesas!$A:$A,Gerencial!S$3,Despesas!$C:$C,Gerencial!$C33)</f>
        <v>220</v>
      </c>
      <c r="T33" s="104">
        <f>SUMIFS(Despesas!$F:$F,Despesas!$A:$A,Gerencial!T$3,Despesas!$C:$C,Gerencial!$C33)</f>
        <v>49.06</v>
      </c>
      <c r="U33" s="104">
        <f>SUMIFS(Despesas!$F:$F,Despesas!$A:$A,Gerencial!U$3,Despesas!$C:$C,Gerencial!$C33)</f>
        <v>46.9</v>
      </c>
      <c r="V33" s="104">
        <f>SUMIFS(Despesas!$F:$F,Despesas!$A:$A,Gerencial!V$3,Despesas!$C:$C,Gerencial!$C33)</f>
        <v>120.23</v>
      </c>
      <c r="W33" s="104">
        <f>SUMIFS(Despesas!$F:$F,Despesas!$A:$A,Gerencial!W$3,Despesas!$C:$C,Gerencial!$C33)</f>
        <v>334.83</v>
      </c>
      <c r="X33" s="104">
        <f>SUMIFS(Despesas!$F:$F,Despesas!$A:$A,Gerencial!X$3,Despesas!$C:$C,Gerencial!$C33)</f>
        <v>39.98</v>
      </c>
      <c r="Y33" s="104">
        <f>SUMIFS(Despesas!$F:$F,Despesas!$A:$A,Gerencial!Y$3,Despesas!$C:$C,Gerencial!$C33)</f>
        <v>484</v>
      </c>
      <c r="Z33" s="104">
        <f>SUMIFS(Despesas!$F:$F,Despesas!$A:$A,Gerencial!Z$3,Despesas!$C:$C,Gerencial!$C33)</f>
        <v>393.9</v>
      </c>
      <c r="AA33" s="104">
        <f>SUMIFS(Despesas!$F:$F,Despesas!$A:$A,Gerencial!AA$3,Despesas!$C:$C,Gerencial!$C33)</f>
        <v>0</v>
      </c>
      <c r="AB33" s="104">
        <f>SUMIFS(Despesas!$F:$F,Despesas!$A:$A,Gerencial!AB$3,Despesas!$C:$C,Gerencial!$C33)</f>
        <v>0</v>
      </c>
      <c r="AC33" s="104">
        <f>SUMIFS(Despesas!$F:$F,Despesas!$A:$A,Gerencial!AC$3,Despesas!$C:$C,Gerencial!$C33)</f>
        <v>432.1</v>
      </c>
      <c r="AD33" s="104">
        <f>SUMIFS(Despesas!$F:$F,Despesas!$A:$A,Gerencial!AD$3,Despesas!$C:$C,Gerencial!$C33)</f>
        <v>153.4</v>
      </c>
      <c r="AE33" s="104">
        <f>SUMIFS(Despesas!$F:$F,Despesas!$A:$A,Gerencial!AE$3,Despesas!$C:$C,Gerencial!$C33)</f>
        <v>20</v>
      </c>
      <c r="AF33" s="104">
        <f>SUMIFS(Despesas!$F:$F,Despesas!$A:$A,Gerencial!AF$3,Despesas!$C:$C,Gerencial!$C33)</f>
        <v>265.84</v>
      </c>
      <c r="AG33" s="104">
        <f>SUMIFS(Despesas!$F:$F,Despesas!$A:$A,Gerencial!AG$3,Despesas!$C:$C,Gerencial!$C33)</f>
        <v>193.52</v>
      </c>
      <c r="AH33" s="104">
        <f>SUMIFS(Despesas!$F:$F,Despesas!$A:$A,Gerencial!AH$3,Despesas!$C:$C,Gerencial!$C33)</f>
        <v>192.8</v>
      </c>
      <c r="AI33" s="104">
        <f>SUMIFS(Despesas!$F:$F,Despesas!$A:$A,Gerencial!AI$3,Despesas!$C:$C,Gerencial!$C33)</f>
        <v>76.1</v>
      </c>
      <c r="AJ33" s="104">
        <f>SUMIFS(Despesas!$F:$F,Despesas!$A:$A,Gerencial!AJ$3,Despesas!$C:$C,Gerencial!$C33)</f>
        <v>471.18</v>
      </c>
      <c r="AK33" s="104">
        <f>SUMIFS(Despesas!$F:$F,Despesas!$A:$A,Gerencial!AK$3,Despesas!$C:$C,Gerencial!$C33)</f>
        <v>300</v>
      </c>
      <c r="AL33" s="104">
        <f>SUMIFS(Despesas!$F:$F,Despesas!$A:$A,Gerencial!AL$3,Despesas!$C:$C,Gerencial!$C33)</f>
        <v>1373.83</v>
      </c>
      <c r="AM33" s="104">
        <f>SUMIFS(Despesas!$F:$F,Despesas!$A:$A,Gerencial!AM$3,Despesas!$C:$C,Gerencial!$C33)</f>
        <v>517.01</v>
      </c>
      <c r="AN33" s="104">
        <f>SUMIFS(Despesas!$F:$F,Despesas!$A:$A,Gerencial!AN$3,Despesas!$C:$C,Gerencial!$C33)</f>
        <v>93.35</v>
      </c>
      <c r="AO33" s="104">
        <f>SUMIFS(Despesas!$G$3:$G$287,Despesas!$A$3:$A$287,$AO$3,Despesas!$C$3:C$287,$C33)</f>
        <v>0</v>
      </c>
    </row>
    <row r="34" outlineLevel="1">
      <c r="A34" s="280" t="s">
        <v>1325</v>
      </c>
      <c r="B34" s="194"/>
      <c r="C34" s="266" t="s">
        <v>71</v>
      </c>
      <c r="D34" s="82">
        <f t="shared" si="5"/>
        <v>0</v>
      </c>
      <c r="E34" s="50"/>
      <c r="F34" s="104">
        <f>SUMIFS(Despesas!$F:$F,Despesas!$A:$A,Gerencial!F$3,Despesas!$C:$C,Gerencial!$C34)</f>
        <v>0</v>
      </c>
      <c r="G34" s="104">
        <f>SUMIFS(Despesas!$F:$F,Despesas!$A:$A,Gerencial!G$3,Despesas!$C:$C,Gerencial!$C34)</f>
        <v>0</v>
      </c>
      <c r="H34" s="104">
        <f>SUMIFS(Despesas!$F:$F,Despesas!$A:$A,Gerencial!H$3,Despesas!$C:$C,Gerencial!$C34)</f>
        <v>0</v>
      </c>
      <c r="I34" s="104">
        <f>SUMIFS(Despesas!$F:$F,Despesas!$A:$A,Gerencial!I$3,Despesas!$C:$C,Gerencial!$C34)</f>
        <v>0</v>
      </c>
      <c r="J34" s="104">
        <f>SUMIFS(Despesas!$F:$F,Despesas!$A:$A,Gerencial!J$3,Despesas!$C:$C,Gerencial!$C34)</f>
        <v>0</v>
      </c>
      <c r="K34" s="104">
        <f>SUMIFS(Despesas!$F:$F,Despesas!$A:$A,Gerencial!K$3,Despesas!$C:$C,Gerencial!$C34)</f>
        <v>0</v>
      </c>
      <c r="L34" s="104">
        <f>SUMIFS(Despesas!$F:$F,Despesas!$A:$A,Gerencial!L$3,Despesas!$C:$C,Gerencial!$C34)</f>
        <v>0</v>
      </c>
      <c r="M34" s="104">
        <f>SUMIFS(Despesas!$F:$F,Despesas!$A:$A,Gerencial!M$3,Despesas!$C:$C,Gerencial!$C34)</f>
        <v>0</v>
      </c>
      <c r="N34" s="104">
        <f>SUMIFS(Despesas!$F:$F,Despesas!$A:$A,Gerencial!N$3,Despesas!$C:$C,Gerencial!$C34)</f>
        <v>0</v>
      </c>
      <c r="O34" s="104">
        <f>SUMIFS(Despesas!$F:$F,Despesas!$A:$A,Gerencial!O$3,Despesas!$C:$C,Gerencial!$C34)</f>
        <v>0</v>
      </c>
      <c r="P34" s="104">
        <f>SUMIFS(Despesas!$F:$F,Despesas!$A:$A,Gerencial!P$3,Despesas!$C:$C,Gerencial!$C34)</f>
        <v>0</v>
      </c>
      <c r="Q34" s="104">
        <f>SUMIFS(Despesas!$F:$F,Despesas!$A:$A,Gerencial!Q$3,Despesas!$C:$C,Gerencial!$C34)</f>
        <v>0</v>
      </c>
      <c r="R34" s="104">
        <f>SUMIFS(Despesas!$F:$F,Despesas!$A:$A,Gerencial!R$3,Despesas!$C:$C,Gerencial!$C34)</f>
        <v>0</v>
      </c>
      <c r="S34" s="104">
        <f>SUMIFS(Despesas!$F:$F,Despesas!$A:$A,Gerencial!S$3,Despesas!$C:$C,Gerencial!$C34)</f>
        <v>0</v>
      </c>
      <c r="T34" s="104">
        <f>SUMIFS(Despesas!$F:$F,Despesas!$A:$A,Gerencial!T$3,Despesas!$C:$C,Gerencial!$C34)</f>
        <v>2.09</v>
      </c>
      <c r="U34" s="104">
        <f>SUMIFS(Despesas!$F:$F,Despesas!$A:$A,Gerencial!U$3,Despesas!$C:$C,Gerencial!$C34)</f>
        <v>0</v>
      </c>
      <c r="V34" s="104">
        <f>SUMIFS(Despesas!$F:$F,Despesas!$A:$A,Gerencial!V$3,Despesas!$C:$C,Gerencial!$C34)</f>
        <v>2.09</v>
      </c>
      <c r="W34" s="104">
        <f>SUMIFS(Despesas!$F:$F,Despesas!$A:$A,Gerencial!W$3,Despesas!$C:$C,Gerencial!$C34)</f>
        <v>0</v>
      </c>
      <c r="X34" s="104">
        <f>SUMIFS(Despesas!$F:$F,Despesas!$A:$A,Gerencial!X$3,Despesas!$C:$C,Gerencial!$C34)</f>
        <v>0</v>
      </c>
      <c r="Y34" s="104">
        <f>SUMIFS(Despesas!$F:$F,Despesas!$A:$A,Gerencial!Y$3,Despesas!$C:$C,Gerencial!$C34)</f>
        <v>0</v>
      </c>
      <c r="Z34" s="104">
        <f>SUMIFS(Despesas!$F:$F,Despesas!$A:$A,Gerencial!Z$3,Despesas!$C:$C,Gerencial!$C34)</f>
        <v>0</v>
      </c>
      <c r="AA34" s="104">
        <f>SUMIFS(Despesas!$F:$F,Despesas!$A:$A,Gerencial!AA$3,Despesas!$C:$C,Gerencial!$C34)</f>
        <v>0</v>
      </c>
      <c r="AB34" s="104">
        <f>SUMIFS(Despesas!$F:$F,Despesas!$A:$A,Gerencial!AB$3,Despesas!$C:$C,Gerencial!$C34)</f>
        <v>0</v>
      </c>
      <c r="AC34" s="104">
        <f>SUMIFS(Despesas!$F:$F,Despesas!$A:$A,Gerencial!AC$3,Despesas!$C:$C,Gerencial!$C34)</f>
        <v>0</v>
      </c>
      <c r="AD34" s="104">
        <f>SUMIFS(Despesas!$F:$F,Despesas!$A:$A,Gerencial!AD$3,Despesas!$C:$C,Gerencial!$C34)</f>
        <v>0</v>
      </c>
      <c r="AE34" s="104">
        <f>SUMIFS(Despesas!$F:$F,Despesas!$A:$A,Gerencial!AE$3,Despesas!$C:$C,Gerencial!$C34)</f>
        <v>0</v>
      </c>
      <c r="AF34" s="104">
        <f>SUMIFS(Despesas!$F:$F,Despesas!$A:$A,Gerencial!AF$3,Despesas!$C:$C,Gerencial!$C34)</f>
        <v>0</v>
      </c>
      <c r="AG34" s="104">
        <f>SUMIFS(Despesas!$F:$F,Despesas!$A:$A,Gerencial!AG$3,Despesas!$C:$C,Gerencial!$C34)</f>
        <v>0</v>
      </c>
      <c r="AH34" s="104">
        <f>SUMIFS(Despesas!$F:$F,Despesas!$A:$A,Gerencial!AH$3,Despesas!$C:$C,Gerencial!$C34)</f>
        <v>0</v>
      </c>
      <c r="AI34" s="104">
        <f>SUMIFS(Despesas!$F:$F,Despesas!$A:$A,Gerencial!AI$3,Despesas!$C:$C,Gerencial!$C34)</f>
        <v>0</v>
      </c>
      <c r="AJ34" s="104">
        <f>SUMIFS(Despesas!$F:$F,Despesas!$A:$A,Gerencial!AJ$3,Despesas!$C:$C,Gerencial!$C34)</f>
        <v>0</v>
      </c>
      <c r="AK34" s="104">
        <f>SUMIFS(Despesas!$F:$F,Despesas!$A:$A,Gerencial!AK$3,Despesas!$C:$C,Gerencial!$C34)</f>
        <v>0</v>
      </c>
      <c r="AL34" s="104">
        <f>SUMIFS(Despesas!$F:$F,Despesas!$A:$A,Gerencial!AL$3,Despesas!$C:$C,Gerencial!$C34)</f>
        <v>0</v>
      </c>
      <c r="AM34" s="104">
        <f>SUMIFS(Despesas!$F:$F,Despesas!$A:$A,Gerencial!AM$3,Despesas!$C:$C,Gerencial!$C34)</f>
        <v>0</v>
      </c>
      <c r="AN34" s="104">
        <f>SUMIFS(Despesas!$F:$F,Despesas!$A:$A,Gerencial!AN$3,Despesas!$C:$C,Gerencial!$C34)</f>
        <v>0</v>
      </c>
      <c r="AO34" s="104">
        <f>SUMIFS(Despesas!$G$3:$G$287,Despesas!$A$3:$A$287,$AO$3,Despesas!$C$3:C$287,$C34)</f>
        <v>0</v>
      </c>
    </row>
    <row r="35" outlineLevel="1">
      <c r="A35" s="280" t="s">
        <v>1350</v>
      </c>
      <c r="B35" s="194"/>
      <c r="C35" s="266" t="s">
        <v>84</v>
      </c>
      <c r="D35" s="82">
        <f t="shared" si="5"/>
        <v>0</v>
      </c>
      <c r="E35" s="50"/>
      <c r="F35" s="104">
        <f>SUMIFS(Despesas!$F:$F,Despesas!$A:$A,Gerencial!F$3,Despesas!$C:$C,Gerencial!$C35)</f>
        <v>0</v>
      </c>
      <c r="G35" s="104">
        <f>SUMIFS(Despesas!$F:$F,Despesas!$A:$A,Gerencial!G$3,Despesas!$C:$C,Gerencial!$C35)</f>
        <v>0</v>
      </c>
      <c r="H35" s="104">
        <f>SUMIFS(Despesas!$F:$F,Despesas!$A:$A,Gerencial!H$3,Despesas!$C:$C,Gerencial!$C35)</f>
        <v>0</v>
      </c>
      <c r="I35" s="104">
        <f>SUMIFS(Despesas!$F:$F,Despesas!$A:$A,Gerencial!I$3,Despesas!$C:$C,Gerencial!$C35)</f>
        <v>0</v>
      </c>
      <c r="J35" s="104">
        <f>SUMIFS(Despesas!$F:$F,Despesas!$A:$A,Gerencial!J$3,Despesas!$C:$C,Gerencial!$C35)</f>
        <v>0</v>
      </c>
      <c r="K35" s="104">
        <f>SUMIFS(Despesas!$F:$F,Despesas!$A:$A,Gerencial!K$3,Despesas!$C:$C,Gerencial!$C35)</f>
        <v>0</v>
      </c>
      <c r="L35" s="104">
        <f>SUMIFS(Despesas!$F:$F,Despesas!$A:$A,Gerencial!L$3,Despesas!$C:$C,Gerencial!$C35)</f>
        <v>0</v>
      </c>
      <c r="M35" s="104">
        <f>SUMIFS(Despesas!$F:$F,Despesas!$A:$A,Gerencial!M$3,Despesas!$C:$C,Gerencial!$C35)</f>
        <v>0</v>
      </c>
      <c r="N35" s="104">
        <f>SUMIFS(Despesas!$F:$F,Despesas!$A:$A,Gerencial!N$3,Despesas!$C:$C,Gerencial!$C35)</f>
        <v>0</v>
      </c>
      <c r="O35" s="104">
        <f>SUMIFS(Despesas!$F:$F,Despesas!$A:$A,Gerencial!O$3,Despesas!$C:$C,Gerencial!$C35)</f>
        <v>42.45</v>
      </c>
      <c r="P35" s="104">
        <f>SUMIFS(Despesas!$F:$F,Despesas!$A:$A,Gerencial!P$3,Despesas!$C:$C,Gerencial!$C35)</f>
        <v>0</v>
      </c>
      <c r="Q35" s="104">
        <f>SUMIFS(Despesas!$F:$F,Despesas!$A:$A,Gerencial!Q$3,Despesas!$C:$C,Gerencial!$C35)</f>
        <v>0</v>
      </c>
      <c r="R35" s="104">
        <f>SUMIFS(Despesas!$F:$F,Despesas!$A:$A,Gerencial!R$3,Despesas!$C:$C,Gerencial!$C35)</f>
        <v>0</v>
      </c>
      <c r="S35" s="104">
        <f>SUMIFS(Despesas!$F:$F,Despesas!$A:$A,Gerencial!S$3,Despesas!$C:$C,Gerencial!$C35)</f>
        <v>0</v>
      </c>
      <c r="T35" s="104">
        <f>SUMIFS(Despesas!$F:$F,Despesas!$A:$A,Gerencial!T$3,Despesas!$C:$C,Gerencial!$C35)</f>
        <v>0</v>
      </c>
      <c r="U35" s="104">
        <f>SUMIFS(Despesas!$F:$F,Despesas!$A:$A,Gerencial!U$3,Despesas!$C:$C,Gerencial!$C35)</f>
        <v>0</v>
      </c>
      <c r="V35" s="104">
        <f>SUMIFS(Despesas!$F:$F,Despesas!$A:$A,Gerencial!V$3,Despesas!$C:$C,Gerencial!$C35)</f>
        <v>0</v>
      </c>
      <c r="W35" s="104">
        <f>SUMIFS(Despesas!$F:$F,Despesas!$A:$A,Gerencial!W$3,Despesas!$C:$C,Gerencial!$C35)</f>
        <v>0</v>
      </c>
      <c r="X35" s="104">
        <f>SUMIFS(Despesas!$F:$F,Despesas!$A:$A,Gerencial!X$3,Despesas!$C:$C,Gerencial!$C35)</f>
        <v>0</v>
      </c>
      <c r="Y35" s="104">
        <f>SUMIFS(Despesas!$F:$F,Despesas!$A:$A,Gerencial!Y$3,Despesas!$C:$C,Gerencial!$C35)</f>
        <v>0</v>
      </c>
      <c r="Z35" s="104">
        <f>SUMIFS(Despesas!$F:$F,Despesas!$A:$A,Gerencial!Z$3,Despesas!$C:$C,Gerencial!$C35)</f>
        <v>0</v>
      </c>
      <c r="AA35" s="104">
        <f>SUMIFS(Despesas!$F:$F,Despesas!$A:$A,Gerencial!AA$3,Despesas!$C:$C,Gerencial!$C35)</f>
        <v>0</v>
      </c>
      <c r="AB35" s="104">
        <f>SUMIFS(Despesas!$F:$F,Despesas!$A:$A,Gerencial!AB$3,Despesas!$C:$C,Gerencial!$C35)</f>
        <v>38.97</v>
      </c>
      <c r="AC35" s="104">
        <f>SUMIFS(Despesas!$F:$F,Despesas!$A:$A,Gerencial!AC$3,Despesas!$C:$C,Gerencial!$C35)</f>
        <v>0</v>
      </c>
      <c r="AD35" s="104">
        <f>SUMIFS(Despesas!$F:$F,Despesas!$A:$A,Gerencial!AD$3,Despesas!$C:$C,Gerencial!$C35)</f>
        <v>0</v>
      </c>
      <c r="AE35" s="104">
        <f>SUMIFS(Despesas!$F:$F,Despesas!$A:$A,Gerencial!AE$3,Despesas!$C:$C,Gerencial!$C35)</f>
        <v>0</v>
      </c>
      <c r="AF35" s="104">
        <f>SUMIFS(Despesas!$F:$F,Despesas!$A:$A,Gerencial!AF$3,Despesas!$C:$C,Gerencial!$C35)</f>
        <v>0</v>
      </c>
      <c r="AG35" s="104">
        <f>SUMIFS(Despesas!$F:$F,Despesas!$A:$A,Gerencial!AG$3,Despesas!$C:$C,Gerencial!$C35)</f>
        <v>0</v>
      </c>
      <c r="AH35" s="104">
        <f>SUMIFS(Despesas!$F:$F,Despesas!$A:$A,Gerencial!AH$3,Despesas!$C:$C,Gerencial!$C35)</f>
        <v>0</v>
      </c>
      <c r="AI35" s="104">
        <f>SUMIFS(Despesas!$F:$F,Despesas!$A:$A,Gerencial!AI$3,Despesas!$C:$C,Gerencial!$C35)</f>
        <v>0</v>
      </c>
      <c r="AJ35" s="104">
        <f>SUMIFS(Despesas!$F:$F,Despesas!$A:$A,Gerencial!AJ$3,Despesas!$C:$C,Gerencial!$C35)</f>
        <v>0</v>
      </c>
      <c r="AK35" s="104">
        <f>SUMIFS(Despesas!$F:$F,Despesas!$A:$A,Gerencial!AK$3,Despesas!$C:$C,Gerencial!$C35)</f>
        <v>0</v>
      </c>
      <c r="AL35" s="104">
        <f>SUMIFS(Despesas!$F:$F,Despesas!$A:$A,Gerencial!AL$3,Despesas!$C:$C,Gerencial!$C35)</f>
        <v>0</v>
      </c>
      <c r="AM35" s="104">
        <f>SUMIFS(Despesas!$F:$F,Despesas!$A:$A,Gerencial!AM$3,Despesas!$C:$C,Gerencial!$C35)</f>
        <v>0</v>
      </c>
      <c r="AN35" s="104">
        <f>SUMIFS(Despesas!$F:$F,Despesas!$A:$A,Gerencial!AN$3,Despesas!$C:$C,Gerencial!$C35)</f>
        <v>11.59</v>
      </c>
      <c r="AO35" s="104">
        <f>SUMIFS(Despesas!$G$3:$G$287,Despesas!$A$3:$A$287,$AO$3,Despesas!$C$3:C$287,$C35)</f>
        <v>17.38</v>
      </c>
    </row>
    <row r="36" outlineLevel="1">
      <c r="A36" s="280" t="s">
        <v>1391</v>
      </c>
      <c r="B36" s="194"/>
      <c r="C36" s="266" t="s">
        <v>97</v>
      </c>
      <c r="D36" s="82">
        <f t="shared" si="5"/>
        <v>0</v>
      </c>
      <c r="E36" s="50"/>
      <c r="F36" s="104">
        <f>SUMIFS(Despesas!$F:$F,Despesas!$A:$A,Gerencial!F$3,Despesas!$C:$C,Gerencial!$C36)</f>
        <v>0</v>
      </c>
      <c r="G36" s="104">
        <f>SUMIFS(Despesas!$F:$F,Despesas!$A:$A,Gerencial!G$3,Despesas!$C:$C,Gerencial!$C36)</f>
        <v>35.9</v>
      </c>
      <c r="H36" s="104">
        <f>SUMIFS(Despesas!$F:$F,Despesas!$A:$A,Gerencial!H$3,Despesas!$C:$C,Gerencial!$C36)</f>
        <v>129.58</v>
      </c>
      <c r="I36" s="104">
        <f>SUMIFS(Despesas!$F:$F,Despesas!$A:$A,Gerencial!I$3,Despesas!$C:$C,Gerencial!$C36)</f>
        <v>0</v>
      </c>
      <c r="J36" s="104">
        <f>SUMIFS(Despesas!$F:$F,Despesas!$A:$A,Gerencial!J$3,Despesas!$C:$C,Gerencial!$C36)</f>
        <v>0</v>
      </c>
      <c r="K36" s="104">
        <f>SUMIFS(Despesas!$F:$F,Despesas!$A:$A,Gerencial!K$3,Despesas!$C:$C,Gerencial!$C36)</f>
        <v>14</v>
      </c>
      <c r="L36" s="104">
        <f>SUMIFS(Despesas!$F:$F,Despesas!$A:$A,Gerencial!L$3,Despesas!$C:$C,Gerencial!$C36)</f>
        <v>310.09</v>
      </c>
      <c r="M36" s="104">
        <f>SUMIFS(Despesas!$F:$F,Despesas!$A:$A,Gerencial!M$3,Despesas!$C:$C,Gerencial!$C36)</f>
        <v>0</v>
      </c>
      <c r="N36" s="104">
        <f>SUMIFS(Despesas!$F:$F,Despesas!$A:$A,Gerencial!N$3,Despesas!$C:$C,Gerencial!$C36)</f>
        <v>834.5</v>
      </c>
      <c r="O36" s="104">
        <f>SUMIFS(Despesas!$F:$F,Despesas!$A:$A,Gerencial!O$3,Despesas!$C:$C,Gerencial!$C36)</f>
        <v>0</v>
      </c>
      <c r="P36" s="104">
        <f>SUMIFS(Despesas!$F:$F,Despesas!$A:$A,Gerencial!P$3,Despesas!$C:$C,Gerencial!$C36)</f>
        <v>848.8</v>
      </c>
      <c r="Q36" s="104">
        <f>SUMIFS(Despesas!$F:$F,Despesas!$A:$A,Gerencial!Q$3,Despesas!$C:$C,Gerencial!$C36)</f>
        <v>0</v>
      </c>
      <c r="R36" s="104">
        <f>SUMIFS(Despesas!$F:$F,Despesas!$A:$A,Gerencial!R$3,Despesas!$C:$C,Gerencial!$C36)</f>
        <v>150</v>
      </c>
      <c r="S36" s="104">
        <f>SUMIFS(Despesas!$F:$F,Despesas!$A:$A,Gerencial!S$3,Despesas!$C:$C,Gerencial!$C36)</f>
        <v>48.99</v>
      </c>
      <c r="T36" s="104">
        <f>SUMIFS(Despesas!$F:$F,Despesas!$A:$A,Gerencial!T$3,Despesas!$C:$C,Gerencial!$C36)</f>
        <v>364.18</v>
      </c>
      <c r="U36" s="104">
        <f>SUMIFS(Despesas!$F:$F,Despesas!$A:$A,Gerencial!U$3,Despesas!$C:$C,Gerencial!$C36)</f>
        <v>0</v>
      </c>
      <c r="V36" s="104">
        <f>SUMIFS(Despesas!$F:$F,Despesas!$A:$A,Gerencial!V$3,Despesas!$C:$C,Gerencial!$C36)</f>
        <v>0</v>
      </c>
      <c r="W36" s="104">
        <f>SUMIFS(Despesas!$F:$F,Despesas!$A:$A,Gerencial!W$3,Despesas!$C:$C,Gerencial!$C36)</f>
        <v>0</v>
      </c>
      <c r="X36" s="104">
        <f>SUMIFS(Despesas!$F:$F,Despesas!$A:$A,Gerencial!X$3,Despesas!$C:$C,Gerencial!$C36)</f>
        <v>159.9</v>
      </c>
      <c r="Y36" s="104">
        <f>SUMIFS(Despesas!$F:$F,Despesas!$A:$A,Gerencial!Y$3,Despesas!$C:$C,Gerencial!$C36)</f>
        <v>0</v>
      </c>
      <c r="Z36" s="104">
        <f>SUMIFS(Despesas!$F:$F,Despesas!$A:$A,Gerencial!Z$3,Despesas!$C:$C,Gerencial!$C36)</f>
        <v>181.14</v>
      </c>
      <c r="AA36" s="104">
        <f>SUMIFS(Despesas!$F:$F,Despesas!$A:$A,Gerencial!AA$3,Despesas!$C:$C,Gerencial!$C36)</f>
        <v>0</v>
      </c>
      <c r="AB36" s="104">
        <f>SUMIFS(Despesas!$F:$F,Despesas!$A:$A,Gerencial!AB$3,Despesas!$C:$C,Gerencial!$C36)</f>
        <v>0</v>
      </c>
      <c r="AC36" s="104">
        <f>SUMIFS(Despesas!$F:$F,Despesas!$A:$A,Gerencial!AC$3,Despesas!$C:$C,Gerencial!$C36)</f>
        <v>470.9</v>
      </c>
      <c r="AD36" s="104">
        <f>SUMIFS(Despesas!$F:$F,Despesas!$A:$A,Gerencial!AD$3,Despesas!$C:$C,Gerencial!$C36)</f>
        <v>0</v>
      </c>
      <c r="AE36" s="104">
        <f>SUMIFS(Despesas!$F:$F,Despesas!$A:$A,Gerencial!AE$3,Despesas!$C:$C,Gerencial!$C36)</f>
        <v>0</v>
      </c>
      <c r="AF36" s="104">
        <f>SUMIFS(Despesas!$F:$F,Despesas!$A:$A,Gerencial!AF$3,Despesas!$C:$C,Gerencial!$C36)</f>
        <v>3.5</v>
      </c>
      <c r="AG36" s="104">
        <f>SUMIFS(Despesas!$F:$F,Despesas!$A:$A,Gerencial!AG$3,Despesas!$C:$C,Gerencial!$C36)</f>
        <v>0</v>
      </c>
      <c r="AH36" s="104">
        <f>SUMIFS(Despesas!$F:$F,Despesas!$A:$A,Gerencial!AH$3,Despesas!$C:$C,Gerencial!$C36)</f>
        <v>201.25</v>
      </c>
      <c r="AI36" s="104">
        <f>SUMIFS(Despesas!$F:$F,Despesas!$A:$A,Gerencial!AI$3,Despesas!$C:$C,Gerencial!$C36)</f>
        <v>319.09</v>
      </c>
      <c r="AJ36" s="104">
        <f>SUMIFS(Despesas!$F:$F,Despesas!$A:$A,Gerencial!AJ$3,Despesas!$C:$C,Gerencial!$C36)</f>
        <v>44</v>
      </c>
      <c r="AK36" s="104">
        <f>SUMIFS(Despesas!$F:$F,Despesas!$A:$A,Gerencial!AK$3,Despesas!$C:$C,Gerencial!$C36)</f>
        <v>386.81</v>
      </c>
      <c r="AL36" s="104">
        <f>SUMIFS(Despesas!$F:$F,Despesas!$A:$A,Gerencial!AL$3,Despesas!$C:$C,Gerencial!$C36)</f>
        <v>310.6</v>
      </c>
      <c r="AM36" s="104">
        <f>SUMIFS(Despesas!$F:$F,Despesas!$A:$A,Gerencial!AM$3,Despesas!$C:$C,Gerencial!$C36)</f>
        <v>90.66</v>
      </c>
      <c r="AN36" s="104">
        <f>SUMIFS(Despesas!$F:$F,Despesas!$A:$A,Gerencial!AN$3,Despesas!$C:$C,Gerencial!$C36)</f>
        <v>50</v>
      </c>
      <c r="AO36" s="104">
        <f>SUMIFS(Despesas!$G$3:$G$287,Despesas!$A$3:$A$287,$AO$3,Despesas!$C$3:C$287,$C36)</f>
        <v>80</v>
      </c>
    </row>
    <row r="37" outlineLevel="1">
      <c r="A37" s="280" t="s">
        <v>1432</v>
      </c>
      <c r="B37" s="194"/>
      <c r="C37" s="266" t="s">
        <v>121</v>
      </c>
      <c r="D37" s="82">
        <f t="shared" si="5"/>
        <v>0</v>
      </c>
      <c r="E37" s="50"/>
      <c r="F37" s="104">
        <f>SUMIFS(Despesas!$F:$F,Despesas!$A:$A,Gerencial!F$3,Despesas!$C:$C,Gerencial!$C37)</f>
        <v>0</v>
      </c>
      <c r="G37" s="104">
        <f>SUMIFS(Despesas!$F:$F,Despesas!$A:$A,Gerencial!G$3,Despesas!$C:$C,Gerencial!$C37)</f>
        <v>0</v>
      </c>
      <c r="H37" s="104">
        <f>SUMIFS(Despesas!$F:$F,Despesas!$A:$A,Gerencial!H$3,Despesas!$C:$C,Gerencial!$C37)</f>
        <v>0</v>
      </c>
      <c r="I37" s="104">
        <f>SUMIFS(Despesas!$F:$F,Despesas!$A:$A,Gerencial!I$3,Despesas!$C:$C,Gerencial!$C37)</f>
        <v>0</v>
      </c>
      <c r="J37" s="104">
        <f>SUMIFS(Despesas!$F:$F,Despesas!$A:$A,Gerencial!J$3,Despesas!$C:$C,Gerencial!$C37)</f>
        <v>0</v>
      </c>
      <c r="K37" s="104">
        <f>SUMIFS(Despesas!$F:$F,Despesas!$A:$A,Gerencial!K$3,Despesas!$C:$C,Gerencial!$C37)</f>
        <v>0</v>
      </c>
      <c r="L37" s="104">
        <f>SUMIFS(Despesas!$F:$F,Despesas!$A:$A,Gerencial!L$3,Despesas!$C:$C,Gerencial!$C37)</f>
        <v>0</v>
      </c>
      <c r="M37" s="104">
        <f>SUMIFS(Despesas!$F:$F,Despesas!$A:$A,Gerencial!M$3,Despesas!$C:$C,Gerencial!$C37)</f>
        <v>0</v>
      </c>
      <c r="N37" s="104">
        <f>SUMIFS(Despesas!$F:$F,Despesas!$A:$A,Gerencial!N$3,Despesas!$C:$C,Gerencial!$C37)</f>
        <v>0</v>
      </c>
      <c r="O37" s="104">
        <f>SUMIFS(Despesas!$F:$F,Despesas!$A:$A,Gerencial!O$3,Despesas!$C:$C,Gerencial!$C37)</f>
        <v>0</v>
      </c>
      <c r="P37" s="104">
        <f>SUMIFS(Despesas!$F:$F,Despesas!$A:$A,Gerencial!P$3,Despesas!$C:$C,Gerencial!$C37)</f>
        <v>0</v>
      </c>
      <c r="Q37" s="104">
        <f>SUMIFS(Despesas!$F:$F,Despesas!$A:$A,Gerencial!Q$3,Despesas!$C:$C,Gerencial!$C37)</f>
        <v>0</v>
      </c>
      <c r="R37" s="104">
        <f>SUMIFS(Despesas!$F:$F,Despesas!$A:$A,Gerencial!R$3,Despesas!$C:$C,Gerencial!$C37)</f>
        <v>0</v>
      </c>
      <c r="S37" s="104">
        <f>SUMIFS(Despesas!$F:$F,Despesas!$A:$A,Gerencial!S$3,Despesas!$C:$C,Gerencial!$C37)</f>
        <v>0</v>
      </c>
      <c r="T37" s="104">
        <f>SUMIFS(Despesas!$F:$F,Despesas!$A:$A,Gerencial!T$3,Despesas!$C:$C,Gerencial!$C37)</f>
        <v>0</v>
      </c>
      <c r="U37" s="104">
        <f>SUMIFS(Despesas!$F:$F,Despesas!$A:$A,Gerencial!U$3,Despesas!$C:$C,Gerencial!$C37)</f>
        <v>0</v>
      </c>
      <c r="V37" s="104">
        <f>SUMIFS(Despesas!$F:$F,Despesas!$A:$A,Gerencial!V$3,Despesas!$C:$C,Gerencial!$C37)</f>
        <v>0</v>
      </c>
      <c r="W37" s="104">
        <f>SUMIFS(Despesas!$F:$F,Despesas!$A:$A,Gerencial!W$3,Despesas!$C:$C,Gerencial!$C37)</f>
        <v>0</v>
      </c>
      <c r="X37" s="104">
        <f>SUMIFS(Despesas!$F:$F,Despesas!$A:$A,Gerencial!X$3,Despesas!$C:$C,Gerencial!$C37)</f>
        <v>0</v>
      </c>
      <c r="Y37" s="104">
        <f>SUMIFS(Despesas!$F:$F,Despesas!$A:$A,Gerencial!Y$3,Despesas!$C:$C,Gerencial!$C37)</f>
        <v>0</v>
      </c>
      <c r="Z37" s="104">
        <f>SUMIFS(Despesas!$F:$F,Despesas!$A:$A,Gerencial!Z$3,Despesas!$C:$C,Gerencial!$C37)</f>
        <v>0</v>
      </c>
      <c r="AA37" s="104">
        <f>SUMIFS(Despesas!$F:$F,Despesas!$A:$A,Gerencial!AA$3,Despesas!$C:$C,Gerencial!$C37)</f>
        <v>0</v>
      </c>
      <c r="AB37" s="104">
        <f>SUMIFS(Despesas!$F:$F,Despesas!$A:$A,Gerencial!AB$3,Despesas!$C:$C,Gerencial!$C37)</f>
        <v>0</v>
      </c>
      <c r="AC37" s="104">
        <f>SUMIFS(Despesas!$F:$F,Despesas!$A:$A,Gerencial!AC$3,Despesas!$C:$C,Gerencial!$C37)</f>
        <v>0</v>
      </c>
      <c r="AD37" s="104">
        <f>SUMIFS(Despesas!$F:$F,Despesas!$A:$A,Gerencial!AD$3,Despesas!$C:$C,Gerencial!$C37)</f>
        <v>0</v>
      </c>
      <c r="AE37" s="104">
        <f>SUMIFS(Despesas!$F:$F,Despesas!$A:$A,Gerencial!AE$3,Despesas!$C:$C,Gerencial!$C37)</f>
        <v>0</v>
      </c>
      <c r="AF37" s="104">
        <f>SUMIFS(Despesas!$F:$F,Despesas!$A:$A,Gerencial!AF$3,Despesas!$C:$C,Gerencial!$C37)</f>
        <v>0</v>
      </c>
      <c r="AG37" s="104">
        <f>SUMIFS(Despesas!$F:$F,Despesas!$A:$A,Gerencial!AG$3,Despesas!$C:$C,Gerencial!$C37)</f>
        <v>0</v>
      </c>
      <c r="AH37" s="104">
        <f>SUMIFS(Despesas!$F:$F,Despesas!$A:$A,Gerencial!AH$3,Despesas!$C:$C,Gerencial!$C37)</f>
        <v>0</v>
      </c>
      <c r="AI37" s="104">
        <f>SUMIFS(Despesas!$F:$F,Despesas!$A:$A,Gerencial!AI$3,Despesas!$C:$C,Gerencial!$C37)</f>
        <v>0</v>
      </c>
      <c r="AJ37" s="104">
        <f>SUMIFS(Despesas!$F:$F,Despesas!$A:$A,Gerencial!AJ$3,Despesas!$C:$C,Gerencial!$C37)</f>
        <v>0</v>
      </c>
      <c r="AK37" s="104">
        <f>SUMIFS(Despesas!$F:$F,Despesas!$A:$A,Gerencial!AK$3,Despesas!$C:$C,Gerencial!$C37)</f>
        <v>0</v>
      </c>
      <c r="AL37" s="104">
        <f>SUMIFS(Despesas!$F:$F,Despesas!$A:$A,Gerencial!AL$3,Despesas!$C:$C,Gerencial!$C37)</f>
        <v>0</v>
      </c>
      <c r="AM37" s="104">
        <f>SUMIFS(Despesas!$F:$F,Despesas!$A:$A,Gerencial!AM$3,Despesas!$C:$C,Gerencial!$C37)</f>
        <v>0</v>
      </c>
      <c r="AN37" s="104">
        <f>SUMIFS(Despesas!$F:$F,Despesas!$A:$A,Gerencial!AN$3,Despesas!$C:$C,Gerencial!$C37)</f>
        <v>0</v>
      </c>
      <c r="AO37" s="104">
        <f>SUMIFS(Despesas!$G$3:$G$287,Despesas!$A$3:$A$287,$AO$3,Despesas!$C$3:C$287,$C37)</f>
        <v>0</v>
      </c>
    </row>
    <row r="38" outlineLevel="1">
      <c r="A38" s="280" t="s">
        <v>1473</v>
      </c>
      <c r="B38" s="194"/>
      <c r="C38" s="266" t="s">
        <v>159</v>
      </c>
      <c r="D38" s="82">
        <f t="shared" si="5"/>
        <v>0</v>
      </c>
      <c r="E38" s="50"/>
      <c r="F38" s="104">
        <f>SUMIFS(Despesas!$F:$F,Despesas!$A:$A,Gerencial!F$3,Despesas!$C:$C,Gerencial!$C38)</f>
        <v>0</v>
      </c>
      <c r="G38" s="104">
        <f>SUMIFS(Despesas!$F:$F,Despesas!$A:$A,Gerencial!G$3,Despesas!$C:$C,Gerencial!$C38)</f>
        <v>0</v>
      </c>
      <c r="H38" s="104">
        <f>SUMIFS(Despesas!$F:$F,Despesas!$A:$A,Gerencial!H$3,Despesas!$C:$C,Gerencial!$C38)</f>
        <v>0</v>
      </c>
      <c r="I38" s="104">
        <f>SUMIFS(Despesas!$F:$F,Despesas!$A:$A,Gerencial!I$3,Despesas!$C:$C,Gerencial!$C38)</f>
        <v>0</v>
      </c>
      <c r="J38" s="104">
        <f>SUMIFS(Despesas!$F:$F,Despesas!$A:$A,Gerencial!J$3,Despesas!$C:$C,Gerencial!$C38)</f>
        <v>0</v>
      </c>
      <c r="K38" s="104">
        <f>SUMIFS(Despesas!$F:$F,Despesas!$A:$A,Gerencial!K$3,Despesas!$C:$C,Gerencial!$C38)</f>
        <v>0</v>
      </c>
      <c r="L38" s="104">
        <f>SUMIFS(Despesas!$F:$F,Despesas!$A:$A,Gerencial!L$3,Despesas!$C:$C,Gerencial!$C38)</f>
        <v>0</v>
      </c>
      <c r="M38" s="104">
        <f>SUMIFS(Despesas!$F:$F,Despesas!$A:$A,Gerencial!M$3,Despesas!$C:$C,Gerencial!$C38)</f>
        <v>0</v>
      </c>
      <c r="N38" s="104">
        <f>SUMIFS(Despesas!$F:$F,Despesas!$A:$A,Gerencial!N$3,Despesas!$C:$C,Gerencial!$C38)</f>
        <v>0</v>
      </c>
      <c r="O38" s="104">
        <f>SUMIFS(Despesas!$F:$F,Despesas!$A:$A,Gerencial!O$3,Despesas!$C:$C,Gerencial!$C38)</f>
        <v>0</v>
      </c>
      <c r="P38" s="104">
        <f>SUMIFS(Despesas!$F:$F,Despesas!$A:$A,Gerencial!P$3,Despesas!$C:$C,Gerencial!$C38)</f>
        <v>0</v>
      </c>
      <c r="Q38" s="104">
        <f>SUMIFS(Despesas!$F:$F,Despesas!$A:$A,Gerencial!Q$3,Despesas!$C:$C,Gerencial!$C38)</f>
        <v>0</v>
      </c>
      <c r="R38" s="104">
        <f>SUMIFS(Despesas!$F:$F,Despesas!$A:$A,Gerencial!R$3,Despesas!$C:$C,Gerencial!$C38)</f>
        <v>0</v>
      </c>
      <c r="S38" s="104">
        <f>SUMIFS(Despesas!$F:$F,Despesas!$A:$A,Gerencial!S$3,Despesas!$C:$C,Gerencial!$C38)</f>
        <v>0</v>
      </c>
      <c r="T38" s="104">
        <f>SUMIFS(Despesas!$F:$F,Despesas!$A:$A,Gerencial!T$3,Despesas!$C:$C,Gerencial!$C38)</f>
        <v>0</v>
      </c>
      <c r="U38" s="104">
        <f>SUMIFS(Despesas!$F:$F,Despesas!$A:$A,Gerencial!U$3,Despesas!$C:$C,Gerencial!$C38)</f>
        <v>114</v>
      </c>
      <c r="V38" s="104">
        <f>SUMIFS(Despesas!$F:$F,Despesas!$A:$A,Gerencial!V$3,Despesas!$C:$C,Gerencial!$C38)</f>
        <v>0</v>
      </c>
      <c r="W38" s="104">
        <f>SUMIFS(Despesas!$F:$F,Despesas!$A:$A,Gerencial!W$3,Despesas!$C:$C,Gerencial!$C38)</f>
        <v>0</v>
      </c>
      <c r="X38" s="104">
        <f>SUMIFS(Despesas!$F:$F,Despesas!$A:$A,Gerencial!X$3,Despesas!$C:$C,Gerencial!$C38)</f>
        <v>0</v>
      </c>
      <c r="Y38" s="104">
        <f>SUMIFS(Despesas!$F:$F,Despesas!$A:$A,Gerencial!Y$3,Despesas!$C:$C,Gerencial!$C38)</f>
        <v>0</v>
      </c>
      <c r="Z38" s="104">
        <f>SUMIFS(Despesas!$F:$F,Despesas!$A:$A,Gerencial!Z$3,Despesas!$C:$C,Gerencial!$C38)</f>
        <v>0</v>
      </c>
      <c r="AA38" s="104">
        <f>SUMIFS(Despesas!$F:$F,Despesas!$A:$A,Gerencial!AA$3,Despesas!$C:$C,Gerencial!$C38)</f>
        <v>0</v>
      </c>
      <c r="AB38" s="104">
        <f>SUMIFS(Despesas!$F:$F,Despesas!$A:$A,Gerencial!AB$3,Despesas!$C:$C,Gerencial!$C38)</f>
        <v>0</v>
      </c>
      <c r="AC38" s="104">
        <f>SUMIFS(Despesas!$F:$F,Despesas!$A:$A,Gerencial!AC$3,Despesas!$C:$C,Gerencial!$C38)</f>
        <v>0</v>
      </c>
      <c r="AD38" s="104">
        <f>SUMIFS(Despesas!$F:$F,Despesas!$A:$A,Gerencial!AD$3,Despesas!$C:$C,Gerencial!$C38)</f>
        <v>0</v>
      </c>
      <c r="AE38" s="104">
        <f>SUMIFS(Despesas!$F:$F,Despesas!$A:$A,Gerencial!AE$3,Despesas!$C:$C,Gerencial!$C38)</f>
        <v>0</v>
      </c>
      <c r="AF38" s="104">
        <f>SUMIFS(Despesas!$F:$F,Despesas!$A:$A,Gerencial!AF$3,Despesas!$C:$C,Gerencial!$C38)</f>
        <v>0</v>
      </c>
      <c r="AG38" s="104">
        <f>SUMIFS(Despesas!$F:$F,Despesas!$A:$A,Gerencial!AG$3,Despesas!$C:$C,Gerencial!$C38)</f>
        <v>0</v>
      </c>
      <c r="AH38" s="104">
        <f>SUMIFS(Despesas!$F:$F,Despesas!$A:$A,Gerencial!AH$3,Despesas!$C:$C,Gerencial!$C38)</f>
        <v>0</v>
      </c>
      <c r="AI38" s="104">
        <f>SUMIFS(Despesas!$F:$F,Despesas!$A:$A,Gerencial!AI$3,Despesas!$C:$C,Gerencial!$C38)</f>
        <v>28.4</v>
      </c>
      <c r="AJ38" s="104">
        <f>SUMIFS(Despesas!$F:$F,Despesas!$A:$A,Gerencial!AJ$3,Despesas!$C:$C,Gerencial!$C38)</f>
        <v>0</v>
      </c>
      <c r="AK38" s="104">
        <f>SUMIFS(Despesas!$F:$F,Despesas!$A:$A,Gerencial!AK$3,Despesas!$C:$C,Gerencial!$C38)</f>
        <v>0</v>
      </c>
      <c r="AL38" s="104">
        <f>SUMIFS(Despesas!$F:$F,Despesas!$A:$A,Gerencial!AL$3,Despesas!$C:$C,Gerencial!$C38)</f>
        <v>0</v>
      </c>
      <c r="AM38" s="104">
        <f>SUMIFS(Despesas!$F:$F,Despesas!$A:$A,Gerencial!AM$3,Despesas!$C:$C,Gerencial!$C38)</f>
        <v>36.6</v>
      </c>
      <c r="AN38" s="104">
        <f>SUMIFS(Despesas!$F:$F,Despesas!$A:$A,Gerencial!AN$3,Despesas!$C:$C,Gerencial!$C38)</f>
        <v>0</v>
      </c>
      <c r="AO38" s="104">
        <f>SUMIFS(Despesas!$G$3:$G$287,Despesas!$A$3:$A$287,$AO$3,Despesas!$C$3:C$287,$C38)</f>
        <v>12.5</v>
      </c>
    </row>
    <row r="39" outlineLevel="1">
      <c r="A39" s="280" t="s">
        <v>1502</v>
      </c>
      <c r="B39" s="194"/>
      <c r="C39" s="266" t="s">
        <v>223</v>
      </c>
      <c r="D39" s="82">
        <f t="shared" si="5"/>
        <v>0</v>
      </c>
      <c r="E39" s="50"/>
      <c r="F39" s="104">
        <f>SUMIFS(Despesas!$F:$F,Despesas!$A:$A,Gerencial!F$3,Despesas!$C:$C,Gerencial!$C39)</f>
        <v>0</v>
      </c>
      <c r="G39" s="104">
        <f>SUMIFS(Despesas!$F:$F,Despesas!$A:$A,Gerencial!G$3,Despesas!$C:$C,Gerencial!$C39)</f>
        <v>0</v>
      </c>
      <c r="H39" s="104">
        <f>SUMIFS(Despesas!$F:$F,Despesas!$A:$A,Gerencial!H$3,Despesas!$C:$C,Gerencial!$C39)</f>
        <v>0</v>
      </c>
      <c r="I39" s="104">
        <f>SUMIFS(Despesas!$F:$F,Despesas!$A:$A,Gerencial!I$3,Despesas!$C:$C,Gerencial!$C39)</f>
        <v>0</v>
      </c>
      <c r="J39" s="104">
        <f>SUMIFS(Despesas!$F:$F,Despesas!$A:$A,Gerencial!J$3,Despesas!$C:$C,Gerencial!$C39)</f>
        <v>0</v>
      </c>
      <c r="K39" s="104">
        <f>SUMIFS(Despesas!$F:$F,Despesas!$A:$A,Gerencial!K$3,Despesas!$C:$C,Gerencial!$C39)</f>
        <v>12.89</v>
      </c>
      <c r="L39" s="104">
        <f>SUMIFS(Despesas!$F:$F,Despesas!$A:$A,Gerencial!L$3,Despesas!$C:$C,Gerencial!$C39)</f>
        <v>0</v>
      </c>
      <c r="M39" s="104">
        <f>SUMIFS(Despesas!$F:$F,Despesas!$A:$A,Gerencial!M$3,Despesas!$C:$C,Gerencial!$C39)</f>
        <v>0</v>
      </c>
      <c r="N39" s="104">
        <f>SUMIFS(Despesas!$F:$F,Despesas!$A:$A,Gerencial!N$3,Despesas!$C:$C,Gerencial!$C39)</f>
        <v>0</v>
      </c>
      <c r="O39" s="104">
        <f>SUMIFS(Despesas!$F:$F,Despesas!$A:$A,Gerencial!O$3,Despesas!$C:$C,Gerencial!$C39)</f>
        <v>0</v>
      </c>
      <c r="P39" s="104">
        <f>SUMIFS(Despesas!$F:$F,Despesas!$A:$A,Gerencial!P$3,Despesas!$C:$C,Gerencial!$C39)</f>
        <v>0</v>
      </c>
      <c r="Q39" s="104">
        <f>SUMIFS(Despesas!$F:$F,Despesas!$A:$A,Gerencial!Q$3,Despesas!$C:$C,Gerencial!$C39)</f>
        <v>0</v>
      </c>
      <c r="R39" s="104">
        <f>SUMIFS(Despesas!$F:$F,Despesas!$A:$A,Gerencial!R$3,Despesas!$C:$C,Gerencial!$C39)</f>
        <v>0</v>
      </c>
      <c r="S39" s="104">
        <f>SUMIFS(Despesas!$F:$F,Despesas!$A:$A,Gerencial!S$3,Despesas!$C:$C,Gerencial!$C39)</f>
        <v>0</v>
      </c>
      <c r="T39" s="104">
        <f>SUMIFS(Despesas!$F:$F,Despesas!$A:$A,Gerencial!T$3,Despesas!$C:$C,Gerencial!$C39)</f>
        <v>0</v>
      </c>
      <c r="U39" s="104">
        <f>SUMIFS(Despesas!$F:$F,Despesas!$A:$A,Gerencial!U$3,Despesas!$C:$C,Gerencial!$C39)</f>
        <v>0</v>
      </c>
      <c r="V39" s="104">
        <f>SUMIFS(Despesas!$F:$F,Despesas!$A:$A,Gerencial!V$3,Despesas!$C:$C,Gerencial!$C39)</f>
        <v>0</v>
      </c>
      <c r="W39" s="104">
        <f>SUMIFS(Despesas!$F:$F,Despesas!$A:$A,Gerencial!W$3,Despesas!$C:$C,Gerencial!$C39)</f>
        <v>0</v>
      </c>
      <c r="X39" s="104">
        <f>SUMIFS(Despesas!$F:$F,Despesas!$A:$A,Gerencial!X$3,Despesas!$C:$C,Gerencial!$C39)</f>
        <v>0</v>
      </c>
      <c r="Y39" s="104">
        <f>SUMIFS(Despesas!$F:$F,Despesas!$A:$A,Gerencial!Y$3,Despesas!$C:$C,Gerencial!$C39)</f>
        <v>0</v>
      </c>
      <c r="Z39" s="104">
        <f>SUMIFS(Despesas!$F:$F,Despesas!$A:$A,Gerencial!Z$3,Despesas!$C:$C,Gerencial!$C39)</f>
        <v>0</v>
      </c>
      <c r="AA39" s="104">
        <f>SUMIFS(Despesas!$F:$F,Despesas!$A:$A,Gerencial!AA$3,Despesas!$C:$C,Gerencial!$C39)</f>
        <v>0</v>
      </c>
      <c r="AB39" s="104">
        <f>SUMIFS(Despesas!$F:$F,Despesas!$A:$A,Gerencial!AB$3,Despesas!$C:$C,Gerencial!$C39)</f>
        <v>0</v>
      </c>
      <c r="AC39" s="104">
        <f>SUMIFS(Despesas!$F:$F,Despesas!$A:$A,Gerencial!AC$3,Despesas!$C:$C,Gerencial!$C39)</f>
        <v>0</v>
      </c>
      <c r="AD39" s="104">
        <f>SUMIFS(Despesas!$F:$F,Despesas!$A:$A,Gerencial!AD$3,Despesas!$C:$C,Gerencial!$C39)</f>
        <v>0</v>
      </c>
      <c r="AE39" s="104">
        <f>SUMIFS(Despesas!$F:$F,Despesas!$A:$A,Gerencial!AE$3,Despesas!$C:$C,Gerencial!$C39)</f>
        <v>0</v>
      </c>
      <c r="AF39" s="104">
        <f>SUMIFS(Despesas!$F:$F,Despesas!$A:$A,Gerencial!AF$3,Despesas!$C:$C,Gerencial!$C39)</f>
        <v>0</v>
      </c>
      <c r="AG39" s="104">
        <f>SUMIFS(Despesas!$F:$F,Despesas!$A:$A,Gerencial!AG$3,Despesas!$C:$C,Gerencial!$C39)</f>
        <v>0</v>
      </c>
      <c r="AH39" s="104">
        <f>SUMIFS(Despesas!$F:$F,Despesas!$A:$A,Gerencial!AH$3,Despesas!$C:$C,Gerencial!$C39)</f>
        <v>0</v>
      </c>
      <c r="AI39" s="104">
        <f>SUMIFS(Despesas!$F:$F,Despesas!$A:$A,Gerencial!AI$3,Despesas!$C:$C,Gerencial!$C39)</f>
        <v>0</v>
      </c>
      <c r="AJ39" s="104">
        <f>SUMIFS(Despesas!$F:$F,Despesas!$A:$A,Gerencial!AJ$3,Despesas!$C:$C,Gerencial!$C39)</f>
        <v>0</v>
      </c>
      <c r="AK39" s="104">
        <f>SUMIFS(Despesas!$F:$F,Despesas!$A:$A,Gerencial!AK$3,Despesas!$C:$C,Gerencial!$C39)</f>
        <v>0</v>
      </c>
      <c r="AL39" s="104">
        <f>SUMIFS(Despesas!$F:$F,Despesas!$A:$A,Gerencial!AL$3,Despesas!$C:$C,Gerencial!$C39)</f>
        <v>0</v>
      </c>
      <c r="AM39" s="104">
        <f>SUMIFS(Despesas!$F:$F,Despesas!$A:$A,Gerencial!AM$3,Despesas!$C:$C,Gerencial!$C39)</f>
        <v>0</v>
      </c>
      <c r="AN39" s="104">
        <f>SUMIFS(Despesas!$F:$F,Despesas!$A:$A,Gerencial!AN$3,Despesas!$C:$C,Gerencial!$C39)</f>
        <v>19.99</v>
      </c>
      <c r="AO39" s="104">
        <f>SUMIFS(Despesas!$G$3:$G$287,Despesas!$A$3:$A$287,$AO$3,Despesas!$C$3:C$287,$C39)</f>
        <v>0</v>
      </c>
    </row>
    <row r="40" outlineLevel="1">
      <c r="A40" s="280" t="s">
        <v>1540</v>
      </c>
      <c r="B40" s="74"/>
      <c r="C40" s="266" t="s">
        <v>152</v>
      </c>
      <c r="D40" s="82">
        <f t="shared" si="5"/>
        <v>0</v>
      </c>
      <c r="E40" s="50"/>
      <c r="F40" s="104">
        <f>SUMIFS(Despesas!$F:$F,Despesas!$A:$A,Gerencial!F$3,Despesas!$C:$C,Gerencial!$C40)</f>
        <v>0</v>
      </c>
      <c r="G40" s="104">
        <f>SUMIFS(Despesas!$F:$F,Despesas!$A:$A,Gerencial!G$3,Despesas!$C:$C,Gerencial!$C40)</f>
        <v>0</v>
      </c>
      <c r="H40" s="104">
        <f>SUMIFS(Despesas!$F:$F,Despesas!$A:$A,Gerencial!H$3,Despesas!$C:$C,Gerencial!$C40)</f>
        <v>0</v>
      </c>
      <c r="I40" s="104">
        <f>SUMIFS(Despesas!$F:$F,Despesas!$A:$A,Gerencial!I$3,Despesas!$C:$C,Gerencial!$C40)</f>
        <v>0</v>
      </c>
      <c r="J40" s="104">
        <f>SUMIFS(Despesas!$F:$F,Despesas!$A:$A,Gerencial!J$3,Despesas!$C:$C,Gerencial!$C40)</f>
        <v>0</v>
      </c>
      <c r="K40" s="104">
        <f>SUMIFS(Despesas!$F:$F,Despesas!$A:$A,Gerencial!K$3,Despesas!$C:$C,Gerencial!$C40)</f>
        <v>0</v>
      </c>
      <c r="L40" s="104">
        <f>SUMIFS(Despesas!$F:$F,Despesas!$A:$A,Gerencial!L$3,Despesas!$C:$C,Gerencial!$C40)</f>
        <v>0</v>
      </c>
      <c r="M40" s="104">
        <f>SUMIFS(Despesas!$F:$F,Despesas!$A:$A,Gerencial!M$3,Despesas!$C:$C,Gerencial!$C40)</f>
        <v>0</v>
      </c>
      <c r="N40" s="104">
        <f>SUMIFS(Despesas!$F:$F,Despesas!$A:$A,Gerencial!N$3,Despesas!$C:$C,Gerencial!$C40)</f>
        <v>0</v>
      </c>
      <c r="O40" s="104">
        <f>SUMIFS(Despesas!$F:$F,Despesas!$A:$A,Gerencial!O$3,Despesas!$C:$C,Gerencial!$C40)</f>
        <v>0</v>
      </c>
      <c r="P40" s="104">
        <f>SUMIFS(Despesas!$F:$F,Despesas!$A:$A,Gerencial!P$3,Despesas!$C:$C,Gerencial!$C40)</f>
        <v>48</v>
      </c>
      <c r="Q40" s="104">
        <f>SUMIFS(Despesas!$F:$F,Despesas!$A:$A,Gerencial!Q$3,Despesas!$C:$C,Gerencial!$C40)</f>
        <v>0</v>
      </c>
      <c r="R40" s="104">
        <f>SUMIFS(Despesas!$F:$F,Despesas!$A:$A,Gerencial!R$3,Despesas!$C:$C,Gerencial!$C40)</f>
        <v>0</v>
      </c>
      <c r="S40" s="104">
        <f>SUMIFS(Despesas!$F:$F,Despesas!$A:$A,Gerencial!S$3,Despesas!$C:$C,Gerencial!$C40)</f>
        <v>0</v>
      </c>
      <c r="T40" s="104">
        <f>SUMIFS(Despesas!$F:$F,Despesas!$A:$A,Gerencial!T$3,Despesas!$C:$C,Gerencial!$C40)</f>
        <v>0</v>
      </c>
      <c r="U40" s="104">
        <f>SUMIFS(Despesas!$F:$F,Despesas!$A:$A,Gerencial!U$3,Despesas!$C:$C,Gerencial!$C40)</f>
        <v>0</v>
      </c>
      <c r="V40" s="104">
        <f>SUMIFS(Despesas!$F:$F,Despesas!$A:$A,Gerencial!V$3,Despesas!$C:$C,Gerencial!$C40)</f>
        <v>0</v>
      </c>
      <c r="W40" s="104">
        <f>SUMIFS(Despesas!$F:$F,Despesas!$A:$A,Gerencial!W$3,Despesas!$C:$C,Gerencial!$C40)</f>
        <v>0</v>
      </c>
      <c r="X40" s="104">
        <f>SUMIFS(Despesas!$F:$F,Despesas!$A:$A,Gerencial!X$3,Despesas!$C:$C,Gerencial!$C40)</f>
        <v>0</v>
      </c>
      <c r="Y40" s="104">
        <f>SUMIFS(Despesas!$F:$F,Despesas!$A:$A,Gerencial!Y$3,Despesas!$C:$C,Gerencial!$C40)</f>
        <v>0</v>
      </c>
      <c r="Z40" s="104">
        <f>SUMIFS(Despesas!$F:$F,Despesas!$A:$A,Gerencial!Z$3,Despesas!$C:$C,Gerencial!$C40)</f>
        <v>0</v>
      </c>
      <c r="AA40" s="104">
        <f>SUMIFS(Despesas!$F:$F,Despesas!$A:$A,Gerencial!AA$3,Despesas!$C:$C,Gerencial!$C40)</f>
        <v>0</v>
      </c>
      <c r="AB40" s="104">
        <f>SUMIFS(Despesas!$F:$F,Despesas!$A:$A,Gerencial!AB$3,Despesas!$C:$C,Gerencial!$C40)</f>
        <v>0</v>
      </c>
      <c r="AC40" s="104">
        <f>SUMIFS(Despesas!$F:$F,Despesas!$A:$A,Gerencial!AC$3,Despesas!$C:$C,Gerencial!$C40)</f>
        <v>0</v>
      </c>
      <c r="AD40" s="104">
        <f>SUMIFS(Despesas!$F:$F,Despesas!$A:$A,Gerencial!AD$3,Despesas!$C:$C,Gerencial!$C40)</f>
        <v>0</v>
      </c>
      <c r="AE40" s="104">
        <f>SUMIFS(Despesas!$F:$F,Despesas!$A:$A,Gerencial!AE$3,Despesas!$C:$C,Gerencial!$C40)</f>
        <v>0</v>
      </c>
      <c r="AF40" s="104">
        <f>SUMIFS(Despesas!$F:$F,Despesas!$A:$A,Gerencial!AF$3,Despesas!$C:$C,Gerencial!$C40)</f>
        <v>0</v>
      </c>
      <c r="AG40" s="104">
        <f>SUMIFS(Despesas!$F:$F,Despesas!$A:$A,Gerencial!AG$3,Despesas!$C:$C,Gerencial!$C40)</f>
        <v>0</v>
      </c>
      <c r="AH40" s="104">
        <f>SUMIFS(Despesas!$F:$F,Despesas!$A:$A,Gerencial!AH$3,Despesas!$C:$C,Gerencial!$C40)</f>
        <v>0</v>
      </c>
      <c r="AI40" s="104">
        <f>SUMIFS(Despesas!$F:$F,Despesas!$A:$A,Gerencial!AI$3,Despesas!$C:$C,Gerencial!$C40)</f>
        <v>0</v>
      </c>
      <c r="AJ40" s="104">
        <f>SUMIFS(Despesas!$F:$F,Despesas!$A:$A,Gerencial!AJ$3,Despesas!$C:$C,Gerencial!$C40)</f>
        <v>0</v>
      </c>
      <c r="AK40" s="104">
        <f>SUMIFS(Despesas!$F:$F,Despesas!$A:$A,Gerencial!AK$3,Despesas!$C:$C,Gerencial!$C40)</f>
        <v>0</v>
      </c>
      <c r="AL40" s="104">
        <f>SUMIFS(Despesas!$F:$F,Despesas!$A:$A,Gerencial!AL$3,Despesas!$C:$C,Gerencial!$C40)</f>
        <v>0</v>
      </c>
      <c r="AM40" s="104">
        <f>SUMIFS(Despesas!$F:$F,Despesas!$A:$A,Gerencial!AM$3,Despesas!$C:$C,Gerencial!$C40)</f>
        <v>0</v>
      </c>
      <c r="AN40" s="104">
        <f>SUMIFS(Despesas!$F:$F,Despesas!$A:$A,Gerencial!AN$3,Despesas!$C:$C,Gerencial!$C40)</f>
        <v>0</v>
      </c>
      <c r="AO40" s="104">
        <f>SUMIFS(Despesas!$G$3:$G$287,Despesas!$A$3:$A$287,$AO$3,Despesas!$C$3:C$287,$C40)</f>
        <v>42.5</v>
      </c>
    </row>
    <row r="41">
      <c r="A41" s="6"/>
      <c r="B41" s="6"/>
      <c r="C41" s="6"/>
      <c r="D41" s="6"/>
      <c r="E41" s="6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</row>
    <row r="42" ht="24.0" customHeight="1">
      <c r="A42" s="396" t="s">
        <v>1588</v>
      </c>
      <c r="B42" s="27"/>
      <c r="C42" s="28"/>
      <c r="D42" s="31">
        <f t="shared" ref="D42:D44" si="8">_xlfn.XLOOKUP($D$3,INDIRECT("$F$3:$AZ3" ),INDIRECT("$F" &amp; ROW() &amp; ":" &amp; "$AZ" &amp; ROW()))</f>
        <v>5391.01</v>
      </c>
      <c r="E42" s="397"/>
      <c r="F42" s="399">
        <f t="shared" ref="F42:AO42" si="7">F$4+F$6-F$12</f>
        <v>5391.01</v>
      </c>
      <c r="G42" s="399">
        <f t="shared" si="7"/>
        <v>6643.01</v>
      </c>
      <c r="H42" s="399">
        <f t="shared" si="7"/>
        <v>6249.68</v>
      </c>
      <c r="I42" s="399">
        <f t="shared" si="7"/>
        <v>2646.99</v>
      </c>
      <c r="J42" s="399">
        <f t="shared" si="7"/>
        <v>2155.39</v>
      </c>
      <c r="K42" s="399">
        <f t="shared" si="7"/>
        <v>1975.11</v>
      </c>
      <c r="L42" s="399">
        <f t="shared" si="7"/>
        <v>1810.62</v>
      </c>
      <c r="M42" s="399">
        <f t="shared" si="7"/>
        <v>6212.91</v>
      </c>
      <c r="N42" s="399">
        <f t="shared" si="7"/>
        <v>5078.76</v>
      </c>
      <c r="O42" s="399">
        <f t="shared" si="7"/>
        <v>4207.66</v>
      </c>
      <c r="P42" s="399">
        <f t="shared" si="7"/>
        <v>4967</v>
      </c>
      <c r="Q42" s="399">
        <f t="shared" si="7"/>
        <v>5716.56</v>
      </c>
      <c r="R42" s="399">
        <f t="shared" si="7"/>
        <v>3085.06</v>
      </c>
      <c r="S42" s="399">
        <f t="shared" si="7"/>
        <v>5328.19</v>
      </c>
      <c r="T42" s="399">
        <f t="shared" si="7"/>
        <v>2507.62</v>
      </c>
      <c r="U42" s="399">
        <f t="shared" si="7"/>
        <v>1208.06</v>
      </c>
      <c r="V42" s="399">
        <f t="shared" si="7"/>
        <v>1924.49</v>
      </c>
      <c r="W42" s="399">
        <f t="shared" si="7"/>
        <v>2043.21</v>
      </c>
      <c r="X42" s="399">
        <f t="shared" si="7"/>
        <v>2743.01</v>
      </c>
      <c r="Y42" s="399">
        <f t="shared" si="7"/>
        <v>2862.62</v>
      </c>
      <c r="Z42" s="399">
        <f t="shared" si="7"/>
        <v>1512.19</v>
      </c>
      <c r="AA42" s="399">
        <f t="shared" si="7"/>
        <v>2261.07</v>
      </c>
      <c r="AB42" s="399">
        <f t="shared" si="7"/>
        <v>2425.99</v>
      </c>
      <c r="AC42" s="399">
        <f t="shared" si="7"/>
        <v>2195.17</v>
      </c>
      <c r="AD42" s="399">
        <f t="shared" si="7"/>
        <v>130.1</v>
      </c>
      <c r="AE42" s="399">
        <f t="shared" si="7"/>
        <v>2877.91</v>
      </c>
      <c r="AF42" s="399">
        <f t="shared" si="7"/>
        <v>1131.41</v>
      </c>
      <c r="AG42" s="399">
        <f t="shared" si="7"/>
        <v>1080.55</v>
      </c>
      <c r="AH42" s="399">
        <f t="shared" si="7"/>
        <v>2466.6</v>
      </c>
      <c r="AI42" s="399">
        <f t="shared" si="7"/>
        <v>3426.38</v>
      </c>
      <c r="AJ42" s="399">
        <f t="shared" si="7"/>
        <v>3842.1</v>
      </c>
      <c r="AK42" s="399">
        <f t="shared" si="7"/>
        <v>4449.18</v>
      </c>
      <c r="AL42" s="399">
        <f t="shared" si="7"/>
        <v>3006.32</v>
      </c>
      <c r="AM42" s="399">
        <f t="shared" si="7"/>
        <v>3214.09</v>
      </c>
      <c r="AN42" s="399">
        <f t="shared" si="7"/>
        <v>3061.19</v>
      </c>
      <c r="AO42" s="399">
        <f t="shared" si="7"/>
        <v>1896.71</v>
      </c>
    </row>
    <row r="43" ht="20.25" customHeight="1">
      <c r="A43" s="396" t="s">
        <v>1594</v>
      </c>
      <c r="B43" s="27"/>
      <c r="C43" s="28"/>
      <c r="D43" s="400">
        <f t="shared" si="8"/>
        <v>11550</v>
      </c>
      <c r="E43" s="401"/>
      <c r="F43" s="402">
        <f>Sacerdotes!$Q$2110</f>
        <v>11550</v>
      </c>
      <c r="G43" s="402">
        <f>Sacerdotes!$Q$2030</f>
        <v>0</v>
      </c>
      <c r="H43" s="402">
        <f>Sacerdotes!$Q$1955</f>
        <v>0</v>
      </c>
      <c r="I43" s="402">
        <f>Sacerdotes!$Q$1879</f>
        <v>0</v>
      </c>
      <c r="J43" s="402">
        <f>Sacerdotes!$Q$1802</f>
        <v>0</v>
      </c>
      <c r="K43" s="402">
        <f>Sacerdotes!$Q$1727</f>
        <v>0</v>
      </c>
      <c r="L43" s="402">
        <f>Sacerdotes!$Q$1659</f>
        <v>0</v>
      </c>
      <c r="M43" s="402">
        <f>Sacerdotes!$Q$1585</f>
        <v>0</v>
      </c>
      <c r="N43" s="402">
        <f>Sacerdotes!$Q$1520</f>
        <v>0</v>
      </c>
      <c r="O43" s="402">
        <f>Sacerdotes!$Q$1448</f>
        <v>0</v>
      </c>
      <c r="P43" s="402">
        <f>Sacerdotes!$Q$1375</f>
        <v>0</v>
      </c>
      <c r="Q43" s="402">
        <f>Sacerdotes!$Q$1305</f>
        <v>0</v>
      </c>
      <c r="R43" s="402">
        <f>Sacerdotes!$Q$1228</f>
        <v>0</v>
      </c>
      <c r="S43" s="402">
        <f>Sacerdotes!$Q$1156</f>
        <v>0</v>
      </c>
      <c r="T43" s="402">
        <f>Sacerdotes!$Q$1084</f>
        <v>0</v>
      </c>
      <c r="U43" s="402">
        <f>Sacerdotes!$Q$1011</f>
        <v>0</v>
      </c>
      <c r="V43" s="402">
        <f>Sacerdotes!$Q$941</f>
        <v>0</v>
      </c>
      <c r="W43" s="402">
        <f>Sacerdotes!$Q$869</f>
        <v>0</v>
      </c>
      <c r="X43" s="402">
        <f>Sacerdotes!$Q$800</f>
        <v>0</v>
      </c>
      <c r="Y43" s="402">
        <f>Sacerdotes!$Q$754</f>
        <v>0</v>
      </c>
      <c r="Z43" s="402">
        <f>Sacerdotes!$Q$711</f>
        <v>0</v>
      </c>
      <c r="AA43" s="402">
        <f>Sacerdotes!$Q$665</f>
        <v>0</v>
      </c>
      <c r="AB43" s="402">
        <f>Sacerdotes!$Q$618</f>
        <v>0</v>
      </c>
      <c r="AC43" s="402">
        <f>Sacerdotes!$Q$571</f>
        <v>0</v>
      </c>
      <c r="AD43" s="402">
        <f>Sacerdotes!$Q$521</f>
        <v>0</v>
      </c>
      <c r="AE43" s="402">
        <f>Sacerdotes!$Q$475</f>
        <v>0</v>
      </c>
      <c r="AF43" s="402">
        <f>Sacerdotes!$Q$428</f>
        <v>0</v>
      </c>
      <c r="AG43" s="402">
        <f>Sacerdotes!Q381</f>
        <v>0</v>
      </c>
      <c r="AH43" s="402">
        <f>Sacerdotes!Q335</f>
        <v>0</v>
      </c>
      <c r="AI43" s="402">
        <f>Sacerdotes!Q287</f>
        <v>0</v>
      </c>
      <c r="AJ43" s="402">
        <f>Sacerdotes!Q241</f>
        <v>0</v>
      </c>
      <c r="AK43" s="402">
        <f>Sacerdotes!Q200</f>
        <v>0</v>
      </c>
      <c r="AL43" s="402">
        <f>Sacerdotes!Q160</f>
        <v>0</v>
      </c>
      <c r="AM43" s="402">
        <f>SUMIFS(Sacerdotes!$F$90:$F$133,Sacerdotes!$H$90:$H$133,FALSE)</f>
        <v>0</v>
      </c>
      <c r="AN43" s="402">
        <f>SUMIFS(Sacerdotes!$F$45:$F$87,Sacerdotes!$H$45:$H$87,FALSE)</f>
        <v>0</v>
      </c>
      <c r="AO43" s="402">
        <f>SUMIFS(Sacerdotes!$F$3:$F$42,Sacerdotes!$H$3:$H$42,FALSE)</f>
        <v>0</v>
      </c>
    </row>
    <row r="44" ht="21.0" customHeight="1">
      <c r="A44" s="396" t="s">
        <v>1612</v>
      </c>
      <c r="B44" s="27"/>
      <c r="C44" s="28"/>
      <c r="D44" s="404">
        <f t="shared" si="8"/>
        <v>-6158.99</v>
      </c>
      <c r="E44" s="405"/>
      <c r="F44" s="406">
        <f t="shared" ref="F44:AO44" si="9">F$42-F$43</f>
        <v>-6158.99</v>
      </c>
      <c r="G44" s="406">
        <f t="shared" si="9"/>
        <v>6643.01</v>
      </c>
      <c r="H44" s="406">
        <f t="shared" si="9"/>
        <v>6249.68</v>
      </c>
      <c r="I44" s="406">
        <f t="shared" si="9"/>
        <v>2646.99</v>
      </c>
      <c r="J44" s="406">
        <f t="shared" si="9"/>
        <v>2155.39</v>
      </c>
      <c r="K44" s="406">
        <f t="shared" si="9"/>
        <v>1975.11</v>
      </c>
      <c r="L44" s="406">
        <f t="shared" si="9"/>
        <v>1810.62</v>
      </c>
      <c r="M44" s="406">
        <f t="shared" si="9"/>
        <v>6212.91</v>
      </c>
      <c r="N44" s="406">
        <f t="shared" si="9"/>
        <v>5078.76</v>
      </c>
      <c r="O44" s="406">
        <f t="shared" si="9"/>
        <v>4207.66</v>
      </c>
      <c r="P44" s="406">
        <f t="shared" si="9"/>
        <v>4967</v>
      </c>
      <c r="Q44" s="406">
        <f t="shared" si="9"/>
        <v>5716.56</v>
      </c>
      <c r="R44" s="406">
        <f t="shared" si="9"/>
        <v>3085.06</v>
      </c>
      <c r="S44" s="406">
        <f t="shared" si="9"/>
        <v>5328.19</v>
      </c>
      <c r="T44" s="406">
        <f t="shared" si="9"/>
        <v>2507.62</v>
      </c>
      <c r="U44" s="406">
        <f t="shared" si="9"/>
        <v>1208.06</v>
      </c>
      <c r="V44" s="406">
        <f t="shared" si="9"/>
        <v>1924.49</v>
      </c>
      <c r="W44" s="406">
        <f t="shared" si="9"/>
        <v>2043.21</v>
      </c>
      <c r="X44" s="406">
        <f t="shared" si="9"/>
        <v>2743.01</v>
      </c>
      <c r="Y44" s="406">
        <f t="shared" si="9"/>
        <v>2862.62</v>
      </c>
      <c r="Z44" s="406">
        <f t="shared" si="9"/>
        <v>1512.19</v>
      </c>
      <c r="AA44" s="406">
        <f t="shared" si="9"/>
        <v>2261.07</v>
      </c>
      <c r="AB44" s="406">
        <f t="shared" si="9"/>
        <v>2425.99</v>
      </c>
      <c r="AC44" s="406">
        <f t="shared" si="9"/>
        <v>2195.17</v>
      </c>
      <c r="AD44" s="406">
        <f t="shared" si="9"/>
        <v>130.1</v>
      </c>
      <c r="AE44" s="406">
        <f t="shared" si="9"/>
        <v>2877.91</v>
      </c>
      <c r="AF44" s="406">
        <f t="shared" si="9"/>
        <v>1131.41</v>
      </c>
      <c r="AG44" s="406">
        <f t="shared" si="9"/>
        <v>1080.55</v>
      </c>
      <c r="AH44" s="406">
        <f t="shared" si="9"/>
        <v>2466.6</v>
      </c>
      <c r="AI44" s="406">
        <f t="shared" si="9"/>
        <v>3426.38</v>
      </c>
      <c r="AJ44" s="406">
        <f t="shared" si="9"/>
        <v>3842.1</v>
      </c>
      <c r="AK44" s="406">
        <f t="shared" si="9"/>
        <v>4449.18</v>
      </c>
      <c r="AL44" s="406">
        <f t="shared" si="9"/>
        <v>3006.32</v>
      </c>
      <c r="AM44" s="406">
        <f t="shared" si="9"/>
        <v>3214.09</v>
      </c>
      <c r="AN44" s="406">
        <f t="shared" si="9"/>
        <v>3061.19</v>
      </c>
      <c r="AO44" s="406">
        <f t="shared" si="9"/>
        <v>1896.71</v>
      </c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>
      <c r="F55" s="415"/>
      <c r="G55" s="415"/>
      <c r="H55" s="415"/>
      <c r="I55" s="415"/>
      <c r="J55" s="415"/>
      <c r="K55" s="415"/>
      <c r="L55" s="415"/>
      <c r="M55" s="415"/>
      <c r="N55" s="415"/>
      <c r="O55" s="415"/>
      <c r="P55" s="415"/>
      <c r="Q55" s="415"/>
      <c r="R55" s="415"/>
      <c r="S55" s="415"/>
      <c r="T55" s="415"/>
      <c r="U55" s="415"/>
      <c r="V55" s="415"/>
      <c r="W55" s="415"/>
      <c r="X55" s="415"/>
      <c r="Y55" s="415"/>
      <c r="Z55" s="415"/>
      <c r="AA55" s="415"/>
      <c r="AB55" s="415"/>
      <c r="AC55" s="415"/>
      <c r="AD55" s="415"/>
      <c r="AE55" s="415"/>
    </row>
  </sheetData>
  <mergeCells count="10">
    <mergeCell ref="A42:C42"/>
    <mergeCell ref="A43:C43"/>
    <mergeCell ref="A44:C44"/>
    <mergeCell ref="A2:A3"/>
    <mergeCell ref="B2:B3"/>
    <mergeCell ref="C2:C3"/>
    <mergeCell ref="A4:C4"/>
    <mergeCell ref="B7:B10"/>
    <mergeCell ref="B13:B15"/>
    <mergeCell ref="B18:B40"/>
  </mergeCells>
  <conditionalFormatting sqref="AT6 E44:AS44">
    <cfRule type="cellIs" dxfId="3" priority="1" operator="lessThan">
      <formula>0</formula>
    </cfRule>
  </conditionalFormatting>
  <conditionalFormatting sqref="D11 F11:AL11">
    <cfRule type="notContainsBlanks" dxfId="4" priority="2">
      <formula>LEN(TRIM(D11))&gt;0</formula>
    </cfRule>
  </conditionalFormatting>
  <conditionalFormatting sqref="D44">
    <cfRule type="cellIs" dxfId="5" priority="3" operator="lessThan">
      <formula>0</formula>
    </cfRule>
  </conditionalFormatting>
  <conditionalFormatting sqref="D3">
    <cfRule type="notContainsBlanks" dxfId="4" priority="4">
      <formula>LEN(TRIM(D3))&gt;0</formula>
    </cfRule>
  </conditionalFormatting>
  <dataValidations>
    <dataValidation type="decimal" operator="lessThan" allowBlank="1" showDropDown="1" sqref="D44">
      <formula1>0.0</formula1>
    </dataValidation>
    <dataValidation type="list" allowBlank="1" showErrorMessage="1" sqref="D3">
      <formula1>Gerencial!$F$3:$AO$3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3.0"/>
    <col customWidth="1" min="2" max="2" width="7.0"/>
    <col customWidth="1" min="3" max="3" width="11.5"/>
    <col customWidth="1" min="4" max="4" width="11.63"/>
    <col customWidth="1" min="5" max="5" width="10.63"/>
    <col customWidth="1" min="18" max="18" width="4.38"/>
    <col customWidth="1" min="19" max="19" width="8.5"/>
    <col customWidth="1" min="23" max="23" width="7.0"/>
    <col customWidth="1" min="24" max="24" width="4.5"/>
    <col customWidth="1" min="25" max="25" width="7.0"/>
    <col customWidth="1" min="26" max="26" width="11.0"/>
  </cols>
  <sheetData>
    <row r="1">
      <c r="A1" s="347" t="s">
        <v>1453</v>
      </c>
      <c r="G1" s="348" t="s">
        <v>1454</v>
      </c>
      <c r="I1" s="349">
        <v>2026.0</v>
      </c>
    </row>
    <row r="2">
      <c r="B2" s="350" t="s">
        <v>1457</v>
      </c>
      <c r="G2" s="351"/>
      <c r="R2" s="352" t="s">
        <v>1460</v>
      </c>
      <c r="S2" s="112"/>
      <c r="T2" s="353" t="s">
        <v>1462</v>
      </c>
      <c r="U2" s="353" t="s">
        <v>1463</v>
      </c>
      <c r="V2" s="353" t="s">
        <v>1464</v>
      </c>
      <c r="X2" s="354" t="s">
        <v>1460</v>
      </c>
      <c r="Y2" s="112"/>
      <c r="Z2" s="355" t="s">
        <v>108</v>
      </c>
      <c r="AA2" s="355" t="s">
        <v>61</v>
      </c>
      <c r="AB2" s="355" t="s">
        <v>1464</v>
      </c>
    </row>
    <row r="3">
      <c r="B3" s="352" t="str">
        <f>R2</f>
        <v>Período</v>
      </c>
      <c r="C3" s="356" t="str">
        <f t="shared" ref="C3:E3" si="1">T2</f>
        <v>Receitas</v>
      </c>
      <c r="D3" s="356" t="str">
        <f t="shared" si="1"/>
        <v>Despesas</v>
      </c>
      <c r="E3" s="356" t="str">
        <f t="shared" si="1"/>
        <v>Saldo</v>
      </c>
      <c r="R3" s="357">
        <v>2023.0</v>
      </c>
      <c r="S3" s="358">
        <v>45231.0</v>
      </c>
      <c r="T3" s="359">
        <f>Gerencial!$AO$6</f>
        <v>13368.55</v>
      </c>
      <c r="U3" s="360">
        <f>Gerencial!$AO$12</f>
        <v>11471.84</v>
      </c>
      <c r="V3" s="361">
        <f>Gerencial!$AO$42</f>
        <v>1896.71</v>
      </c>
      <c r="X3" s="357">
        <v>2023.0</v>
      </c>
      <c r="Y3" s="358">
        <v>45231.0</v>
      </c>
      <c r="Z3" s="359">
        <f>Gerencial!$AO$7</f>
        <v>12349</v>
      </c>
      <c r="AA3" s="362">
        <f>Gerencial!$AO$13</f>
        <v>5310</v>
      </c>
      <c r="AB3" s="363">
        <f t="shared" ref="AB3:AB35" si="2">Z3-AA3</f>
        <v>7039</v>
      </c>
    </row>
    <row r="4">
      <c r="B4" s="364">
        <f>IFERROR(__xludf.DUMMYFUNCTION("FILTER($S$3:$V1002,YEAR($S$3:$S1002)=$I$1)"),46023.0)</f>
        <v>46023</v>
      </c>
      <c r="C4" s="365">
        <f>IFERROR(__xludf.DUMMYFUNCTION("""COMPUTED_VALUE"""),12569.4)</f>
        <v>12569.4</v>
      </c>
      <c r="D4" s="366">
        <f>IFERROR(__xludf.DUMMYFUNCTION("""COMPUTED_VALUE"""),13328.74)</f>
        <v>13328.74</v>
      </c>
      <c r="E4" s="367">
        <f>IFERROR(__xludf.DUMMYFUNCTION("""COMPUTED_VALUE"""),4207.660000000009)</f>
        <v>4207.66</v>
      </c>
      <c r="R4" s="368"/>
      <c r="S4" s="358">
        <v>45261.0</v>
      </c>
      <c r="T4" s="359">
        <f>Gerencial!$AN$6</f>
        <v>10838.85</v>
      </c>
      <c r="U4" s="360">
        <f>Gerencial!$AN$12</f>
        <v>9674.37</v>
      </c>
      <c r="V4" s="361">
        <f>Gerencial!$AN$42</f>
        <v>3061.19</v>
      </c>
      <c r="X4" s="368"/>
      <c r="Y4" s="358">
        <v>45261.0</v>
      </c>
      <c r="Z4" s="359">
        <f>Gerencial!$AN$7</f>
        <v>10392.6</v>
      </c>
      <c r="AA4" s="362">
        <f>Gerencial!$AN$13</f>
        <v>6720</v>
      </c>
      <c r="AB4" s="363">
        <f t="shared" si="2"/>
        <v>3672.6</v>
      </c>
    </row>
    <row r="5">
      <c r="B5" s="364">
        <f>IFERROR(__xludf.DUMMYFUNCTION("""COMPUTED_VALUE"""),46054.0)</f>
        <v>46054</v>
      </c>
      <c r="C5" s="365">
        <f>IFERROR(__xludf.DUMMYFUNCTION("""COMPUTED_VALUE"""),12613.0)</f>
        <v>12613</v>
      </c>
      <c r="D5" s="366">
        <f>IFERROR(__xludf.DUMMYFUNCTION("""COMPUTED_VALUE"""),11741.9)</f>
        <v>11741.9</v>
      </c>
      <c r="E5" s="367">
        <f>IFERROR(__xludf.DUMMYFUNCTION("""COMPUTED_VALUE"""),5078.760000000011)</f>
        <v>5078.76</v>
      </c>
      <c r="R5" s="357">
        <v>2024.0</v>
      </c>
      <c r="S5" s="358">
        <v>45292.0</v>
      </c>
      <c r="T5" s="359">
        <f>Gerencial!$AM$6</f>
        <v>9084.95</v>
      </c>
      <c r="U5" s="360">
        <f>Gerencial!$AM$12</f>
        <v>8932.05</v>
      </c>
      <c r="V5" s="361">
        <f>Gerencial!$AM$42</f>
        <v>3214.09</v>
      </c>
      <c r="X5" s="357">
        <v>2024.0</v>
      </c>
      <c r="Y5" s="358">
        <v>45292.0</v>
      </c>
      <c r="Z5" s="359">
        <f>Gerencial!$AM$7</f>
        <v>8517</v>
      </c>
      <c r="AA5" s="362">
        <f>Gerencial!$AM$13</f>
        <v>6210</v>
      </c>
      <c r="AB5" s="363">
        <f t="shared" si="2"/>
        <v>2307</v>
      </c>
    </row>
    <row r="6">
      <c r="B6" s="364">
        <f>IFERROR(__xludf.DUMMYFUNCTION("""COMPUTED_VALUE"""),46082.0)</f>
        <v>46082</v>
      </c>
      <c r="C6" s="365">
        <f>IFERROR(__xludf.DUMMYFUNCTION("""COMPUTED_VALUE"""),13892.15)</f>
        <v>13892.15</v>
      </c>
      <c r="D6" s="366">
        <f>IFERROR(__xludf.DUMMYFUNCTION("""COMPUTED_VALUE"""),12758.0)</f>
        <v>12758</v>
      </c>
      <c r="E6" s="367">
        <f>IFERROR(__xludf.DUMMYFUNCTION("""COMPUTED_VALUE"""),6212.910000000011)</f>
        <v>6212.91</v>
      </c>
      <c r="R6" s="370"/>
      <c r="S6" s="358">
        <v>45323.0</v>
      </c>
      <c r="T6" s="359">
        <f>Gerencial!$AL$6</f>
        <v>7766.1</v>
      </c>
      <c r="U6" s="371">
        <f>Gerencial!$AL$12</f>
        <v>7973.87</v>
      </c>
      <c r="V6" s="361">
        <f>Gerencial!$AL$42</f>
        <v>3006.32</v>
      </c>
      <c r="X6" s="370"/>
      <c r="Y6" s="358">
        <v>45323.0</v>
      </c>
      <c r="Z6" s="359">
        <f>Gerencial!$AL$7</f>
        <v>7390</v>
      </c>
      <c r="AA6" s="372">
        <f>Gerencial!$AL$13</f>
        <v>5600</v>
      </c>
      <c r="AB6" s="363">
        <f t="shared" si="2"/>
        <v>1790</v>
      </c>
    </row>
    <row r="7">
      <c r="B7" s="364">
        <f>IFERROR(__xludf.DUMMYFUNCTION("""COMPUTED_VALUE"""),46113.0)</f>
        <v>46113</v>
      </c>
      <c r="C7" s="365">
        <f>IFERROR(__xludf.DUMMYFUNCTION("""COMPUTED_VALUE"""),10325.1)</f>
        <v>10325.1</v>
      </c>
      <c r="D7" s="366">
        <f>IFERROR(__xludf.DUMMYFUNCTION("""COMPUTED_VALUE"""),14727.39)</f>
        <v>14727.39</v>
      </c>
      <c r="E7" s="367">
        <f>IFERROR(__xludf.DUMMYFUNCTION("""COMPUTED_VALUE"""),1810.62000000001)</f>
        <v>1810.62</v>
      </c>
      <c r="R7" s="370"/>
      <c r="S7" s="358">
        <v>45352.0</v>
      </c>
      <c r="T7" s="359">
        <f>Gerencial!$AK$6</f>
        <v>12694.2</v>
      </c>
      <c r="U7" s="360">
        <f>Gerencial!$AK$12</f>
        <v>11251.34</v>
      </c>
      <c r="V7" s="361">
        <f>Gerencial!$AK$42</f>
        <v>4449.18</v>
      </c>
      <c r="X7" s="370"/>
      <c r="Y7" s="358">
        <v>45352.0</v>
      </c>
      <c r="Z7" s="359">
        <f>Gerencial!$AK$7</f>
        <v>12294</v>
      </c>
      <c r="AA7" s="362">
        <f>Gerencial!$AK$13</f>
        <v>6900</v>
      </c>
      <c r="AB7" s="363">
        <f t="shared" si="2"/>
        <v>5394</v>
      </c>
    </row>
    <row r="8">
      <c r="B8" s="364">
        <f>IFERROR(__xludf.DUMMYFUNCTION("""COMPUTED_VALUE"""),46143.0)</f>
        <v>46143</v>
      </c>
      <c r="C8" s="365">
        <f>IFERROR(__xludf.DUMMYFUNCTION("""COMPUTED_VALUE"""),13463.1)</f>
        <v>13463.1</v>
      </c>
      <c r="D8" s="366">
        <f>IFERROR(__xludf.DUMMYFUNCTION("""COMPUTED_VALUE"""),13298.61)</f>
        <v>13298.61</v>
      </c>
      <c r="E8" s="367">
        <f>IFERROR(__xludf.DUMMYFUNCTION("""COMPUTED_VALUE"""),1975.1100000000097)</f>
        <v>1975.11</v>
      </c>
      <c r="R8" s="370"/>
      <c r="S8" s="358">
        <v>45383.0</v>
      </c>
      <c r="T8" s="359">
        <f>Gerencial!$AJ$6</f>
        <v>9095.06</v>
      </c>
      <c r="U8" s="371">
        <f>Gerencial!$AJ$12</f>
        <v>9702.14</v>
      </c>
      <c r="V8" s="361">
        <f>Gerencial!$AJ$42</f>
        <v>3842.1</v>
      </c>
      <c r="X8" s="370"/>
      <c r="Y8" s="358">
        <v>45383.0</v>
      </c>
      <c r="Z8" s="359">
        <f>Gerencial!$AJ$7</f>
        <v>8456</v>
      </c>
      <c r="AA8" s="372">
        <f>Gerencial!$AJ$13</f>
        <v>7200</v>
      </c>
      <c r="AB8" s="363">
        <f t="shared" si="2"/>
        <v>1256</v>
      </c>
    </row>
    <row r="9">
      <c r="B9" s="364">
        <f>IFERROR(__xludf.DUMMYFUNCTION("""COMPUTED_VALUE"""),46174.0)</f>
        <v>46174</v>
      </c>
      <c r="C9" s="365">
        <f>IFERROR(__xludf.DUMMYFUNCTION("""COMPUTED_VALUE"""),14696.95)</f>
        <v>14696.95</v>
      </c>
      <c r="D9" s="366">
        <f>IFERROR(__xludf.DUMMYFUNCTION("""COMPUTED_VALUE"""),14516.67)</f>
        <v>14516.67</v>
      </c>
      <c r="E9" s="367">
        <f>IFERROR(__xludf.DUMMYFUNCTION("""COMPUTED_VALUE"""),2155.390000000012)</f>
        <v>2155.39</v>
      </c>
      <c r="R9" s="370"/>
      <c r="S9" s="358">
        <v>45413.0</v>
      </c>
      <c r="T9" s="359">
        <f>Gerencial!$AI$6</f>
        <v>9403.4</v>
      </c>
      <c r="U9" s="371">
        <f>Gerencial!$AI$12</f>
        <v>9819.12</v>
      </c>
      <c r="V9" s="361">
        <f>Gerencial!$AI$42</f>
        <v>3426.38</v>
      </c>
      <c r="X9" s="370"/>
      <c r="Y9" s="358">
        <v>45413.0</v>
      </c>
      <c r="Z9" s="359">
        <f>Gerencial!$AI$7</f>
        <v>8933</v>
      </c>
      <c r="AA9" s="372">
        <f>Gerencial!$AI$13</f>
        <v>7400</v>
      </c>
      <c r="AB9" s="363">
        <f t="shared" si="2"/>
        <v>1533</v>
      </c>
    </row>
    <row r="10">
      <c r="B10" s="364">
        <f>IFERROR(__xludf.DUMMYFUNCTION("""COMPUTED_VALUE"""),46204.0)</f>
        <v>46204</v>
      </c>
      <c r="C10" s="365">
        <f>IFERROR(__xludf.DUMMYFUNCTION("""COMPUTED_VALUE"""),14232.85)</f>
        <v>14232.85</v>
      </c>
      <c r="D10" s="366">
        <f>IFERROR(__xludf.DUMMYFUNCTION("""COMPUTED_VALUE"""),13741.25)</f>
        <v>13741.25</v>
      </c>
      <c r="E10" s="367">
        <f>IFERROR(__xludf.DUMMYFUNCTION("""COMPUTED_VALUE"""),2646.9900000000125)</f>
        <v>2646.99</v>
      </c>
      <c r="R10" s="370"/>
      <c r="S10" s="358">
        <v>45444.0</v>
      </c>
      <c r="T10" s="359">
        <f>Gerencial!$AH$6</f>
        <v>9515.95</v>
      </c>
      <c r="U10" s="371">
        <f>Gerencial!$AH$12</f>
        <v>10475.73</v>
      </c>
      <c r="V10" s="361">
        <f>Gerencial!$AH$42</f>
        <v>2466.6</v>
      </c>
      <c r="X10" s="370"/>
      <c r="Y10" s="358">
        <v>45444.0</v>
      </c>
      <c r="Z10" s="377">
        <f>Gerencial!$AH$7</f>
        <v>9133</v>
      </c>
      <c r="AA10" s="378">
        <f>Gerencial!$AH$13</f>
        <v>7350</v>
      </c>
      <c r="AB10" s="379">
        <f t="shared" si="2"/>
        <v>1783</v>
      </c>
    </row>
    <row r="11">
      <c r="B11" s="364">
        <f>IFERROR(__xludf.DUMMYFUNCTION("""COMPUTED_VALUE"""),46235.0)</f>
        <v>46235</v>
      </c>
      <c r="C11" s="365">
        <f>IFERROR(__xludf.DUMMYFUNCTION("""COMPUTED_VALUE"""),17512.0)</f>
        <v>17512</v>
      </c>
      <c r="D11" s="366">
        <f>IFERROR(__xludf.DUMMYFUNCTION("""COMPUTED_VALUE"""),13909.31)</f>
        <v>13909.31</v>
      </c>
      <c r="E11" s="367">
        <f>IFERROR(__xludf.DUMMYFUNCTION("""COMPUTED_VALUE"""),6249.680000000013)</f>
        <v>6249.68</v>
      </c>
      <c r="R11" s="370"/>
      <c r="S11" s="358">
        <v>45474.0</v>
      </c>
      <c r="T11" s="359">
        <f>Gerencial!$AG$6</f>
        <v>6929.7</v>
      </c>
      <c r="U11" s="371">
        <f>Gerencial!$AG$12</f>
        <v>8315.75</v>
      </c>
      <c r="V11" s="361">
        <f>Gerencial!$AG$42</f>
        <v>1080.55</v>
      </c>
      <c r="X11" s="370"/>
      <c r="Y11" s="358">
        <v>45474.0</v>
      </c>
      <c r="Z11" s="377">
        <f>Gerencial!$AG$7</f>
        <v>6677</v>
      </c>
      <c r="AA11" s="378">
        <f>Gerencial!$AG$13</f>
        <v>7150</v>
      </c>
      <c r="AB11" s="379">
        <f t="shared" si="2"/>
        <v>-473</v>
      </c>
    </row>
    <row r="12">
      <c r="B12" s="364">
        <f>IFERROR(__xludf.DUMMYFUNCTION("""COMPUTED_VALUE"""),46266.0)</f>
        <v>46266</v>
      </c>
      <c r="C12" s="365">
        <f>IFERROR(__xludf.DUMMYFUNCTION("""COMPUTED_VALUE"""),13458.0)</f>
        <v>13458</v>
      </c>
      <c r="D12" s="366">
        <f>IFERROR(__xludf.DUMMYFUNCTION("""COMPUTED_VALUE"""),13064.67)</f>
        <v>13064.67</v>
      </c>
      <c r="E12" s="367">
        <f>IFERROR(__xludf.DUMMYFUNCTION("""COMPUTED_VALUE"""),6643.010000000015)</f>
        <v>6643.01</v>
      </c>
      <c r="R12" s="370"/>
      <c r="S12" s="358">
        <v>45505.0</v>
      </c>
      <c r="T12" s="359">
        <f>Gerencial!$AF$6</f>
        <v>8206.85</v>
      </c>
      <c r="U12" s="360">
        <f>Gerencial!$AF$12</f>
        <v>8155.99</v>
      </c>
      <c r="V12" s="361">
        <f>Gerencial!$AF$42</f>
        <v>1131.41</v>
      </c>
      <c r="X12" s="370"/>
      <c r="Y12" s="358">
        <v>45505.0</v>
      </c>
      <c r="Z12" s="377">
        <f>Gerencial!$AF$7</f>
        <v>7955</v>
      </c>
      <c r="AA12" s="380">
        <f>Gerencial!$AF$13</f>
        <v>7007.2</v>
      </c>
      <c r="AB12" s="379">
        <f t="shared" si="2"/>
        <v>947.8</v>
      </c>
    </row>
    <row r="13">
      <c r="B13" s="364">
        <f>IFERROR(__xludf.DUMMYFUNCTION("""COMPUTED_VALUE"""),46296.0)</f>
        <v>46296</v>
      </c>
      <c r="C13" s="365">
        <f>IFERROR(__xludf.DUMMYFUNCTION("""COMPUTED_VALUE"""),3058.0)</f>
        <v>3058</v>
      </c>
      <c r="D13" s="366">
        <f>IFERROR(__xludf.DUMMYFUNCTION("""COMPUTED_VALUE"""),4310.0)</f>
        <v>4310</v>
      </c>
      <c r="E13" s="367">
        <f>IFERROR(__xludf.DUMMYFUNCTION("""COMPUTED_VALUE"""),5391.010000000015)</f>
        <v>5391.01</v>
      </c>
      <c r="R13" s="370"/>
      <c r="S13" s="358">
        <v>45536.0</v>
      </c>
      <c r="T13" s="359">
        <f>Gerencial!$AE$6</f>
        <v>10311.25</v>
      </c>
      <c r="U13" s="360">
        <f>Gerencial!$AE$12</f>
        <v>8564.75</v>
      </c>
      <c r="V13" s="361">
        <f>Gerencial!$AE$42</f>
        <v>2877.91</v>
      </c>
      <c r="X13" s="370"/>
      <c r="Y13" s="358">
        <v>45536.0</v>
      </c>
      <c r="Z13" s="377">
        <f>Gerencial!$AE$7</f>
        <v>9665</v>
      </c>
      <c r="AA13" s="380">
        <f>Gerencial!$AE$13</f>
        <v>6950</v>
      </c>
      <c r="AB13" s="379">
        <f t="shared" si="2"/>
        <v>2715</v>
      </c>
    </row>
    <row r="14">
      <c r="B14" s="364">
        <f>IFERROR(__xludf.DUMMYFUNCTION("""COMPUTED_VALUE"""),46327.0)</f>
        <v>46327</v>
      </c>
      <c r="C14" s="381"/>
      <c r="D14" s="382"/>
      <c r="E14" s="367"/>
      <c r="R14" s="370"/>
      <c r="S14" s="358">
        <v>45566.0</v>
      </c>
      <c r="T14" s="359">
        <f>Gerencial!$AD$6</f>
        <v>9704.05</v>
      </c>
      <c r="U14" s="360">
        <f>Gerencial!$AD$12</f>
        <v>12451.86</v>
      </c>
      <c r="V14" s="361">
        <f>Gerencial!$AD$42</f>
        <v>130.1</v>
      </c>
      <c r="X14" s="370"/>
      <c r="Y14" s="358">
        <v>45566.0</v>
      </c>
      <c r="Z14" s="359">
        <f>Gerencial!$AD$7</f>
        <v>9447</v>
      </c>
      <c r="AA14" s="362">
        <f>Gerencial!$AD$13</f>
        <v>7150</v>
      </c>
      <c r="AB14" s="363">
        <f t="shared" si="2"/>
        <v>2297</v>
      </c>
    </row>
    <row r="15">
      <c r="B15" s="364">
        <f>IFERROR(__xludf.DUMMYFUNCTION("""COMPUTED_VALUE"""),46357.0)</f>
        <v>46357</v>
      </c>
      <c r="C15" s="381"/>
      <c r="D15" s="382"/>
      <c r="E15" s="367"/>
      <c r="R15" s="370"/>
      <c r="S15" s="358">
        <v>45597.0</v>
      </c>
      <c r="T15" s="359">
        <f>Gerencial!$AC$6</f>
        <v>11493.85</v>
      </c>
      <c r="U15" s="360">
        <f>Gerencial!$AC$12</f>
        <v>9428.78</v>
      </c>
      <c r="V15" s="361">
        <f>Gerencial!$AC$42</f>
        <v>2195.17</v>
      </c>
      <c r="X15" s="370"/>
      <c r="Y15" s="358">
        <v>45597.0</v>
      </c>
      <c r="Z15" s="359">
        <f>Gerencial!$AC$7</f>
        <v>11075</v>
      </c>
      <c r="AA15" s="362">
        <f>Gerencial!$AC$13</f>
        <v>6850</v>
      </c>
      <c r="AB15" s="363">
        <f t="shared" si="2"/>
        <v>4225</v>
      </c>
    </row>
    <row r="16">
      <c r="A16" s="384"/>
      <c r="B16" s="385" t="s">
        <v>195</v>
      </c>
      <c r="C16" s="386">
        <f t="shared" ref="C16:D16" si="3">SUM(C4:C15)</f>
        <v>125820.55</v>
      </c>
      <c r="D16" s="387">
        <f t="shared" si="3"/>
        <v>125396.54</v>
      </c>
      <c r="E16" s="388">
        <f>C16-D16</f>
        <v>424.01</v>
      </c>
      <c r="R16" s="368"/>
      <c r="S16" s="358">
        <v>45627.0</v>
      </c>
      <c r="T16" s="359">
        <f>Gerencial!$AB$6</f>
        <v>8900.35</v>
      </c>
      <c r="U16" s="360">
        <f>Gerencial!$AB$12</f>
        <v>8669.53</v>
      </c>
      <c r="V16" s="361">
        <f>Gerencial!$AB$42</f>
        <v>2425.99</v>
      </c>
      <c r="X16" s="368"/>
      <c r="Y16" s="358">
        <v>45627.0</v>
      </c>
      <c r="Z16" s="359">
        <f>Gerencial!$AB$7</f>
        <v>8645</v>
      </c>
      <c r="AA16" s="362">
        <f>Gerencial!$AB$13</f>
        <v>6600</v>
      </c>
      <c r="AB16" s="363">
        <f t="shared" si="2"/>
        <v>2045</v>
      </c>
    </row>
    <row r="17">
      <c r="R17" s="357">
        <v>2025.0</v>
      </c>
      <c r="S17" s="358">
        <v>45658.0</v>
      </c>
      <c r="T17" s="359">
        <f>Gerencial!$AA$6</f>
        <v>7293.2</v>
      </c>
      <c r="U17" s="360">
        <f>Gerencial!$AA$12</f>
        <v>7458.12</v>
      </c>
      <c r="V17" s="361">
        <f>Gerencial!$AA$42</f>
        <v>2261.07</v>
      </c>
      <c r="X17" s="357">
        <v>2025.0</v>
      </c>
      <c r="Y17" s="358">
        <v>45658.0</v>
      </c>
      <c r="Z17" s="359">
        <f>Gerencial!$AA$7</f>
        <v>6989</v>
      </c>
      <c r="AA17" s="362">
        <f>Gerencial!$AA$13</f>
        <v>6900</v>
      </c>
      <c r="AB17" s="363">
        <f t="shared" si="2"/>
        <v>89</v>
      </c>
    </row>
    <row r="18">
      <c r="R18" s="370"/>
      <c r="S18" s="358">
        <v>45689.0</v>
      </c>
      <c r="T18" s="359">
        <f>Gerencial!$Z$6</f>
        <v>7874</v>
      </c>
      <c r="U18" s="360">
        <f>Gerencial!$Z$12</f>
        <v>8622.88</v>
      </c>
      <c r="V18" s="361">
        <f>Gerencial!$Z$42</f>
        <v>1512.19</v>
      </c>
      <c r="X18" s="370"/>
      <c r="Y18" s="358">
        <v>45689.0</v>
      </c>
      <c r="Z18" s="359">
        <f>Gerencial!$Z$7</f>
        <v>7615</v>
      </c>
      <c r="AA18" s="362">
        <f>Gerencial!$Z$13</f>
        <v>5900</v>
      </c>
      <c r="AB18" s="363">
        <f t="shared" si="2"/>
        <v>1715</v>
      </c>
    </row>
    <row r="19">
      <c r="B19" s="389" t="str">
        <f>Gerencial!D3</f>
        <v>2026/10</v>
      </c>
      <c r="C19" s="390"/>
      <c r="D19" s="391"/>
      <c r="E19" s="391"/>
      <c r="F19" s="391"/>
      <c r="G19" s="391"/>
      <c r="H19" s="391"/>
      <c r="I19" s="391"/>
      <c r="J19" s="391"/>
      <c r="K19" s="391"/>
      <c r="L19" s="391"/>
      <c r="M19" s="392"/>
      <c r="R19" s="370"/>
      <c r="S19" s="358">
        <v>45717.0</v>
      </c>
      <c r="T19" s="359">
        <f>Gerencial!$Y$6</f>
        <v>8835.45</v>
      </c>
      <c r="U19" s="360">
        <f>Gerencial!$Y$12</f>
        <v>7485.02</v>
      </c>
      <c r="V19" s="361">
        <f>Gerencial!$Y$42</f>
        <v>2862.62</v>
      </c>
      <c r="X19" s="370"/>
      <c r="Y19" s="358">
        <v>45717.0</v>
      </c>
      <c r="Z19" s="359">
        <f>Gerencial!$Y$7</f>
        <v>8676</v>
      </c>
      <c r="AA19" s="362">
        <f>Gerencial!$Y$13</f>
        <v>6500</v>
      </c>
      <c r="AB19" s="363">
        <f t="shared" si="2"/>
        <v>2176</v>
      </c>
    </row>
    <row r="20">
      <c r="B20" s="370"/>
      <c r="C20" s="393"/>
      <c r="M20" s="394"/>
      <c r="R20" s="370"/>
      <c r="S20" s="358">
        <v>45748.0</v>
      </c>
      <c r="T20" s="359">
        <f>Gerencial!$X$6</f>
        <v>10935.7</v>
      </c>
      <c r="U20" s="360">
        <f>Gerencial!$X$12</f>
        <v>11055.31</v>
      </c>
      <c r="V20" s="361">
        <f>Gerencial!$X$42</f>
        <v>2743.01</v>
      </c>
      <c r="X20" s="370"/>
      <c r="Y20" s="358">
        <v>45748.0</v>
      </c>
      <c r="Z20" s="359">
        <f>Gerencial!$X$7</f>
        <v>9178</v>
      </c>
      <c r="AA20" s="362">
        <f>Gerencial!$X$13</f>
        <v>7650</v>
      </c>
      <c r="AB20" s="363">
        <f t="shared" si="2"/>
        <v>1528</v>
      </c>
    </row>
    <row r="21">
      <c r="B21" s="370"/>
      <c r="C21" s="393"/>
      <c r="M21" s="394"/>
      <c r="R21" s="370"/>
      <c r="S21" s="358">
        <v>45778.0</v>
      </c>
      <c r="T21" s="359">
        <f>Gerencial!$W$6</f>
        <v>12050.35</v>
      </c>
      <c r="U21" s="360">
        <f>Gerencial!$W$12</f>
        <v>12750.15</v>
      </c>
      <c r="V21" s="361">
        <f>Gerencial!$W$42</f>
        <v>2043.21</v>
      </c>
      <c r="X21" s="370"/>
      <c r="Y21" s="358">
        <v>45778.0</v>
      </c>
      <c r="Z21" s="359">
        <f>Gerencial!$W$7</f>
        <v>7668</v>
      </c>
      <c r="AA21" s="362">
        <f>Gerencial!$W$13</f>
        <v>11100</v>
      </c>
      <c r="AB21" s="363">
        <f t="shared" si="2"/>
        <v>-3432</v>
      </c>
    </row>
    <row r="22">
      <c r="B22" s="370"/>
      <c r="C22" s="393"/>
      <c r="M22" s="394"/>
      <c r="R22" s="370"/>
      <c r="S22" s="358">
        <v>45809.0</v>
      </c>
      <c r="T22" s="359">
        <f>Gerencial!$V$6</f>
        <v>12309</v>
      </c>
      <c r="U22" s="360">
        <f>Gerencial!$V$12</f>
        <v>12427.72</v>
      </c>
      <c r="V22" s="361">
        <f>Gerencial!$V$42</f>
        <v>1924.49</v>
      </c>
      <c r="X22" s="370"/>
      <c r="Y22" s="358">
        <v>45809.0</v>
      </c>
      <c r="Z22" s="359">
        <f>Gerencial!$V$7</f>
        <v>7662</v>
      </c>
      <c r="AA22" s="362">
        <f>Gerencial!$V$13</f>
        <v>10750</v>
      </c>
      <c r="AB22" s="363">
        <f t="shared" si="2"/>
        <v>-3088</v>
      </c>
    </row>
    <row r="23">
      <c r="B23" s="370"/>
      <c r="C23" s="393"/>
      <c r="M23" s="394"/>
      <c r="R23" s="370"/>
      <c r="S23" s="358">
        <v>45839.0</v>
      </c>
      <c r="T23" s="359">
        <f>Gerencial!$U$6</f>
        <v>12602.15</v>
      </c>
      <c r="U23" s="360">
        <f>Gerencial!$U$12</f>
        <v>13318.58</v>
      </c>
      <c r="V23" s="361">
        <f>Gerencial!$U$42</f>
        <v>1208.06</v>
      </c>
      <c r="X23" s="370"/>
      <c r="Y23" s="358">
        <v>45839.0</v>
      </c>
      <c r="Z23" s="359">
        <f>Gerencial!$U$7</f>
        <v>5258.75</v>
      </c>
      <c r="AA23" s="362">
        <f>Gerencial!$U$13</f>
        <v>11100</v>
      </c>
      <c r="AB23" s="363">
        <f t="shared" si="2"/>
        <v>-5841.25</v>
      </c>
    </row>
    <row r="24">
      <c r="B24" s="368"/>
      <c r="C24" s="393"/>
      <c r="M24" s="394"/>
      <c r="R24" s="370"/>
      <c r="S24" s="358">
        <v>45870.0</v>
      </c>
      <c r="T24" s="359">
        <f>Gerencial!$T$6</f>
        <v>14058.75</v>
      </c>
      <c r="U24" s="360">
        <f>Gerencial!$T$12</f>
        <v>12759.19</v>
      </c>
      <c r="V24" s="361">
        <f>Gerencial!$T$42</f>
        <v>2507.62</v>
      </c>
      <c r="X24" s="370"/>
      <c r="Y24" s="358">
        <v>45870.0</v>
      </c>
      <c r="Z24" s="359">
        <f>Gerencial!$T$7</f>
        <v>6496</v>
      </c>
      <c r="AA24" s="362">
        <f>Gerencial!$T$13</f>
        <v>10950</v>
      </c>
      <c r="AB24" s="363">
        <f t="shared" si="2"/>
        <v>-4454</v>
      </c>
    </row>
    <row r="25">
      <c r="B25" s="395" t="s">
        <v>1577</v>
      </c>
      <c r="C25" s="393"/>
      <c r="M25" s="394"/>
      <c r="R25" s="370"/>
      <c r="S25" s="358">
        <v>45901.0</v>
      </c>
      <c r="T25" s="359">
        <f>Gerencial!$S$6</f>
        <v>15514.3</v>
      </c>
      <c r="U25" s="360">
        <f>Gerencial!$S$12</f>
        <v>12693.73</v>
      </c>
      <c r="V25" s="361">
        <f>Gerencial!$S$42</f>
        <v>5328.19</v>
      </c>
      <c r="X25" s="370"/>
      <c r="Y25" s="358">
        <v>45901.0</v>
      </c>
      <c r="Z25" s="359">
        <f>Gerencial!$S$7</f>
        <v>6597</v>
      </c>
      <c r="AA25" s="362">
        <f>Gerencial!$S$13</f>
        <v>10950</v>
      </c>
      <c r="AB25" s="363">
        <f t="shared" si="2"/>
        <v>-4353</v>
      </c>
    </row>
    <row r="26">
      <c r="B26" s="370"/>
      <c r="C26" s="393"/>
      <c r="M26" s="394"/>
      <c r="R26" s="370"/>
      <c r="S26" s="358">
        <v>45931.0</v>
      </c>
      <c r="T26" s="359">
        <f>Gerencial!$R$6</f>
        <v>13580.35</v>
      </c>
      <c r="U26" s="360">
        <f>Gerencial!$R$12</f>
        <v>15823.48</v>
      </c>
      <c r="V26" s="361">
        <f>Gerencial!$R$42</f>
        <v>3085.06</v>
      </c>
      <c r="X26" s="370"/>
      <c r="Y26" s="358">
        <v>45931.0</v>
      </c>
      <c r="Z26" s="359">
        <f>Gerencial!$R$7</f>
        <v>9451</v>
      </c>
      <c r="AA26" s="362">
        <f>Gerencial!$R$13</f>
        <v>11650</v>
      </c>
      <c r="AB26" s="363">
        <f t="shared" si="2"/>
        <v>-2199</v>
      </c>
    </row>
    <row r="27">
      <c r="B27" s="370"/>
      <c r="C27" s="393"/>
      <c r="M27" s="394"/>
      <c r="R27" s="370"/>
      <c r="S27" s="358">
        <v>45962.0</v>
      </c>
      <c r="T27" s="359">
        <f>Gerencial!$Q$6</f>
        <v>14452</v>
      </c>
      <c r="U27" s="360">
        <f>Gerencial!$Q$12</f>
        <v>11820.5</v>
      </c>
      <c r="V27" s="361">
        <f>Gerencial!$Q$42</f>
        <v>5716.56</v>
      </c>
      <c r="X27" s="370"/>
      <c r="Y27" s="358">
        <v>45962.0</v>
      </c>
      <c r="Z27" s="359">
        <f>Gerencial!$Q$7</f>
        <v>8539</v>
      </c>
      <c r="AA27" s="362">
        <f>Gerencial!$Q$13</f>
        <v>10650</v>
      </c>
      <c r="AB27" s="363">
        <f t="shared" si="2"/>
        <v>-2111</v>
      </c>
    </row>
    <row r="28">
      <c r="B28" s="370"/>
      <c r="C28" s="393"/>
      <c r="M28" s="394"/>
      <c r="R28" s="368"/>
      <c r="S28" s="358">
        <v>45992.0</v>
      </c>
      <c r="T28" s="359">
        <f>Gerencial!$P$6</f>
        <v>14926.45</v>
      </c>
      <c r="U28" s="360">
        <f>Gerencial!$P$12</f>
        <v>15676.01</v>
      </c>
      <c r="V28" s="361">
        <f>Gerencial!$P$42</f>
        <v>4967</v>
      </c>
      <c r="X28" s="368"/>
      <c r="Y28" s="358">
        <v>45992.0</v>
      </c>
      <c r="Z28" s="359">
        <f>Gerencial!$P$7</f>
        <v>9311</v>
      </c>
      <c r="AA28" s="362">
        <f>Gerencial!$P$13</f>
        <v>11050</v>
      </c>
      <c r="AB28" s="363">
        <f t="shared" si="2"/>
        <v>-1739</v>
      </c>
    </row>
    <row r="29">
      <c r="B29" s="370"/>
      <c r="C29" s="393"/>
      <c r="M29" s="394"/>
      <c r="R29" s="357">
        <v>2026.0</v>
      </c>
      <c r="S29" s="358">
        <v>46023.0</v>
      </c>
      <c r="T29" s="359">
        <f>Gerencial!$O$6</f>
        <v>12569.4</v>
      </c>
      <c r="U29" s="360">
        <f>Gerencial!$O$12</f>
        <v>13328.74</v>
      </c>
      <c r="V29" s="361">
        <f>Gerencial!$O$42</f>
        <v>4207.66</v>
      </c>
      <c r="X29" s="357">
        <v>2026.0</v>
      </c>
      <c r="Y29" s="358">
        <v>46023.0</v>
      </c>
      <c r="Z29" s="359">
        <f>Gerencial!$O$7</f>
        <v>7269</v>
      </c>
      <c r="AA29" s="362">
        <f>Gerencial!$O$13</f>
        <v>11200</v>
      </c>
      <c r="AB29" s="363">
        <f t="shared" si="2"/>
        <v>-3931</v>
      </c>
    </row>
    <row r="30">
      <c r="B30" s="370"/>
      <c r="C30" s="393"/>
      <c r="M30" s="394"/>
      <c r="R30" s="370"/>
      <c r="S30" s="358">
        <v>46054.0</v>
      </c>
      <c r="T30" s="359">
        <f>Gerencial!$N$6</f>
        <v>12613</v>
      </c>
      <c r="U30" s="360">
        <f>Gerencial!$N$12</f>
        <v>11741.9</v>
      </c>
      <c r="V30" s="361">
        <f>Gerencial!$N$42</f>
        <v>5078.76</v>
      </c>
      <c r="X30" s="370"/>
      <c r="Y30" s="358">
        <v>46054.0</v>
      </c>
      <c r="Z30" s="359">
        <f>Gerencial!$N$7</f>
        <v>8925</v>
      </c>
      <c r="AA30" s="362">
        <f>Gerencial!$N$13</f>
        <v>10100</v>
      </c>
      <c r="AB30" s="363">
        <f t="shared" si="2"/>
        <v>-1175</v>
      </c>
    </row>
    <row r="31">
      <c r="B31" s="370"/>
      <c r="C31" s="393"/>
      <c r="M31" s="394"/>
      <c r="R31" s="370"/>
      <c r="S31" s="358">
        <v>46082.0</v>
      </c>
      <c r="T31" s="359">
        <f>Gerencial!$M$6</f>
        <v>13892.15</v>
      </c>
      <c r="U31" s="360">
        <f>Gerencial!$M$12</f>
        <v>12758</v>
      </c>
      <c r="V31" s="361">
        <f>Gerencial!$M$42</f>
        <v>6212.91</v>
      </c>
      <c r="X31" s="370"/>
      <c r="Y31" s="358">
        <v>46082.0</v>
      </c>
      <c r="Z31" s="359">
        <f>Gerencial!$M$7</f>
        <v>10389.35</v>
      </c>
      <c r="AA31" s="362">
        <f>Gerencial!$M$13</f>
        <v>11400</v>
      </c>
      <c r="AB31" s="363">
        <f t="shared" si="2"/>
        <v>-1010.65</v>
      </c>
    </row>
    <row r="32">
      <c r="B32" s="370"/>
      <c r="C32" s="393"/>
      <c r="M32" s="394"/>
      <c r="R32" s="370"/>
      <c r="S32" s="358">
        <v>46113.0</v>
      </c>
      <c r="T32" s="359">
        <f>Gerencial!$L$6</f>
        <v>10325.1</v>
      </c>
      <c r="U32" s="360">
        <f>Gerencial!$L$12</f>
        <v>14727.39</v>
      </c>
      <c r="V32" s="361">
        <f>Gerencial!$L$42</f>
        <v>1810.62</v>
      </c>
      <c r="X32" s="370"/>
      <c r="Y32" s="358">
        <v>46113.0</v>
      </c>
      <c r="Z32" s="359">
        <f>Gerencial!$L$7</f>
        <v>10139</v>
      </c>
      <c r="AA32" s="362">
        <f>Gerencial!$L$13</f>
        <v>10350</v>
      </c>
      <c r="AB32" s="363">
        <f t="shared" si="2"/>
        <v>-211</v>
      </c>
    </row>
    <row r="33">
      <c r="B33" s="370"/>
      <c r="C33" s="393"/>
      <c r="M33" s="394"/>
      <c r="R33" s="370"/>
      <c r="S33" s="358">
        <v>46143.0</v>
      </c>
      <c r="T33" s="359">
        <f>Gerencial!$K$6</f>
        <v>13463.1</v>
      </c>
      <c r="U33" s="360">
        <f>Gerencial!$K$12</f>
        <v>13298.61</v>
      </c>
      <c r="V33" s="361">
        <f>Gerencial!$K$42</f>
        <v>1975.11</v>
      </c>
      <c r="X33" s="370"/>
      <c r="Y33" s="358">
        <v>46143.0</v>
      </c>
      <c r="Z33" s="359">
        <f>Gerencial!$K$7</f>
        <v>10083.25</v>
      </c>
      <c r="AA33" s="362">
        <f>Gerencial!$K$13</f>
        <v>11400</v>
      </c>
      <c r="AB33" s="363">
        <f t="shared" si="2"/>
        <v>-1316.75</v>
      </c>
    </row>
    <row r="34">
      <c r="B34" s="370"/>
      <c r="C34" s="393"/>
      <c r="M34" s="394"/>
      <c r="R34" s="370"/>
      <c r="S34" s="358">
        <v>46174.0</v>
      </c>
      <c r="T34" s="359">
        <f>Gerencial!$J$6</f>
        <v>14696.95</v>
      </c>
      <c r="U34" s="360">
        <f>Gerencial!$J$12</f>
        <v>14516.67</v>
      </c>
      <c r="V34" s="361">
        <f>Gerencial!$J$42</f>
        <v>2155.39</v>
      </c>
      <c r="X34" s="370"/>
      <c r="Y34" s="358">
        <v>46174.0</v>
      </c>
      <c r="Z34" s="359">
        <f>Gerencial!$J$7</f>
        <v>9348</v>
      </c>
      <c r="AA34" s="362">
        <f>Gerencial!$J$13</f>
        <v>11000</v>
      </c>
      <c r="AB34" s="363">
        <f t="shared" si="2"/>
        <v>-1652</v>
      </c>
    </row>
    <row r="35">
      <c r="B35" s="370"/>
      <c r="C35" s="393"/>
      <c r="M35" s="394"/>
      <c r="R35" s="370"/>
      <c r="S35" s="358">
        <v>46204.0</v>
      </c>
      <c r="T35" s="359">
        <f>Gerencial!$I$6</f>
        <v>14232.85</v>
      </c>
      <c r="U35" s="360">
        <f>Gerencial!$I$12</f>
        <v>13741.25</v>
      </c>
      <c r="V35" s="361">
        <f>Gerencial!$I$42</f>
        <v>2646.99</v>
      </c>
      <c r="X35" s="370"/>
      <c r="Y35" s="358">
        <v>46204.0</v>
      </c>
      <c r="Z35" s="359">
        <f>Gerencial!$I$7</f>
        <v>8038</v>
      </c>
      <c r="AA35" s="362">
        <f>Gerencial!$I$13</f>
        <v>11800</v>
      </c>
      <c r="AB35" s="363">
        <f t="shared" si="2"/>
        <v>-3762</v>
      </c>
    </row>
    <row r="36">
      <c r="B36" s="370"/>
      <c r="C36" s="393"/>
      <c r="M36" s="394"/>
      <c r="R36" s="370"/>
      <c r="S36" s="358">
        <v>46235.0</v>
      </c>
      <c r="T36" s="359">
        <f>Gerencial!$H$6</f>
        <v>17512</v>
      </c>
      <c r="U36" s="360">
        <f>Gerencial!$H$12</f>
        <v>13909.31</v>
      </c>
      <c r="V36" s="361">
        <f>Gerencial!$H$42</f>
        <v>6249.68</v>
      </c>
      <c r="X36" s="370"/>
      <c r="Y36" s="358">
        <v>46235.0</v>
      </c>
    </row>
    <row r="37">
      <c r="B37" s="370"/>
      <c r="C37" s="393"/>
      <c r="M37" s="394"/>
      <c r="R37" s="370"/>
      <c r="S37" s="358">
        <v>46266.0</v>
      </c>
      <c r="T37" s="359">
        <f>Gerencial!$G$6</f>
        <v>13458</v>
      </c>
      <c r="U37" s="360">
        <f>Gerencial!$G$12</f>
        <v>13064.67</v>
      </c>
      <c r="V37" s="361">
        <f>Gerencial!$G$42</f>
        <v>6643.01</v>
      </c>
      <c r="X37" s="370"/>
      <c r="Y37" s="358">
        <v>46266.0</v>
      </c>
    </row>
    <row r="38">
      <c r="B38" s="370"/>
      <c r="C38" s="393"/>
      <c r="M38" s="394"/>
      <c r="R38" s="370"/>
      <c r="S38" s="358">
        <v>46296.0</v>
      </c>
      <c r="T38" s="359">
        <f>Gerencial!$F$6</f>
        <v>3058</v>
      </c>
      <c r="U38" s="360">
        <f>Gerencial!$F$12</f>
        <v>4310</v>
      </c>
      <c r="V38" s="361">
        <f>Gerencial!$F$42</f>
        <v>5391.01</v>
      </c>
      <c r="X38" s="370"/>
      <c r="Y38" s="358">
        <v>46296.0</v>
      </c>
    </row>
    <row r="39">
      <c r="B39" s="370"/>
      <c r="C39" s="393"/>
      <c r="M39" s="394"/>
      <c r="R39" s="370"/>
      <c r="S39" s="358">
        <v>46327.0</v>
      </c>
      <c r="T39" s="408"/>
      <c r="U39" s="409"/>
      <c r="V39" s="361"/>
      <c r="X39" s="370"/>
      <c r="Y39" s="358">
        <v>46327.0</v>
      </c>
    </row>
    <row r="40">
      <c r="B40" s="370"/>
      <c r="C40" s="393"/>
      <c r="M40" s="394"/>
      <c r="R40" s="368"/>
      <c r="S40" s="358">
        <v>46357.0</v>
      </c>
      <c r="T40" s="408"/>
      <c r="U40" s="409"/>
      <c r="V40" s="361"/>
      <c r="X40" s="368"/>
      <c r="Y40" s="358">
        <v>46357.0</v>
      </c>
    </row>
    <row r="41">
      <c r="B41" s="370"/>
      <c r="C41" s="393"/>
      <c r="M41" s="394"/>
    </row>
    <row r="42">
      <c r="B42" s="370"/>
      <c r="C42" s="393"/>
      <c r="M42" s="394"/>
    </row>
    <row r="43">
      <c r="B43" s="370"/>
      <c r="C43" s="393"/>
      <c r="M43" s="394"/>
      <c r="P43" s="410"/>
    </row>
    <row r="44">
      <c r="B44" s="370"/>
      <c r="C44" s="393"/>
      <c r="M44" s="394"/>
    </row>
    <row r="45">
      <c r="B45" s="370"/>
      <c r="C45" s="393"/>
      <c r="M45" s="394"/>
    </row>
    <row r="46">
      <c r="B46" s="370"/>
      <c r="C46" s="393"/>
      <c r="M46" s="394"/>
    </row>
    <row r="47">
      <c r="B47" s="370"/>
      <c r="C47" s="393"/>
      <c r="M47" s="394"/>
    </row>
    <row r="48">
      <c r="B48" s="370"/>
      <c r="C48" s="393"/>
      <c r="M48" s="394"/>
    </row>
    <row r="49">
      <c r="B49" s="370"/>
      <c r="C49" s="393"/>
      <c r="M49" s="394"/>
    </row>
    <row r="50">
      <c r="B50" s="370"/>
      <c r="C50" s="393"/>
      <c r="M50" s="394"/>
    </row>
    <row r="51">
      <c r="B51" s="370"/>
      <c r="C51" s="393"/>
      <c r="M51" s="394"/>
    </row>
    <row r="52">
      <c r="B52" s="370"/>
      <c r="C52" s="393"/>
      <c r="M52" s="394"/>
    </row>
    <row r="53">
      <c r="B53" s="370"/>
      <c r="C53" s="393"/>
      <c r="M53" s="394"/>
    </row>
    <row r="54">
      <c r="B54" s="368"/>
      <c r="C54" s="411"/>
      <c r="D54" s="412"/>
      <c r="E54" s="412"/>
      <c r="F54" s="412"/>
      <c r="G54" s="412"/>
      <c r="H54" s="412"/>
      <c r="I54" s="412"/>
      <c r="J54" s="412"/>
      <c r="K54" s="412"/>
      <c r="L54" s="412"/>
      <c r="M54" s="413"/>
    </row>
    <row r="55">
      <c r="B55" s="414"/>
    </row>
    <row r="56">
      <c r="B56" s="414"/>
    </row>
    <row r="57">
      <c r="B57" s="414"/>
    </row>
    <row r="58">
      <c r="B58" s="350" t="s">
        <v>1629</v>
      </c>
    </row>
    <row r="59">
      <c r="B59" s="352" t="s">
        <v>1460</v>
      </c>
      <c r="C59" s="356" t="s">
        <v>1630</v>
      </c>
      <c r="D59" s="356" t="s">
        <v>1631</v>
      </c>
      <c r="E59" s="356" t="s">
        <v>1464</v>
      </c>
    </row>
    <row r="60">
      <c r="B60" s="364">
        <f>IFERROR(__xludf.DUMMYFUNCTION("FILTER($Y$3:$AB1002,YEAR($Y$3:$Y1002)=$I$1)"),46023.0)</f>
        <v>46023</v>
      </c>
      <c r="C60" s="365">
        <f>IFERROR(__xludf.DUMMYFUNCTION("""COMPUTED_VALUE"""),7269.0)</f>
        <v>7269</v>
      </c>
      <c r="D60" s="366">
        <f>IFERROR(__xludf.DUMMYFUNCTION("""COMPUTED_VALUE"""),11200.0)</f>
        <v>11200</v>
      </c>
      <c r="E60" s="367">
        <f>IFERROR(__xludf.DUMMYFUNCTION("""COMPUTED_VALUE"""),-3931.0)</f>
        <v>-3931</v>
      </c>
    </row>
    <row r="61">
      <c r="B61" s="364">
        <f>IFERROR(__xludf.DUMMYFUNCTION("""COMPUTED_VALUE"""),46054.0)</f>
        <v>46054</v>
      </c>
      <c r="C61" s="365">
        <f>IFERROR(__xludf.DUMMYFUNCTION("""COMPUTED_VALUE"""),8925.0)</f>
        <v>8925</v>
      </c>
      <c r="D61" s="366">
        <f>IFERROR(__xludf.DUMMYFUNCTION("""COMPUTED_VALUE"""),10100.0)</f>
        <v>10100</v>
      </c>
      <c r="E61" s="367">
        <f>IFERROR(__xludf.DUMMYFUNCTION("""COMPUTED_VALUE"""),-1175.0)</f>
        <v>-1175</v>
      </c>
    </row>
    <row r="62">
      <c r="B62" s="364">
        <f>IFERROR(__xludf.DUMMYFUNCTION("""COMPUTED_VALUE"""),46082.0)</f>
        <v>46082</v>
      </c>
      <c r="C62" s="365">
        <f>IFERROR(__xludf.DUMMYFUNCTION("""COMPUTED_VALUE"""),10389.35)</f>
        <v>10389.35</v>
      </c>
      <c r="D62" s="366">
        <f>IFERROR(__xludf.DUMMYFUNCTION("""COMPUTED_VALUE"""),11400.0)</f>
        <v>11400</v>
      </c>
      <c r="E62" s="367">
        <f>IFERROR(__xludf.DUMMYFUNCTION("""COMPUTED_VALUE"""),-1010.6499999999996)</f>
        <v>-1010.65</v>
      </c>
    </row>
    <row r="63">
      <c r="B63" s="364">
        <f>IFERROR(__xludf.DUMMYFUNCTION("""COMPUTED_VALUE"""),46113.0)</f>
        <v>46113</v>
      </c>
      <c r="C63" s="365">
        <f>IFERROR(__xludf.DUMMYFUNCTION("""COMPUTED_VALUE"""),10139.0)</f>
        <v>10139</v>
      </c>
      <c r="D63" s="366">
        <f>IFERROR(__xludf.DUMMYFUNCTION("""COMPUTED_VALUE"""),10350.0)</f>
        <v>10350</v>
      </c>
      <c r="E63" s="367">
        <f>IFERROR(__xludf.DUMMYFUNCTION("""COMPUTED_VALUE"""),-211.0)</f>
        <v>-211</v>
      </c>
    </row>
    <row r="64">
      <c r="B64" s="364">
        <f>IFERROR(__xludf.DUMMYFUNCTION("""COMPUTED_VALUE"""),46143.0)</f>
        <v>46143</v>
      </c>
      <c r="C64" s="365">
        <f>IFERROR(__xludf.DUMMYFUNCTION("""COMPUTED_VALUE"""),10083.25)</f>
        <v>10083.25</v>
      </c>
      <c r="D64" s="366">
        <f>IFERROR(__xludf.DUMMYFUNCTION("""COMPUTED_VALUE"""),11400.0)</f>
        <v>11400</v>
      </c>
      <c r="E64" s="367">
        <f>IFERROR(__xludf.DUMMYFUNCTION("""COMPUTED_VALUE"""),-1316.75)</f>
        <v>-1316.75</v>
      </c>
    </row>
    <row r="65">
      <c r="B65" s="364">
        <f>IFERROR(__xludf.DUMMYFUNCTION("""COMPUTED_VALUE"""),46174.0)</f>
        <v>46174</v>
      </c>
      <c r="C65" s="365">
        <f>IFERROR(__xludf.DUMMYFUNCTION("""COMPUTED_VALUE"""),9348.0)</f>
        <v>9348</v>
      </c>
      <c r="D65" s="366">
        <f>IFERROR(__xludf.DUMMYFUNCTION("""COMPUTED_VALUE"""),11000.0)</f>
        <v>11000</v>
      </c>
      <c r="E65" s="367">
        <f>IFERROR(__xludf.DUMMYFUNCTION("""COMPUTED_VALUE"""),-1652.0)</f>
        <v>-1652</v>
      </c>
    </row>
    <row r="66">
      <c r="B66" s="364">
        <f>IFERROR(__xludf.DUMMYFUNCTION("""COMPUTED_VALUE"""),46204.0)</f>
        <v>46204</v>
      </c>
      <c r="C66" s="365">
        <f>IFERROR(__xludf.DUMMYFUNCTION("""COMPUTED_VALUE"""),8038.0)</f>
        <v>8038</v>
      </c>
      <c r="D66" s="366">
        <f>IFERROR(__xludf.DUMMYFUNCTION("""COMPUTED_VALUE"""),11800.0)</f>
        <v>11800</v>
      </c>
      <c r="E66" s="367">
        <f>IFERROR(__xludf.DUMMYFUNCTION("""COMPUTED_VALUE"""),-3762.0)</f>
        <v>-3762</v>
      </c>
    </row>
    <row r="67">
      <c r="B67" s="364">
        <f>IFERROR(__xludf.DUMMYFUNCTION("""COMPUTED_VALUE"""),46235.0)</f>
        <v>46235</v>
      </c>
      <c r="C67" s="381"/>
      <c r="D67" s="382"/>
      <c r="E67" s="416"/>
    </row>
    <row r="68">
      <c r="B68" s="364">
        <f>IFERROR(__xludf.DUMMYFUNCTION("""COMPUTED_VALUE"""),46266.0)</f>
        <v>46266</v>
      </c>
      <c r="C68" s="381"/>
      <c r="D68" s="382"/>
      <c r="E68" s="416"/>
    </row>
    <row r="69">
      <c r="B69" s="364">
        <f>IFERROR(__xludf.DUMMYFUNCTION("""COMPUTED_VALUE"""),46296.0)</f>
        <v>46296</v>
      </c>
      <c r="C69" s="381"/>
      <c r="D69" s="382"/>
      <c r="E69" s="416"/>
    </row>
    <row r="70">
      <c r="B70" s="364">
        <f>IFERROR(__xludf.DUMMYFUNCTION("""COMPUTED_VALUE"""),46327.0)</f>
        <v>46327</v>
      </c>
      <c r="C70" s="381"/>
      <c r="D70" s="382"/>
      <c r="E70" s="416"/>
    </row>
    <row r="71">
      <c r="B71" s="364">
        <f>IFERROR(__xludf.DUMMYFUNCTION("""COMPUTED_VALUE"""),46357.0)</f>
        <v>46357</v>
      </c>
      <c r="C71" s="381"/>
      <c r="D71" s="382"/>
      <c r="E71" s="416"/>
    </row>
    <row r="72">
      <c r="B72" s="385" t="s">
        <v>195</v>
      </c>
      <c r="C72" s="386">
        <f t="shared" ref="C72:D72" si="4">SUM(C60:C71)</f>
        <v>64191.6</v>
      </c>
      <c r="D72" s="387">
        <f t="shared" si="4"/>
        <v>77250</v>
      </c>
      <c r="E72" s="388">
        <f>C72-D72</f>
        <v>-13058.4</v>
      </c>
    </row>
  </sheetData>
  <mergeCells count="15">
    <mergeCell ref="R5:R16"/>
    <mergeCell ref="R17:R28"/>
    <mergeCell ref="X17:X28"/>
    <mergeCell ref="R29:R40"/>
    <mergeCell ref="X29:X40"/>
    <mergeCell ref="B19:B24"/>
    <mergeCell ref="B25:B54"/>
    <mergeCell ref="B58:E58"/>
    <mergeCell ref="G1:H1"/>
    <mergeCell ref="B2:E2"/>
    <mergeCell ref="R2:S2"/>
    <mergeCell ref="X2:Y2"/>
    <mergeCell ref="R3:R4"/>
    <mergeCell ref="X3:X4"/>
    <mergeCell ref="X5:X16"/>
  </mergeCells>
  <conditionalFormatting sqref="B19:B54">
    <cfRule type="colorScale" priority="1">
      <colorScale>
        <cfvo type="min"/>
        <cfvo type="max"/>
        <color rgb="FF57BB8A"/>
        <color rgb="FFFFFFFF"/>
      </colorScale>
    </cfRule>
  </conditionalFormatting>
  <dataValidations>
    <dataValidation type="list" allowBlank="1" showErrorMessage="1" sqref="A1">
      <formula1>"Opção 1,Opção 2"</formula1>
    </dataValidation>
    <dataValidation type="list" allowBlank="1" showErrorMessage="1" sqref="I1">
      <formula1>'Tabelas Básicas'!$H$9:$H$12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Row="1"/>
  <cols>
    <col customWidth="1" min="1" max="1" width="7.25"/>
    <col customWidth="1" min="2" max="2" width="12.38"/>
    <col customWidth="1" min="3" max="3" width="11.5"/>
    <col customWidth="1" min="4" max="4" width="21.0"/>
    <col customWidth="1" min="5" max="5" width="9.63"/>
    <col customWidth="1" min="6" max="6" width="22.63"/>
    <col customWidth="1" min="7" max="7" width="24.38"/>
    <col customWidth="1" min="8" max="8" width="3.38"/>
    <col customWidth="1" min="9" max="9" width="4.5"/>
    <col customWidth="1" min="10" max="10" width="12.25"/>
    <col customWidth="1" min="11" max="11" width="8.13"/>
    <col customWidth="1" min="12" max="12" width="11.38"/>
    <col customWidth="1" min="13" max="13" width="2.5"/>
    <col customWidth="1" min="14" max="14" width="4.5"/>
    <col customWidth="1" min="15" max="15" width="12.25"/>
    <col customWidth="1" min="16" max="16" width="8.5"/>
    <col customWidth="1" min="17" max="17" width="24.38"/>
    <col customWidth="1" min="18" max="24" width="7.63"/>
  </cols>
  <sheetData>
    <row r="1" ht="20.25" customHeight="1" collapsed="1">
      <c r="A1" s="65" t="s">
        <v>85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3"/>
      <c r="R1" s="68"/>
    </row>
    <row r="2" ht="15.0" hidden="1" customHeight="1" outlineLevel="1">
      <c r="A2" s="70" t="s">
        <v>90</v>
      </c>
      <c r="I2" s="72" t="s">
        <v>91</v>
      </c>
      <c r="J2" s="73"/>
      <c r="K2" s="73"/>
      <c r="L2" s="74"/>
      <c r="N2" s="72" t="s">
        <v>95</v>
      </c>
      <c r="O2" s="73"/>
      <c r="P2" s="73"/>
      <c r="Q2" s="74"/>
    </row>
    <row r="3" hidden="1" outlineLevel="1">
      <c r="A3" s="77" t="s">
        <v>6</v>
      </c>
      <c r="B3" s="78" t="s">
        <v>103</v>
      </c>
      <c r="C3" s="77" t="s">
        <v>104</v>
      </c>
      <c r="D3" s="77" t="s">
        <v>107</v>
      </c>
      <c r="E3" s="77" t="s">
        <v>109</v>
      </c>
      <c r="F3" s="78" t="s">
        <v>110</v>
      </c>
      <c r="G3" s="77" t="s">
        <v>13</v>
      </c>
      <c r="I3" s="81" t="s">
        <v>6</v>
      </c>
      <c r="J3" s="84" t="s">
        <v>115</v>
      </c>
      <c r="K3" s="84" t="s">
        <v>9</v>
      </c>
      <c r="L3" s="81" t="s">
        <v>13</v>
      </c>
      <c r="N3" s="81" t="s">
        <v>6</v>
      </c>
      <c r="O3" s="84" t="s">
        <v>115</v>
      </c>
      <c r="P3" s="84" t="s">
        <v>9</v>
      </c>
      <c r="Q3" s="81" t="s">
        <v>13</v>
      </c>
    </row>
    <row r="4" hidden="1" outlineLevel="1">
      <c r="A4" s="86">
        <v>45231.0</v>
      </c>
      <c r="B4" s="88">
        <f t="shared" ref="B4:B6" si="1">A4</f>
        <v>45231</v>
      </c>
      <c r="C4" s="90" t="s">
        <v>118</v>
      </c>
      <c r="D4" s="91" t="s">
        <v>119</v>
      </c>
      <c r="E4" s="92">
        <v>145.0</v>
      </c>
      <c r="F4" s="91" t="s">
        <v>122</v>
      </c>
      <c r="G4" s="90"/>
      <c r="I4" s="86">
        <v>45233.0</v>
      </c>
      <c r="J4" s="88">
        <f t="shared" ref="J4:J10" si="2">I4</f>
        <v>45233</v>
      </c>
      <c r="K4" s="93">
        <v>98.65</v>
      </c>
      <c r="L4" s="90"/>
      <c r="N4" s="86">
        <v>45231.0</v>
      </c>
      <c r="O4" s="94" t="s">
        <v>125</v>
      </c>
      <c r="P4" s="93">
        <v>700.0</v>
      </c>
      <c r="Q4" s="91" t="s">
        <v>126</v>
      </c>
    </row>
    <row r="5" hidden="1" outlineLevel="1">
      <c r="A5" s="95">
        <v>45232.0</v>
      </c>
      <c r="B5" s="88">
        <f t="shared" si="1"/>
        <v>45232</v>
      </c>
      <c r="C5" s="90" t="s">
        <v>118</v>
      </c>
      <c r="D5" s="91" t="s">
        <v>119</v>
      </c>
      <c r="E5" s="93">
        <v>665.0</v>
      </c>
      <c r="F5" s="91" t="s">
        <v>129</v>
      </c>
      <c r="G5" s="90"/>
      <c r="I5" s="86">
        <v>45238.0</v>
      </c>
      <c r="J5" s="88">
        <f t="shared" si="2"/>
        <v>45238</v>
      </c>
      <c r="K5" s="93">
        <v>17.7</v>
      </c>
      <c r="L5" s="90"/>
      <c r="N5" s="95"/>
      <c r="O5" s="88" t="str">
        <f t="shared" ref="O5:O7" si="3">N5</f>
        <v/>
      </c>
      <c r="P5" s="93"/>
      <c r="Q5" s="90"/>
    </row>
    <row r="6" hidden="1" outlineLevel="1">
      <c r="A6" s="96">
        <v>45233.0</v>
      </c>
      <c r="B6" s="97">
        <f t="shared" si="1"/>
        <v>45233</v>
      </c>
      <c r="C6" s="90" t="s">
        <v>118</v>
      </c>
      <c r="D6" s="90" t="s">
        <v>62</v>
      </c>
      <c r="E6" s="93">
        <v>200.0</v>
      </c>
      <c r="F6" s="91" t="s">
        <v>134</v>
      </c>
      <c r="G6" s="90"/>
      <c r="I6" s="86">
        <v>45244.0</v>
      </c>
      <c r="J6" s="88">
        <f t="shared" si="2"/>
        <v>45244</v>
      </c>
      <c r="K6" s="93">
        <v>37.6</v>
      </c>
      <c r="L6" s="90"/>
      <c r="N6" s="86"/>
      <c r="O6" s="88" t="str">
        <f t="shared" si="3"/>
        <v/>
      </c>
      <c r="P6" s="93"/>
      <c r="Q6" s="90"/>
    </row>
    <row r="7" hidden="1" outlineLevel="1">
      <c r="A7" s="10"/>
      <c r="B7" s="10"/>
      <c r="C7" s="98" t="s">
        <v>136</v>
      </c>
      <c r="D7" s="98" t="s">
        <v>64</v>
      </c>
      <c r="E7" s="99">
        <v>257.0</v>
      </c>
      <c r="F7" s="100" t="s">
        <v>137</v>
      </c>
      <c r="G7" s="100" t="s">
        <v>139</v>
      </c>
      <c r="I7" s="86">
        <v>45245.0</v>
      </c>
      <c r="J7" s="88">
        <f t="shared" si="2"/>
        <v>45245</v>
      </c>
      <c r="K7" s="93">
        <v>42.1</v>
      </c>
      <c r="L7" s="90"/>
      <c r="N7" s="86"/>
      <c r="O7" s="88" t="str">
        <f t="shared" si="3"/>
        <v/>
      </c>
      <c r="P7" s="93"/>
      <c r="Q7" s="90"/>
    </row>
    <row r="8" hidden="1" outlineLevel="1">
      <c r="A8" s="86">
        <v>45235.0</v>
      </c>
      <c r="B8" s="88">
        <f t="shared" ref="B8:B14" si="4">A8</f>
        <v>45235</v>
      </c>
      <c r="C8" s="91" t="s">
        <v>118</v>
      </c>
      <c r="D8" s="90" t="s">
        <v>64</v>
      </c>
      <c r="E8" s="93">
        <v>650.0</v>
      </c>
      <c r="F8" s="91" t="s">
        <v>141</v>
      </c>
      <c r="G8" s="90"/>
      <c r="I8" s="86">
        <v>45254.0</v>
      </c>
      <c r="J8" s="88">
        <f t="shared" si="2"/>
        <v>45254</v>
      </c>
      <c r="K8" s="93">
        <v>38.0</v>
      </c>
      <c r="L8" s="90"/>
      <c r="N8" s="86"/>
      <c r="O8" s="88"/>
      <c r="P8" s="93"/>
      <c r="Q8" s="90"/>
    </row>
    <row r="9" hidden="1" outlineLevel="1">
      <c r="A9" s="86">
        <v>45235.0</v>
      </c>
      <c r="B9" s="88">
        <f t="shared" si="4"/>
        <v>45235</v>
      </c>
      <c r="C9" s="91" t="s">
        <v>136</v>
      </c>
      <c r="D9" s="91" t="s">
        <v>145</v>
      </c>
      <c r="E9" s="93">
        <v>674.0</v>
      </c>
      <c r="F9" s="91" t="s">
        <v>146</v>
      </c>
      <c r="G9" s="90"/>
      <c r="I9" s="86">
        <v>45256.0</v>
      </c>
      <c r="J9" s="88">
        <f t="shared" si="2"/>
        <v>45256</v>
      </c>
      <c r="K9" s="93">
        <v>39.0</v>
      </c>
      <c r="L9" s="90"/>
      <c r="N9" s="86"/>
      <c r="O9" s="88"/>
      <c r="P9" s="93"/>
      <c r="Q9" s="90"/>
    </row>
    <row r="10" hidden="1" outlineLevel="1">
      <c r="A10" s="86">
        <v>45236.0</v>
      </c>
      <c r="B10" s="88">
        <f t="shared" si="4"/>
        <v>45236</v>
      </c>
      <c r="C10" s="91" t="s">
        <v>118</v>
      </c>
      <c r="D10" s="91" t="s">
        <v>119</v>
      </c>
      <c r="E10" s="93">
        <v>52.0</v>
      </c>
      <c r="F10" s="91" t="s">
        <v>148</v>
      </c>
      <c r="G10" s="90"/>
      <c r="I10" s="86">
        <v>45259.0</v>
      </c>
      <c r="J10" s="88">
        <f t="shared" si="2"/>
        <v>45259</v>
      </c>
      <c r="K10" s="93">
        <v>46.5</v>
      </c>
      <c r="L10" s="90"/>
      <c r="N10" s="86"/>
      <c r="O10" s="88"/>
      <c r="P10" s="93"/>
      <c r="Q10" s="90"/>
    </row>
    <row r="11" hidden="1" outlineLevel="1">
      <c r="A11" s="86">
        <v>45237.0</v>
      </c>
      <c r="B11" s="88">
        <f t="shared" si="4"/>
        <v>45237</v>
      </c>
      <c r="C11" s="91" t="s">
        <v>118</v>
      </c>
      <c r="D11" s="90" t="s">
        <v>62</v>
      </c>
      <c r="E11" s="93">
        <v>185.0</v>
      </c>
      <c r="F11" s="91" t="s">
        <v>150</v>
      </c>
      <c r="G11" s="90"/>
      <c r="I11" s="86"/>
      <c r="J11" s="88"/>
      <c r="K11" s="93"/>
      <c r="L11" s="90"/>
      <c r="N11" s="86"/>
      <c r="O11" s="88"/>
      <c r="P11" s="93"/>
      <c r="Q11" s="90"/>
    </row>
    <row r="12" hidden="1" outlineLevel="1">
      <c r="A12" s="86">
        <v>45238.0</v>
      </c>
      <c r="B12" s="88">
        <f t="shared" si="4"/>
        <v>45238</v>
      </c>
      <c r="C12" s="91" t="s">
        <v>118</v>
      </c>
      <c r="D12" s="91" t="s">
        <v>119</v>
      </c>
      <c r="E12" s="93">
        <v>155.0</v>
      </c>
      <c r="F12" s="91" t="s">
        <v>153</v>
      </c>
      <c r="G12" s="90"/>
      <c r="I12" s="86"/>
      <c r="J12" s="88"/>
      <c r="K12" s="93"/>
      <c r="L12" s="90"/>
      <c r="N12" s="86"/>
      <c r="O12" s="88"/>
      <c r="P12" s="93"/>
      <c r="Q12" s="90"/>
    </row>
    <row r="13" hidden="1" outlineLevel="1">
      <c r="A13" s="86">
        <v>45239.0</v>
      </c>
      <c r="B13" s="88">
        <f t="shared" si="4"/>
        <v>45239</v>
      </c>
      <c r="C13" s="91" t="s">
        <v>118</v>
      </c>
      <c r="D13" s="91" t="s">
        <v>119</v>
      </c>
      <c r="E13" s="93">
        <v>91.0</v>
      </c>
      <c r="F13" s="91" t="s">
        <v>154</v>
      </c>
      <c r="G13" s="90"/>
      <c r="I13" s="86"/>
      <c r="J13" s="88"/>
      <c r="K13" s="92"/>
      <c r="L13" s="90"/>
      <c r="N13" s="86"/>
      <c r="O13" s="88"/>
      <c r="P13" s="92"/>
      <c r="Q13" s="90"/>
    </row>
    <row r="14" hidden="1" outlineLevel="1">
      <c r="A14" s="86">
        <v>45240.0</v>
      </c>
      <c r="B14" s="88">
        <f t="shared" si="4"/>
        <v>45240</v>
      </c>
      <c r="C14" s="91" t="s">
        <v>118</v>
      </c>
      <c r="D14" s="91" t="s">
        <v>64</v>
      </c>
      <c r="E14" s="93">
        <v>113.0</v>
      </c>
      <c r="F14" s="91" t="s">
        <v>134</v>
      </c>
      <c r="G14" s="90"/>
      <c r="I14" s="86"/>
      <c r="J14" s="88"/>
      <c r="K14" s="92"/>
      <c r="L14" s="90"/>
      <c r="N14" s="86"/>
      <c r="O14" s="88"/>
      <c r="P14" s="92"/>
      <c r="Q14" s="90"/>
    </row>
    <row r="15" hidden="1" outlineLevel="1">
      <c r="A15" s="101">
        <v>10.0</v>
      </c>
      <c r="B15" s="101" t="s">
        <v>160</v>
      </c>
      <c r="C15" s="100" t="s">
        <v>136</v>
      </c>
      <c r="D15" s="100" t="s">
        <v>161</v>
      </c>
      <c r="E15" s="99">
        <v>2750.0</v>
      </c>
      <c r="F15" s="100" t="s">
        <v>162</v>
      </c>
      <c r="G15" s="100" t="s">
        <v>163</v>
      </c>
      <c r="I15" s="86"/>
      <c r="J15" s="88"/>
      <c r="K15" s="92"/>
      <c r="L15" s="90"/>
      <c r="N15" s="86"/>
      <c r="O15" s="88"/>
      <c r="P15" s="92"/>
      <c r="Q15" s="90"/>
    </row>
    <row r="16" hidden="1" outlineLevel="1">
      <c r="A16" s="101">
        <v>11.0</v>
      </c>
      <c r="B16" s="101" t="s">
        <v>164</v>
      </c>
      <c r="C16" s="100" t="s">
        <v>136</v>
      </c>
      <c r="D16" s="100" t="s">
        <v>165</v>
      </c>
      <c r="E16" s="99">
        <v>669.0</v>
      </c>
      <c r="F16" s="100" t="s">
        <v>166</v>
      </c>
      <c r="G16" s="100" t="s">
        <v>168</v>
      </c>
      <c r="I16" s="86"/>
      <c r="J16" s="88"/>
      <c r="K16" s="92"/>
      <c r="L16" s="90"/>
      <c r="N16" s="86"/>
      <c r="O16" s="88"/>
      <c r="P16" s="92"/>
      <c r="Q16" s="90"/>
    </row>
    <row r="17" hidden="1" outlineLevel="1">
      <c r="A17" s="102">
        <v>45242.0</v>
      </c>
      <c r="B17" s="97">
        <f>A17</f>
        <v>45242</v>
      </c>
      <c r="C17" s="91" t="s">
        <v>118</v>
      </c>
      <c r="D17" s="90" t="s">
        <v>64</v>
      </c>
      <c r="E17" s="93">
        <v>620.0</v>
      </c>
      <c r="F17" s="91" t="s">
        <v>175</v>
      </c>
      <c r="G17" s="90"/>
      <c r="I17" s="86"/>
      <c r="J17" s="88"/>
      <c r="K17" s="92"/>
      <c r="L17" s="90"/>
      <c r="N17" s="86"/>
      <c r="O17" s="88"/>
      <c r="P17" s="92"/>
      <c r="Q17" s="90"/>
    </row>
    <row r="18" hidden="1" outlineLevel="1">
      <c r="A18" s="10"/>
      <c r="B18" s="10"/>
      <c r="C18" s="91" t="s">
        <v>136</v>
      </c>
      <c r="D18" s="91" t="s">
        <v>178</v>
      </c>
      <c r="E18" s="93">
        <v>650.0</v>
      </c>
      <c r="F18" s="91" t="s">
        <v>179</v>
      </c>
      <c r="G18" s="90"/>
      <c r="I18" s="86"/>
      <c r="J18" s="88"/>
      <c r="K18" s="92"/>
      <c r="L18" s="90"/>
      <c r="N18" s="86"/>
      <c r="O18" s="88"/>
      <c r="P18" s="92"/>
      <c r="Q18" s="90"/>
    </row>
    <row r="19" hidden="1" outlineLevel="1">
      <c r="A19" s="86">
        <v>45243.0</v>
      </c>
      <c r="B19" s="88">
        <f t="shared" ref="B19:B25" si="5">A19</f>
        <v>45243</v>
      </c>
      <c r="C19" s="91" t="s">
        <v>118</v>
      </c>
      <c r="D19" s="91" t="s">
        <v>119</v>
      </c>
      <c r="E19" s="93">
        <v>200.0</v>
      </c>
      <c r="F19" s="91" t="s">
        <v>181</v>
      </c>
      <c r="G19" s="90"/>
      <c r="I19" s="86"/>
      <c r="J19" s="88"/>
      <c r="K19" s="92"/>
      <c r="L19" s="90"/>
      <c r="N19" s="86"/>
      <c r="O19" s="88"/>
      <c r="P19" s="92"/>
      <c r="Q19" s="90"/>
    </row>
    <row r="20" hidden="1" outlineLevel="1">
      <c r="A20" s="86">
        <v>45244.0</v>
      </c>
      <c r="B20" s="88">
        <f t="shared" si="5"/>
        <v>45244</v>
      </c>
      <c r="C20" s="91" t="s">
        <v>118</v>
      </c>
      <c r="D20" s="91" t="s">
        <v>183</v>
      </c>
      <c r="E20" s="93">
        <v>90.0</v>
      </c>
      <c r="F20" s="91" t="s">
        <v>184</v>
      </c>
      <c r="G20" s="90"/>
      <c r="I20" s="86"/>
      <c r="J20" s="88"/>
      <c r="K20" s="92"/>
      <c r="L20" s="90"/>
      <c r="N20" s="86"/>
      <c r="O20" s="88"/>
      <c r="P20" s="92"/>
      <c r="Q20" s="90"/>
    </row>
    <row r="21" hidden="1" outlineLevel="1">
      <c r="A21" s="86">
        <v>45245.0</v>
      </c>
      <c r="B21" s="88">
        <f t="shared" si="5"/>
        <v>45245</v>
      </c>
      <c r="C21" s="91" t="s">
        <v>118</v>
      </c>
      <c r="D21" s="91" t="s">
        <v>119</v>
      </c>
      <c r="E21" s="93">
        <v>239.0</v>
      </c>
      <c r="F21" s="91" t="s">
        <v>187</v>
      </c>
      <c r="G21" s="90"/>
      <c r="I21" s="86"/>
      <c r="J21" s="88"/>
      <c r="K21" s="92"/>
      <c r="L21" s="90"/>
      <c r="N21" s="86"/>
      <c r="O21" s="88"/>
      <c r="P21" s="92"/>
      <c r="Q21" s="90"/>
    </row>
    <row r="22" hidden="1" outlineLevel="1">
      <c r="A22" s="86">
        <v>45246.0</v>
      </c>
      <c r="B22" s="88">
        <f t="shared" si="5"/>
        <v>45246</v>
      </c>
      <c r="C22" s="91" t="s">
        <v>118</v>
      </c>
      <c r="D22" s="91" t="s">
        <v>119</v>
      </c>
      <c r="E22" s="93">
        <v>118.0</v>
      </c>
      <c r="F22" s="91" t="s">
        <v>189</v>
      </c>
      <c r="G22" s="90"/>
      <c r="I22" s="86"/>
      <c r="J22" s="88"/>
      <c r="K22" s="92"/>
      <c r="L22" s="90"/>
      <c r="N22" s="86"/>
      <c r="O22" s="88"/>
      <c r="P22" s="92"/>
      <c r="Q22" s="90"/>
    </row>
    <row r="23" hidden="1" outlineLevel="1">
      <c r="A23" s="86">
        <v>45247.0</v>
      </c>
      <c r="B23" s="88">
        <f t="shared" si="5"/>
        <v>45247</v>
      </c>
      <c r="C23" s="91" t="s">
        <v>118</v>
      </c>
      <c r="D23" s="91" t="s">
        <v>64</v>
      </c>
      <c r="E23" s="93">
        <v>90.0</v>
      </c>
      <c r="F23" s="91" t="s">
        <v>193</v>
      </c>
      <c r="G23" s="90"/>
      <c r="I23" s="86"/>
      <c r="J23" s="88"/>
      <c r="K23" s="92"/>
      <c r="L23" s="90"/>
      <c r="N23" s="86"/>
      <c r="O23" s="88"/>
      <c r="P23" s="92"/>
      <c r="Q23" s="90"/>
    </row>
    <row r="24" hidden="1" outlineLevel="1">
      <c r="A24" s="86">
        <v>45248.0</v>
      </c>
      <c r="B24" s="88">
        <f t="shared" si="5"/>
        <v>45248</v>
      </c>
      <c r="C24" s="91" t="s">
        <v>118</v>
      </c>
      <c r="D24" s="91" t="s">
        <v>194</v>
      </c>
      <c r="E24" s="93">
        <v>0.0</v>
      </c>
      <c r="F24" s="91" t="s">
        <v>194</v>
      </c>
      <c r="G24" s="90"/>
      <c r="I24" s="108" t="s">
        <v>195</v>
      </c>
      <c r="J24" s="109"/>
      <c r="K24" s="113">
        <f>SUM(K4:K23)</f>
        <v>319.55</v>
      </c>
      <c r="L24" s="114"/>
      <c r="N24" s="108" t="s">
        <v>195</v>
      </c>
      <c r="O24" s="109"/>
      <c r="P24" s="113">
        <f>SUM(P4:P23)</f>
        <v>700</v>
      </c>
      <c r="Q24" s="114"/>
    </row>
    <row r="25" hidden="1" outlineLevel="1">
      <c r="A25" s="102">
        <v>45249.0</v>
      </c>
      <c r="B25" s="97">
        <f t="shared" si="5"/>
        <v>45249</v>
      </c>
      <c r="C25" s="91" t="s">
        <v>118</v>
      </c>
      <c r="D25" s="91" t="s">
        <v>64</v>
      </c>
      <c r="E25" s="93">
        <v>610.0</v>
      </c>
      <c r="F25" s="91" t="s">
        <v>197</v>
      </c>
      <c r="G25" s="90"/>
    </row>
    <row r="26" hidden="1" outlineLevel="1">
      <c r="A26" s="10"/>
      <c r="B26" s="10"/>
      <c r="C26" s="91" t="s">
        <v>136</v>
      </c>
      <c r="D26" s="91" t="s">
        <v>199</v>
      </c>
      <c r="E26" s="93">
        <v>920.0</v>
      </c>
      <c r="F26" s="91" t="s">
        <v>200</v>
      </c>
      <c r="G26" s="90"/>
    </row>
    <row r="27" hidden="1" outlineLevel="1">
      <c r="A27" s="86">
        <v>45250.0</v>
      </c>
      <c r="B27" s="88">
        <f t="shared" ref="B27:B33" si="6">A27</f>
        <v>45250</v>
      </c>
      <c r="C27" s="91" t="s">
        <v>118</v>
      </c>
      <c r="D27" s="91" t="s">
        <v>119</v>
      </c>
      <c r="E27" s="93">
        <v>113.0</v>
      </c>
      <c r="F27" s="91" t="s">
        <v>202</v>
      </c>
      <c r="G27" s="90"/>
    </row>
    <row r="28" hidden="1" outlineLevel="1">
      <c r="A28" s="86">
        <v>45251.0</v>
      </c>
      <c r="B28" s="88">
        <f t="shared" si="6"/>
        <v>45251</v>
      </c>
      <c r="C28" s="91" t="s">
        <v>118</v>
      </c>
      <c r="D28" s="90"/>
      <c r="E28" s="93">
        <v>70.0</v>
      </c>
      <c r="F28" s="91" t="s">
        <v>203</v>
      </c>
      <c r="G28" s="90"/>
    </row>
    <row r="29" hidden="1" outlineLevel="1">
      <c r="A29" s="86">
        <v>45252.0</v>
      </c>
      <c r="B29" s="88">
        <f t="shared" si="6"/>
        <v>45252</v>
      </c>
      <c r="C29" s="91" t="s">
        <v>118</v>
      </c>
      <c r="D29" s="91" t="s">
        <v>119</v>
      </c>
      <c r="E29" s="93">
        <v>134.0</v>
      </c>
      <c r="F29" s="91" t="s">
        <v>204</v>
      </c>
      <c r="G29" s="90"/>
    </row>
    <row r="30" hidden="1" outlineLevel="1">
      <c r="A30" s="86">
        <v>45253.0</v>
      </c>
      <c r="B30" s="88">
        <f t="shared" si="6"/>
        <v>45253</v>
      </c>
      <c r="C30" s="91" t="s">
        <v>118</v>
      </c>
      <c r="D30" s="91" t="s">
        <v>119</v>
      </c>
      <c r="E30" s="93">
        <v>47.0</v>
      </c>
      <c r="F30" s="91" t="s">
        <v>205</v>
      </c>
      <c r="G30" s="90"/>
    </row>
    <row r="31" hidden="1" outlineLevel="1">
      <c r="A31" s="86">
        <v>45254.0</v>
      </c>
      <c r="B31" s="88">
        <f t="shared" si="6"/>
        <v>45254</v>
      </c>
      <c r="C31" s="91" t="s">
        <v>118</v>
      </c>
      <c r="D31" s="91" t="s">
        <v>64</v>
      </c>
      <c r="E31" s="93">
        <v>61.0</v>
      </c>
      <c r="F31" s="91" t="s">
        <v>207</v>
      </c>
      <c r="G31" s="90"/>
    </row>
    <row r="32" hidden="1" outlineLevel="1">
      <c r="A32" s="86">
        <v>45255.0</v>
      </c>
      <c r="B32" s="88">
        <f t="shared" si="6"/>
        <v>45255</v>
      </c>
      <c r="C32" s="91" t="s">
        <v>118</v>
      </c>
      <c r="D32" s="91" t="s">
        <v>209</v>
      </c>
      <c r="E32" s="93">
        <v>120.0</v>
      </c>
      <c r="F32" s="91" t="s">
        <v>210</v>
      </c>
      <c r="G32" s="91" t="s">
        <v>211</v>
      </c>
    </row>
    <row r="33" hidden="1" outlineLevel="1">
      <c r="A33" s="102">
        <v>45256.0</v>
      </c>
      <c r="B33" s="97">
        <f t="shared" si="6"/>
        <v>45256</v>
      </c>
      <c r="C33" s="91" t="s">
        <v>118</v>
      </c>
      <c r="D33" s="91" t="s">
        <v>214</v>
      </c>
      <c r="E33" s="93">
        <v>594.0</v>
      </c>
      <c r="F33" s="91" t="s">
        <v>215</v>
      </c>
      <c r="G33" s="90"/>
    </row>
    <row r="34" hidden="1" outlineLevel="1">
      <c r="A34" s="10"/>
      <c r="B34" s="10"/>
      <c r="C34" s="91" t="s">
        <v>136</v>
      </c>
      <c r="D34" s="91" t="s">
        <v>209</v>
      </c>
      <c r="E34" s="93">
        <v>664.0</v>
      </c>
      <c r="F34" s="91" t="s">
        <v>217</v>
      </c>
      <c r="G34" s="90"/>
    </row>
    <row r="35" hidden="1" outlineLevel="1">
      <c r="A35" s="86">
        <v>45257.0</v>
      </c>
      <c r="B35" s="88">
        <f t="shared" ref="B35:B38" si="7">A35</f>
        <v>45257</v>
      </c>
      <c r="C35" s="91" t="s">
        <v>118</v>
      </c>
      <c r="D35" s="91" t="s">
        <v>119</v>
      </c>
      <c r="E35" s="93">
        <v>55.0</v>
      </c>
      <c r="F35" s="91" t="s">
        <v>181</v>
      </c>
      <c r="G35" s="90"/>
    </row>
    <row r="36" hidden="1" outlineLevel="1">
      <c r="A36" s="86">
        <v>45258.0</v>
      </c>
      <c r="B36" s="88">
        <f t="shared" si="7"/>
        <v>45258</v>
      </c>
      <c r="C36" s="91" t="s">
        <v>118</v>
      </c>
      <c r="D36" s="91" t="s">
        <v>119</v>
      </c>
      <c r="E36" s="93">
        <v>120.0</v>
      </c>
      <c r="F36" s="91" t="s">
        <v>218</v>
      </c>
      <c r="G36" s="90"/>
    </row>
    <row r="37" hidden="1" outlineLevel="1">
      <c r="A37" s="86">
        <v>45259.0</v>
      </c>
      <c r="B37" s="88">
        <f t="shared" si="7"/>
        <v>45259</v>
      </c>
      <c r="C37" s="91" t="s">
        <v>118</v>
      </c>
      <c r="D37" s="91" t="s">
        <v>209</v>
      </c>
      <c r="E37" s="93">
        <v>107.0</v>
      </c>
      <c r="F37" s="91" t="s">
        <v>219</v>
      </c>
      <c r="G37" s="90"/>
    </row>
    <row r="38" hidden="1" outlineLevel="1">
      <c r="A38" s="86">
        <v>45260.0</v>
      </c>
      <c r="B38" s="88">
        <f t="shared" si="7"/>
        <v>45260</v>
      </c>
      <c r="C38" s="91" t="s">
        <v>118</v>
      </c>
      <c r="D38" s="91" t="s">
        <v>209</v>
      </c>
      <c r="E38" s="93">
        <v>121.0</v>
      </c>
      <c r="F38" s="91" t="s">
        <v>221</v>
      </c>
      <c r="G38" s="90"/>
    </row>
    <row r="39" ht="14.25" hidden="1" customHeight="1" outlineLevel="1">
      <c r="A39" s="117" t="s">
        <v>195</v>
      </c>
      <c r="B39" s="27"/>
      <c r="C39" s="27"/>
      <c r="D39" s="28"/>
      <c r="E39" s="118">
        <f>SUM(E4:E38)</f>
        <v>12349</v>
      </c>
      <c r="F39" s="119"/>
      <c r="G39" s="28"/>
    </row>
    <row r="40" ht="14.25" hidden="1" customHeight="1" outlineLevel="1">
      <c r="E40" s="120"/>
    </row>
    <row r="41" ht="14.25" hidden="1" customHeight="1" outlineLevel="1">
      <c r="A41" s="122" t="s">
        <v>196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3"/>
      <c r="R41" s="124"/>
    </row>
    <row r="42" ht="14.25" hidden="1" customHeight="1" outlineLevel="2">
      <c r="A42" s="70" t="s">
        <v>90</v>
      </c>
      <c r="I42" s="72" t="s">
        <v>91</v>
      </c>
      <c r="J42" s="73"/>
      <c r="K42" s="73"/>
      <c r="L42" s="74"/>
      <c r="N42" s="72" t="s">
        <v>95</v>
      </c>
      <c r="O42" s="73"/>
      <c r="P42" s="73"/>
      <c r="Q42" s="74"/>
    </row>
    <row r="43" ht="14.25" hidden="1" customHeight="1" outlineLevel="2">
      <c r="A43" s="81" t="s">
        <v>6</v>
      </c>
      <c r="B43" s="84" t="s">
        <v>103</v>
      </c>
      <c r="C43" s="81" t="s">
        <v>104</v>
      </c>
      <c r="D43" s="81" t="s">
        <v>107</v>
      </c>
      <c r="E43" s="81" t="s">
        <v>109</v>
      </c>
      <c r="F43" s="84" t="s">
        <v>110</v>
      </c>
      <c r="G43" s="81" t="s">
        <v>13</v>
      </c>
      <c r="I43" s="81" t="s">
        <v>6</v>
      </c>
      <c r="J43" s="84" t="s">
        <v>115</v>
      </c>
      <c r="K43" s="84" t="s">
        <v>9</v>
      </c>
      <c r="L43" s="81" t="s">
        <v>13</v>
      </c>
      <c r="N43" s="81" t="s">
        <v>6</v>
      </c>
      <c r="O43" s="84" t="s">
        <v>115</v>
      </c>
      <c r="P43" s="84" t="s">
        <v>9</v>
      </c>
      <c r="Q43" s="81" t="s">
        <v>13</v>
      </c>
    </row>
    <row r="44" ht="14.25" hidden="1" customHeight="1" outlineLevel="2">
      <c r="A44" s="125">
        <v>45261.0</v>
      </c>
      <c r="B44" s="126">
        <f t="shared" ref="B44:B45" si="8">A44</f>
        <v>45261</v>
      </c>
      <c r="C44" s="127" t="s">
        <v>118</v>
      </c>
      <c r="D44" s="129" t="s">
        <v>236</v>
      </c>
      <c r="E44" s="130">
        <v>170.0</v>
      </c>
      <c r="F44" s="129" t="s">
        <v>237</v>
      </c>
      <c r="G44" s="127"/>
      <c r="I44" s="86">
        <v>45264.0</v>
      </c>
      <c r="J44" s="88">
        <f t="shared" ref="J44:J51" si="9">I44</f>
        <v>45264</v>
      </c>
      <c r="K44" s="93">
        <v>19.75</v>
      </c>
      <c r="L44" s="90"/>
      <c r="N44" s="94"/>
      <c r="O44" s="94"/>
      <c r="P44" s="93"/>
      <c r="Q44" s="91"/>
    </row>
    <row r="45" ht="14.25" hidden="1" customHeight="1" outlineLevel="2">
      <c r="A45" s="102">
        <v>45263.0</v>
      </c>
      <c r="B45" s="97">
        <f t="shared" si="8"/>
        <v>45263</v>
      </c>
      <c r="C45" s="127" t="s">
        <v>118</v>
      </c>
      <c r="D45" s="129" t="s">
        <v>242</v>
      </c>
      <c r="E45" s="130">
        <v>561.0</v>
      </c>
      <c r="F45" s="129" t="s">
        <v>243</v>
      </c>
      <c r="G45" s="127"/>
      <c r="I45" s="86">
        <v>45266.0</v>
      </c>
      <c r="J45" s="88">
        <f t="shared" si="9"/>
        <v>45266</v>
      </c>
      <c r="K45" s="93">
        <v>39.0</v>
      </c>
      <c r="L45" s="90"/>
      <c r="N45" s="86"/>
      <c r="O45" s="88" t="str">
        <f>N45</f>
        <v/>
      </c>
      <c r="P45" s="93"/>
      <c r="Q45" s="90"/>
    </row>
    <row r="46" ht="14.25" hidden="1" customHeight="1" outlineLevel="2">
      <c r="A46" s="10"/>
      <c r="B46" s="58"/>
      <c r="C46" s="127" t="s">
        <v>136</v>
      </c>
      <c r="D46" s="129" t="s">
        <v>119</v>
      </c>
      <c r="E46" s="130">
        <v>585.0</v>
      </c>
      <c r="F46" s="129" t="s">
        <v>246</v>
      </c>
      <c r="G46" s="129"/>
      <c r="I46" s="86">
        <v>45268.0</v>
      </c>
      <c r="J46" s="88">
        <f t="shared" si="9"/>
        <v>45268</v>
      </c>
      <c r="K46" s="93">
        <v>29.55</v>
      </c>
      <c r="L46" s="90"/>
      <c r="N46" s="86"/>
      <c r="O46" s="88"/>
      <c r="P46" s="93"/>
      <c r="Q46" s="90"/>
    </row>
    <row r="47" ht="14.25" hidden="1" customHeight="1" outlineLevel="2">
      <c r="A47" s="86">
        <v>45264.0</v>
      </c>
      <c r="B47" s="126">
        <f t="shared" ref="B47:B52" si="10">A47</f>
        <v>45264</v>
      </c>
      <c r="C47" s="127" t="s">
        <v>136</v>
      </c>
      <c r="E47" s="130">
        <v>90.0</v>
      </c>
      <c r="F47" s="129" t="s">
        <v>250</v>
      </c>
      <c r="G47" s="129"/>
      <c r="I47" s="86">
        <v>45272.0</v>
      </c>
      <c r="J47" s="88">
        <f t="shared" si="9"/>
        <v>45272</v>
      </c>
      <c r="K47" s="93">
        <v>59.7</v>
      </c>
      <c r="L47" s="90"/>
      <c r="N47" s="86"/>
      <c r="O47" s="88" t="str">
        <f>N47</f>
        <v/>
      </c>
      <c r="P47" s="93"/>
      <c r="Q47" s="90"/>
    </row>
    <row r="48" ht="14.25" hidden="1" customHeight="1" outlineLevel="2">
      <c r="A48" s="86">
        <v>45265.0</v>
      </c>
      <c r="B48" s="126">
        <f t="shared" si="10"/>
        <v>45265</v>
      </c>
      <c r="C48" s="129" t="s">
        <v>118</v>
      </c>
      <c r="D48" s="129" t="s">
        <v>236</v>
      </c>
      <c r="E48" s="130">
        <v>72.0</v>
      </c>
      <c r="F48" s="129" t="s">
        <v>253</v>
      </c>
      <c r="G48" s="127"/>
      <c r="I48" s="86">
        <v>45277.0</v>
      </c>
      <c r="J48" s="88">
        <f t="shared" si="9"/>
        <v>45277</v>
      </c>
      <c r="K48" s="93">
        <v>58.3</v>
      </c>
      <c r="L48" s="90"/>
      <c r="N48" s="86"/>
      <c r="O48" s="88"/>
      <c r="P48" s="93"/>
      <c r="Q48" s="90"/>
    </row>
    <row r="49" ht="14.25" hidden="1" customHeight="1" outlineLevel="2">
      <c r="A49" s="86">
        <v>45266.0</v>
      </c>
      <c r="B49" s="126">
        <f t="shared" si="10"/>
        <v>45266</v>
      </c>
      <c r="C49" s="129" t="s">
        <v>136</v>
      </c>
      <c r="D49" s="129" t="s">
        <v>119</v>
      </c>
      <c r="E49" s="130">
        <v>179.0</v>
      </c>
      <c r="F49" s="129" t="s">
        <v>219</v>
      </c>
      <c r="G49" s="127"/>
      <c r="I49" s="86">
        <v>45280.0</v>
      </c>
      <c r="J49" s="88">
        <f t="shared" si="9"/>
        <v>45280</v>
      </c>
      <c r="K49" s="93">
        <v>47.5</v>
      </c>
      <c r="L49" s="90"/>
      <c r="N49" s="86"/>
      <c r="O49" s="88"/>
      <c r="P49" s="93"/>
      <c r="Q49" s="90"/>
    </row>
    <row r="50" ht="14.25" hidden="1" customHeight="1" outlineLevel="2">
      <c r="A50" s="86">
        <v>45267.0</v>
      </c>
      <c r="B50" s="126">
        <f t="shared" si="10"/>
        <v>45267</v>
      </c>
      <c r="C50" s="129" t="s">
        <v>118</v>
      </c>
      <c r="D50" s="129" t="s">
        <v>119</v>
      </c>
      <c r="E50" s="130">
        <v>69.0</v>
      </c>
      <c r="F50" s="129" t="s">
        <v>257</v>
      </c>
      <c r="G50" s="127"/>
      <c r="I50" s="86">
        <v>45286.0</v>
      </c>
      <c r="J50" s="88">
        <f t="shared" si="9"/>
        <v>45286</v>
      </c>
      <c r="K50" s="93">
        <v>72.45</v>
      </c>
      <c r="L50" s="90"/>
      <c r="N50" s="86"/>
      <c r="O50" s="88"/>
      <c r="P50" s="93"/>
      <c r="Q50" s="90"/>
    </row>
    <row r="51" ht="14.25" hidden="1" customHeight="1" outlineLevel="2">
      <c r="A51" s="86">
        <v>45268.0</v>
      </c>
      <c r="B51" s="126">
        <f t="shared" si="10"/>
        <v>45268</v>
      </c>
      <c r="C51" s="129" t="s">
        <v>118</v>
      </c>
      <c r="D51" s="129" t="s">
        <v>236</v>
      </c>
      <c r="E51" s="130">
        <v>255.0</v>
      </c>
      <c r="F51" s="129" t="s">
        <v>260</v>
      </c>
      <c r="G51" s="127"/>
      <c r="I51" s="86">
        <v>45288.0</v>
      </c>
      <c r="J51" s="88">
        <f t="shared" si="9"/>
        <v>45288</v>
      </c>
      <c r="K51" s="93">
        <v>120.0</v>
      </c>
      <c r="L51" s="90"/>
      <c r="N51" s="86"/>
      <c r="O51" s="88"/>
      <c r="P51" s="93"/>
      <c r="Q51" s="90"/>
    </row>
    <row r="52" ht="14.25" hidden="1" customHeight="1" outlineLevel="2">
      <c r="A52" s="102">
        <v>45270.0</v>
      </c>
      <c r="B52" s="97">
        <f t="shared" si="10"/>
        <v>45270</v>
      </c>
      <c r="C52" s="129" t="s">
        <v>118</v>
      </c>
      <c r="D52" s="129" t="s">
        <v>265</v>
      </c>
      <c r="E52" s="130">
        <v>637.0</v>
      </c>
      <c r="F52" s="129" t="s">
        <v>266</v>
      </c>
      <c r="G52" s="127"/>
      <c r="I52" s="86"/>
      <c r="J52" s="88"/>
      <c r="K52" s="92"/>
      <c r="L52" s="90"/>
      <c r="N52" s="86"/>
      <c r="O52" s="88"/>
      <c r="P52" s="92"/>
      <c r="Q52" s="90"/>
    </row>
    <row r="53" ht="14.25" hidden="1" customHeight="1" outlineLevel="2">
      <c r="A53" s="10"/>
      <c r="B53" s="10"/>
      <c r="C53" s="129" t="s">
        <v>136</v>
      </c>
      <c r="D53" s="127"/>
      <c r="E53" s="130">
        <v>1072.0</v>
      </c>
      <c r="F53" s="129" t="s">
        <v>268</v>
      </c>
      <c r="G53" s="127"/>
      <c r="I53" s="86"/>
      <c r="J53" s="88"/>
      <c r="K53" s="92"/>
      <c r="L53" s="90"/>
      <c r="N53" s="86"/>
      <c r="O53" s="88"/>
      <c r="P53" s="92"/>
      <c r="Q53" s="90"/>
    </row>
    <row r="54" ht="14.25" hidden="1" customHeight="1" outlineLevel="2">
      <c r="A54" s="86">
        <v>45271.0</v>
      </c>
      <c r="B54" s="126">
        <f t="shared" ref="B54:B56" si="11">A54</f>
        <v>45271</v>
      </c>
      <c r="C54" s="129" t="s">
        <v>118</v>
      </c>
      <c r="D54" s="129" t="s">
        <v>119</v>
      </c>
      <c r="E54" s="130">
        <v>120.0</v>
      </c>
      <c r="F54" s="129" t="s">
        <v>181</v>
      </c>
      <c r="G54" s="127"/>
      <c r="I54" s="86"/>
      <c r="J54" s="88"/>
      <c r="K54" s="92"/>
      <c r="L54" s="90"/>
      <c r="N54" s="86"/>
      <c r="O54" s="88"/>
      <c r="P54" s="92"/>
      <c r="Q54" s="90"/>
    </row>
    <row r="55" ht="14.25" hidden="1" customHeight="1" outlineLevel="2">
      <c r="A55" s="86">
        <v>45272.0</v>
      </c>
      <c r="B55" s="126">
        <f t="shared" si="11"/>
        <v>45272</v>
      </c>
      <c r="C55" s="129" t="s">
        <v>136</v>
      </c>
      <c r="D55" s="129" t="s">
        <v>236</v>
      </c>
      <c r="E55" s="130">
        <v>150.0</v>
      </c>
      <c r="F55" s="129" t="s">
        <v>203</v>
      </c>
      <c r="G55" s="129"/>
      <c r="I55" s="86"/>
      <c r="J55" s="88"/>
      <c r="K55" s="92"/>
      <c r="L55" s="90"/>
      <c r="N55" s="86"/>
      <c r="O55" s="88"/>
      <c r="P55" s="92"/>
      <c r="Q55" s="90"/>
    </row>
    <row r="56" ht="14.25" hidden="1" customHeight="1" outlineLevel="2">
      <c r="A56" s="138">
        <v>45273.0</v>
      </c>
      <c r="B56" s="97">
        <f t="shared" si="11"/>
        <v>45273</v>
      </c>
      <c r="C56" s="129" t="s">
        <v>118</v>
      </c>
      <c r="D56" s="129" t="s">
        <v>119</v>
      </c>
      <c r="E56" s="130">
        <v>113.0</v>
      </c>
      <c r="F56" s="129" t="s">
        <v>134</v>
      </c>
      <c r="G56" s="129"/>
      <c r="I56" s="86"/>
      <c r="J56" s="88"/>
      <c r="K56" s="92"/>
      <c r="L56" s="90"/>
      <c r="N56" s="86"/>
      <c r="O56" s="88"/>
      <c r="P56" s="92"/>
      <c r="Q56" s="90"/>
    </row>
    <row r="57" ht="14.25" hidden="1" customHeight="1" outlineLevel="2">
      <c r="A57" s="10"/>
      <c r="B57" s="10"/>
      <c r="C57" s="129" t="s">
        <v>136</v>
      </c>
      <c r="D57" s="129" t="s">
        <v>272</v>
      </c>
      <c r="E57" s="130">
        <v>290.6</v>
      </c>
      <c r="F57" s="129" t="s">
        <v>273</v>
      </c>
      <c r="G57" s="127"/>
      <c r="I57" s="86"/>
      <c r="J57" s="88"/>
      <c r="K57" s="92"/>
      <c r="L57" s="90"/>
      <c r="N57" s="86"/>
      <c r="O57" s="88"/>
      <c r="P57" s="92"/>
      <c r="Q57" s="90"/>
    </row>
    <row r="58" ht="14.25" hidden="1" customHeight="1" outlineLevel="2">
      <c r="A58" s="86">
        <v>45274.0</v>
      </c>
      <c r="B58" s="126">
        <f t="shared" ref="B58:B60" si="12">A58</f>
        <v>45274</v>
      </c>
      <c r="C58" s="129" t="s">
        <v>118</v>
      </c>
      <c r="D58" s="129" t="s">
        <v>119</v>
      </c>
      <c r="E58" s="130">
        <v>112.0</v>
      </c>
      <c r="F58" s="129" t="s">
        <v>276</v>
      </c>
      <c r="G58" s="127"/>
      <c r="I58" s="86"/>
      <c r="J58" s="88"/>
      <c r="K58" s="92"/>
      <c r="L58" s="90"/>
      <c r="N58" s="86"/>
      <c r="O58" s="88"/>
      <c r="P58" s="92"/>
      <c r="Q58" s="90"/>
    </row>
    <row r="59" ht="14.25" hidden="1" customHeight="1" outlineLevel="2">
      <c r="A59" s="86">
        <v>45275.0</v>
      </c>
      <c r="B59" s="126">
        <f t="shared" si="12"/>
        <v>45275</v>
      </c>
      <c r="C59" s="129" t="s">
        <v>136</v>
      </c>
      <c r="D59" s="129" t="s">
        <v>236</v>
      </c>
      <c r="E59" s="130">
        <v>132.0</v>
      </c>
      <c r="F59" s="129" t="s">
        <v>278</v>
      </c>
      <c r="G59" s="127"/>
      <c r="I59" s="86"/>
      <c r="J59" s="88"/>
      <c r="K59" s="92"/>
      <c r="L59" s="90"/>
      <c r="N59" s="86"/>
      <c r="O59" s="88"/>
      <c r="P59" s="92"/>
      <c r="Q59" s="90"/>
    </row>
    <row r="60" ht="14.25" hidden="1" customHeight="1" outlineLevel="2">
      <c r="A60" s="102">
        <v>45277.0</v>
      </c>
      <c r="B60" s="97">
        <f t="shared" si="12"/>
        <v>45277</v>
      </c>
      <c r="C60" s="129" t="s">
        <v>118</v>
      </c>
      <c r="D60" s="129" t="s">
        <v>282</v>
      </c>
      <c r="E60" s="130">
        <v>625.0</v>
      </c>
      <c r="F60" s="129" t="s">
        <v>283</v>
      </c>
      <c r="G60" s="127"/>
      <c r="I60" s="86"/>
      <c r="J60" s="88"/>
      <c r="K60" s="92"/>
      <c r="L60" s="90"/>
      <c r="N60" s="86"/>
      <c r="O60" s="88"/>
      <c r="P60" s="92"/>
      <c r="Q60" s="90"/>
    </row>
    <row r="61" ht="14.25" hidden="1" customHeight="1" outlineLevel="2">
      <c r="A61" s="10"/>
      <c r="B61" s="10"/>
      <c r="C61" s="129" t="s">
        <v>136</v>
      </c>
      <c r="D61" s="129" t="s">
        <v>214</v>
      </c>
      <c r="E61" s="130">
        <v>751.0</v>
      </c>
      <c r="F61" s="129" t="s">
        <v>285</v>
      </c>
      <c r="G61" s="127"/>
      <c r="I61" s="86"/>
      <c r="J61" s="88"/>
      <c r="K61" s="92"/>
      <c r="L61" s="90"/>
      <c r="N61" s="86"/>
      <c r="O61" s="88"/>
      <c r="P61" s="92"/>
      <c r="Q61" s="90"/>
    </row>
    <row r="62" ht="14.25" hidden="1" customHeight="1" outlineLevel="2">
      <c r="A62" s="86">
        <v>45278.0</v>
      </c>
      <c r="B62" s="126">
        <f t="shared" ref="B62:B68" si="13">A62</f>
        <v>45278</v>
      </c>
      <c r="C62" s="129" t="s">
        <v>118</v>
      </c>
      <c r="D62" s="129" t="s">
        <v>119</v>
      </c>
      <c r="E62" s="130">
        <v>102.0</v>
      </c>
      <c r="F62" s="129" t="s">
        <v>287</v>
      </c>
      <c r="G62" s="127"/>
      <c r="I62" s="86"/>
      <c r="J62" s="88"/>
      <c r="K62" s="92"/>
      <c r="L62" s="90"/>
      <c r="N62" s="86"/>
      <c r="O62" s="88"/>
      <c r="P62" s="92"/>
      <c r="Q62" s="90"/>
    </row>
    <row r="63" ht="14.25" hidden="1" customHeight="1" outlineLevel="2">
      <c r="A63" s="86">
        <v>45279.0</v>
      </c>
      <c r="B63" s="126">
        <f t="shared" si="13"/>
        <v>45279</v>
      </c>
      <c r="C63" s="129" t="s">
        <v>118</v>
      </c>
      <c r="D63" s="129" t="s">
        <v>236</v>
      </c>
      <c r="E63" s="130">
        <v>104.0</v>
      </c>
      <c r="F63" s="129" t="s">
        <v>218</v>
      </c>
      <c r="G63" s="127"/>
      <c r="I63" s="86"/>
      <c r="J63" s="88"/>
      <c r="K63" s="92"/>
      <c r="L63" s="90"/>
      <c r="N63" s="86"/>
      <c r="O63" s="88"/>
      <c r="P63" s="92"/>
      <c r="Q63" s="90"/>
    </row>
    <row r="64" ht="14.25" hidden="1" customHeight="1" outlineLevel="2">
      <c r="A64" s="86">
        <v>45280.0</v>
      </c>
      <c r="B64" s="126">
        <f t="shared" si="13"/>
        <v>45280</v>
      </c>
      <c r="C64" s="129" t="s">
        <v>118</v>
      </c>
      <c r="D64" s="129" t="s">
        <v>119</v>
      </c>
      <c r="E64" s="130">
        <v>185.0</v>
      </c>
      <c r="F64" s="129" t="s">
        <v>288</v>
      </c>
      <c r="G64" s="127"/>
      <c r="I64" s="86"/>
      <c r="J64" s="88"/>
      <c r="K64" s="92"/>
      <c r="L64" s="90"/>
      <c r="N64" s="86"/>
      <c r="O64" s="88"/>
      <c r="P64" s="92"/>
      <c r="Q64" s="90"/>
    </row>
    <row r="65" ht="14.25" hidden="1" customHeight="1" outlineLevel="2">
      <c r="A65" s="86">
        <v>45281.0</v>
      </c>
      <c r="B65" s="126">
        <f t="shared" si="13"/>
        <v>45281</v>
      </c>
      <c r="C65" s="129" t="s">
        <v>118</v>
      </c>
      <c r="D65" s="129" t="s">
        <v>119</v>
      </c>
      <c r="E65" s="130">
        <v>81.0</v>
      </c>
      <c r="F65" s="129" t="s">
        <v>290</v>
      </c>
      <c r="G65" s="127"/>
      <c r="I65" s="108" t="s">
        <v>195</v>
      </c>
      <c r="J65" s="109"/>
      <c r="K65" s="113">
        <f>SUM(K44:K64)</f>
        <v>446.25</v>
      </c>
      <c r="L65" s="114"/>
      <c r="N65" s="108" t="s">
        <v>195</v>
      </c>
      <c r="O65" s="109"/>
      <c r="P65" s="113">
        <f>SUM(P44:P64)</f>
        <v>0</v>
      </c>
      <c r="Q65" s="114"/>
    </row>
    <row r="66" ht="14.25" hidden="1" customHeight="1" outlineLevel="2">
      <c r="A66" s="86">
        <v>45282.0</v>
      </c>
      <c r="B66" s="126">
        <f t="shared" si="13"/>
        <v>45282</v>
      </c>
      <c r="C66" s="129" t="s">
        <v>118</v>
      </c>
      <c r="D66" s="129" t="s">
        <v>236</v>
      </c>
      <c r="E66" s="130">
        <v>160.0</v>
      </c>
      <c r="F66" s="129" t="s">
        <v>295</v>
      </c>
      <c r="G66" s="127"/>
    </row>
    <row r="67" ht="14.25" hidden="1" customHeight="1" outlineLevel="2">
      <c r="A67" s="86">
        <v>45283.0</v>
      </c>
      <c r="B67" s="126">
        <f t="shared" si="13"/>
        <v>45283</v>
      </c>
      <c r="C67" s="129" t="s">
        <v>136</v>
      </c>
      <c r="D67" s="129" t="s">
        <v>296</v>
      </c>
      <c r="E67" s="130">
        <v>174.0</v>
      </c>
      <c r="F67" s="129" t="s">
        <v>297</v>
      </c>
      <c r="G67" s="127"/>
    </row>
    <row r="68" ht="14.25" hidden="1" customHeight="1" outlineLevel="2">
      <c r="A68" s="102">
        <v>45284.0</v>
      </c>
      <c r="B68" s="97">
        <f t="shared" si="13"/>
        <v>45284</v>
      </c>
      <c r="C68" s="129" t="s">
        <v>118</v>
      </c>
      <c r="D68" s="129" t="s">
        <v>296</v>
      </c>
      <c r="E68" s="130">
        <v>653.0</v>
      </c>
      <c r="F68" s="129" t="s">
        <v>298</v>
      </c>
      <c r="G68" s="127"/>
    </row>
    <row r="69" ht="14.25" hidden="1" customHeight="1" outlineLevel="2">
      <c r="A69" s="10"/>
      <c r="B69" s="10"/>
      <c r="C69" s="129" t="s">
        <v>136</v>
      </c>
      <c r="D69" s="129" t="s">
        <v>296</v>
      </c>
      <c r="E69" s="130">
        <v>900.0</v>
      </c>
      <c r="F69" s="129" t="s">
        <v>299</v>
      </c>
      <c r="G69" s="127"/>
    </row>
    <row r="70" ht="14.25" hidden="1" customHeight="1" outlineLevel="2">
      <c r="A70" s="86">
        <v>45285.0</v>
      </c>
      <c r="B70" s="126">
        <f t="shared" ref="B70:B75" si="14">A70</f>
        <v>45285</v>
      </c>
      <c r="C70" s="129" t="s">
        <v>118</v>
      </c>
      <c r="D70" s="129" t="s">
        <v>119</v>
      </c>
      <c r="E70" s="130">
        <v>896.0</v>
      </c>
      <c r="F70" s="129" t="s">
        <v>300</v>
      </c>
      <c r="G70" s="127"/>
    </row>
    <row r="71" ht="14.25" hidden="1" customHeight="1" outlineLevel="2">
      <c r="A71" s="86">
        <v>45286.0</v>
      </c>
      <c r="B71" s="126">
        <f t="shared" si="14"/>
        <v>45286</v>
      </c>
      <c r="C71" s="129" t="s">
        <v>118</v>
      </c>
      <c r="D71" s="129" t="s">
        <v>236</v>
      </c>
      <c r="E71" s="130">
        <v>45.0</v>
      </c>
      <c r="F71" s="129" t="s">
        <v>301</v>
      </c>
      <c r="G71" s="127"/>
    </row>
    <row r="72" ht="14.25" hidden="1" customHeight="1" outlineLevel="2">
      <c r="A72" s="86">
        <v>45287.0</v>
      </c>
      <c r="B72" s="126">
        <f t="shared" si="14"/>
        <v>45287</v>
      </c>
      <c r="C72" s="129" t="s">
        <v>118</v>
      </c>
      <c r="D72" s="129" t="s">
        <v>119</v>
      </c>
      <c r="E72" s="130">
        <v>28.0</v>
      </c>
      <c r="F72" s="129" t="s">
        <v>219</v>
      </c>
      <c r="G72" s="127"/>
    </row>
    <row r="73" ht="14.25" hidden="1" customHeight="1" outlineLevel="2">
      <c r="A73" s="86">
        <v>45288.0</v>
      </c>
      <c r="B73" s="126">
        <f t="shared" si="14"/>
        <v>45288</v>
      </c>
      <c r="C73" s="129" t="s">
        <v>118</v>
      </c>
      <c r="D73" s="129" t="s">
        <v>119</v>
      </c>
      <c r="E73" s="130">
        <v>125.0</v>
      </c>
      <c r="F73" s="129" t="s">
        <v>303</v>
      </c>
      <c r="G73" s="127"/>
    </row>
    <row r="74" ht="14.25" hidden="1" customHeight="1" outlineLevel="2">
      <c r="A74" s="86">
        <v>45289.0</v>
      </c>
      <c r="B74" s="126">
        <f t="shared" si="14"/>
        <v>45289</v>
      </c>
      <c r="C74" s="129" t="s">
        <v>118</v>
      </c>
      <c r="D74" s="129" t="s">
        <v>236</v>
      </c>
      <c r="E74" s="130">
        <v>110.0</v>
      </c>
      <c r="F74" s="129" t="s">
        <v>237</v>
      </c>
      <c r="G74" s="127"/>
    </row>
    <row r="75" ht="14.25" hidden="1" customHeight="1" outlineLevel="2">
      <c r="A75" s="102">
        <v>45291.0</v>
      </c>
      <c r="B75" s="97">
        <f t="shared" si="14"/>
        <v>45291</v>
      </c>
      <c r="C75" s="129" t="s">
        <v>118</v>
      </c>
      <c r="D75" s="127"/>
      <c r="E75" s="130">
        <v>571.0</v>
      </c>
      <c r="F75" s="129" t="s">
        <v>298</v>
      </c>
      <c r="G75" s="127"/>
    </row>
    <row r="76" ht="14.25" hidden="1" customHeight="1" outlineLevel="2">
      <c r="A76" s="10"/>
      <c r="B76" s="10"/>
      <c r="C76" s="129" t="s">
        <v>136</v>
      </c>
      <c r="D76" s="127"/>
      <c r="E76" s="130">
        <v>275.0</v>
      </c>
      <c r="F76" s="129" t="s">
        <v>307</v>
      </c>
      <c r="G76" s="127"/>
    </row>
    <row r="77" ht="14.25" hidden="1" customHeight="1" outlineLevel="1">
      <c r="A77" s="117" t="s">
        <v>195</v>
      </c>
      <c r="B77" s="27"/>
      <c r="C77" s="27"/>
      <c r="D77" s="28"/>
      <c r="E77" s="118">
        <f>SUM(E44:E76)</f>
        <v>10392.6</v>
      </c>
      <c r="F77" s="119"/>
      <c r="G77" s="28"/>
    </row>
    <row r="78" ht="14.25" customHeight="1"/>
    <row r="79" ht="14.25" customHeight="1" collapsed="1">
      <c r="A79" s="122" t="s">
        <v>302</v>
      </c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3"/>
    </row>
    <row r="80" ht="14.25" hidden="1" customHeight="1" outlineLevel="2">
      <c r="A80" s="70" t="s">
        <v>90</v>
      </c>
      <c r="I80" s="72" t="s">
        <v>91</v>
      </c>
      <c r="J80" s="73"/>
      <c r="K80" s="73"/>
      <c r="L80" s="74"/>
      <c r="N80" s="72" t="s">
        <v>95</v>
      </c>
      <c r="O80" s="73"/>
      <c r="P80" s="73"/>
      <c r="Q80" s="74"/>
    </row>
    <row r="81" ht="14.25" hidden="1" customHeight="1" outlineLevel="2">
      <c r="A81" s="81" t="s">
        <v>6</v>
      </c>
      <c r="B81" s="84" t="s">
        <v>103</v>
      </c>
      <c r="C81" s="81" t="s">
        <v>104</v>
      </c>
      <c r="D81" s="81" t="s">
        <v>107</v>
      </c>
      <c r="E81" s="81" t="s">
        <v>109</v>
      </c>
      <c r="F81" s="84" t="s">
        <v>110</v>
      </c>
      <c r="G81" s="81" t="s">
        <v>13</v>
      </c>
      <c r="I81" s="81" t="s">
        <v>6</v>
      </c>
      <c r="J81" s="84" t="s">
        <v>115</v>
      </c>
      <c r="K81" s="84" t="s">
        <v>9</v>
      </c>
      <c r="L81" s="81" t="s">
        <v>13</v>
      </c>
      <c r="N81" s="81" t="s">
        <v>6</v>
      </c>
      <c r="O81" s="84" t="s">
        <v>115</v>
      </c>
      <c r="P81" s="84" t="s">
        <v>9</v>
      </c>
      <c r="Q81" s="81" t="s">
        <v>13</v>
      </c>
    </row>
    <row r="82" ht="14.25" hidden="1" customHeight="1" outlineLevel="2">
      <c r="A82" s="125">
        <v>45292.0</v>
      </c>
      <c r="B82" s="126">
        <f t="shared" ref="B82:B86" si="15">A82</f>
        <v>45292</v>
      </c>
      <c r="C82" s="129" t="s">
        <v>136</v>
      </c>
      <c r="D82" s="129" t="s">
        <v>296</v>
      </c>
      <c r="E82" s="130">
        <v>799.0</v>
      </c>
      <c r="F82" s="129" t="s">
        <v>219</v>
      </c>
      <c r="G82" s="127"/>
      <c r="I82" s="86">
        <v>45294.0</v>
      </c>
      <c r="J82" s="88">
        <f t="shared" ref="J82:J87" si="16">I82</f>
        <v>45294</v>
      </c>
      <c r="K82" s="93">
        <v>40.45</v>
      </c>
      <c r="L82" s="90"/>
      <c r="N82" s="94"/>
      <c r="O82" s="94"/>
      <c r="P82" s="93"/>
      <c r="Q82" s="91"/>
    </row>
    <row r="83" ht="14.25" hidden="1" customHeight="1" outlineLevel="2">
      <c r="A83" s="125">
        <v>45293.0</v>
      </c>
      <c r="B83" s="126">
        <f t="shared" si="15"/>
        <v>45293</v>
      </c>
      <c r="C83" s="127" t="s">
        <v>118</v>
      </c>
      <c r="D83" s="129" t="s">
        <v>320</v>
      </c>
      <c r="E83" s="130">
        <v>42.0</v>
      </c>
      <c r="F83" s="129" t="s">
        <v>150</v>
      </c>
      <c r="G83" s="127"/>
      <c r="I83" s="86">
        <v>45297.0</v>
      </c>
      <c r="J83" s="88">
        <f t="shared" si="16"/>
        <v>45297</v>
      </c>
      <c r="K83" s="93">
        <v>29.0</v>
      </c>
      <c r="L83" s="90"/>
      <c r="N83" s="86"/>
      <c r="O83" s="88"/>
      <c r="P83" s="93"/>
      <c r="Q83" s="90"/>
    </row>
    <row r="84" ht="14.25" hidden="1" customHeight="1" outlineLevel="2">
      <c r="A84" s="125">
        <v>45294.0</v>
      </c>
      <c r="B84" s="126">
        <f t="shared" si="15"/>
        <v>45294</v>
      </c>
      <c r="C84" s="127" t="s">
        <v>118</v>
      </c>
      <c r="D84" s="129" t="s">
        <v>323</v>
      </c>
      <c r="E84" s="130">
        <v>53.0</v>
      </c>
      <c r="F84" s="129" t="s">
        <v>324</v>
      </c>
      <c r="G84" s="127"/>
      <c r="I84" s="86">
        <v>45301.0</v>
      </c>
      <c r="J84" s="88">
        <f t="shared" si="16"/>
        <v>45301</v>
      </c>
      <c r="K84" s="93">
        <v>40.1</v>
      </c>
      <c r="L84" s="90"/>
      <c r="N84" s="86"/>
      <c r="O84" s="88" t="str">
        <f>N84</f>
        <v/>
      </c>
      <c r="P84" s="93"/>
      <c r="Q84" s="90"/>
    </row>
    <row r="85" ht="14.25" hidden="1" customHeight="1" outlineLevel="2">
      <c r="A85" s="125">
        <v>45295.0</v>
      </c>
      <c r="B85" s="126">
        <f t="shared" si="15"/>
        <v>45295</v>
      </c>
      <c r="C85" s="127" t="s">
        <v>118</v>
      </c>
      <c r="D85" s="129" t="s">
        <v>323</v>
      </c>
      <c r="E85" s="130">
        <v>36.0</v>
      </c>
      <c r="F85" s="129" t="s">
        <v>290</v>
      </c>
      <c r="G85" s="129"/>
      <c r="I85" s="86">
        <v>45308.0</v>
      </c>
      <c r="J85" s="88">
        <f t="shared" si="16"/>
        <v>45308</v>
      </c>
      <c r="K85" s="93">
        <v>97.4</v>
      </c>
      <c r="L85" s="90"/>
      <c r="N85" s="86"/>
      <c r="O85" s="88"/>
      <c r="P85" s="93"/>
      <c r="Q85" s="90"/>
    </row>
    <row r="86" ht="14.25" hidden="1" customHeight="1" outlineLevel="2">
      <c r="A86" s="102">
        <v>45296.0</v>
      </c>
      <c r="B86" s="97">
        <f t="shared" si="15"/>
        <v>45296</v>
      </c>
      <c r="C86" s="127" t="s">
        <v>118</v>
      </c>
      <c r="D86" s="129" t="s">
        <v>236</v>
      </c>
      <c r="E86" s="130">
        <v>117.0</v>
      </c>
      <c r="F86" s="129" t="s">
        <v>331</v>
      </c>
      <c r="G86" s="129"/>
      <c r="I86" s="86">
        <v>45315.0</v>
      </c>
      <c r="J86" s="88">
        <f t="shared" si="16"/>
        <v>45315</v>
      </c>
      <c r="K86" s="93">
        <v>58.8</v>
      </c>
      <c r="L86" s="90"/>
      <c r="N86" s="165" t="s">
        <v>195</v>
      </c>
      <c r="O86" s="165"/>
      <c r="P86" s="113">
        <f>SUM(P82:P85)</f>
        <v>0</v>
      </c>
      <c r="Q86" s="114"/>
    </row>
    <row r="87" ht="14.25" hidden="1" customHeight="1" outlineLevel="2">
      <c r="A87" s="10"/>
      <c r="B87" s="10"/>
      <c r="C87" s="127" t="s">
        <v>136</v>
      </c>
      <c r="D87" s="129" t="s">
        <v>296</v>
      </c>
      <c r="E87" s="130">
        <v>292.0</v>
      </c>
      <c r="F87" s="129" t="s">
        <v>336</v>
      </c>
      <c r="G87" s="129"/>
      <c r="I87" s="86">
        <v>45322.0</v>
      </c>
      <c r="J87" s="88">
        <f t="shared" si="16"/>
        <v>45322</v>
      </c>
      <c r="K87" s="93">
        <v>102.2</v>
      </c>
      <c r="L87" s="90"/>
      <c r="N87" s="166"/>
      <c r="O87" s="167"/>
      <c r="P87" s="168"/>
      <c r="Q87" s="51"/>
    </row>
    <row r="88" ht="14.25" hidden="1" customHeight="1" outlineLevel="2">
      <c r="A88" s="102">
        <v>45298.0</v>
      </c>
      <c r="B88" s="97">
        <f>A88</f>
        <v>45298</v>
      </c>
      <c r="C88" s="127" t="s">
        <v>118</v>
      </c>
      <c r="D88" s="129" t="s">
        <v>296</v>
      </c>
      <c r="E88" s="130">
        <v>428.0</v>
      </c>
      <c r="F88" s="129" t="s">
        <v>340</v>
      </c>
      <c r="G88" s="127"/>
      <c r="I88" s="86"/>
      <c r="J88" s="88"/>
      <c r="K88" s="93"/>
      <c r="L88" s="90"/>
      <c r="N88" s="166"/>
      <c r="O88" s="167"/>
      <c r="P88" s="168"/>
      <c r="Q88" s="51"/>
    </row>
    <row r="89" ht="14.25" hidden="1" customHeight="1" outlineLevel="2">
      <c r="A89" s="10"/>
      <c r="B89" s="10"/>
      <c r="C89" s="129" t="s">
        <v>136</v>
      </c>
      <c r="D89" s="129" t="s">
        <v>342</v>
      </c>
      <c r="E89" s="130">
        <v>790.0</v>
      </c>
      <c r="F89" s="129" t="s">
        <v>343</v>
      </c>
      <c r="G89" s="127"/>
      <c r="I89" s="86"/>
      <c r="J89" s="88"/>
      <c r="K89" s="93"/>
      <c r="L89" s="90"/>
      <c r="N89" s="72" t="s">
        <v>344</v>
      </c>
      <c r="O89" s="73"/>
      <c r="P89" s="73"/>
      <c r="Q89" s="74"/>
    </row>
    <row r="90" ht="14.25" hidden="1" customHeight="1" outlineLevel="2">
      <c r="A90" s="125">
        <v>45299.0</v>
      </c>
      <c r="B90" s="126">
        <f t="shared" ref="B90:B103" si="17">A90</f>
        <v>45299</v>
      </c>
      <c r="C90" s="129" t="s">
        <v>118</v>
      </c>
      <c r="D90" s="129" t="s">
        <v>323</v>
      </c>
      <c r="E90" s="130">
        <v>114.0</v>
      </c>
      <c r="F90" s="129" t="s">
        <v>287</v>
      </c>
      <c r="G90" s="127"/>
      <c r="I90" s="86"/>
      <c r="J90" s="88"/>
      <c r="K90" s="93"/>
      <c r="L90" s="90"/>
      <c r="N90" s="81" t="s">
        <v>6</v>
      </c>
      <c r="O90" s="84" t="s">
        <v>115</v>
      </c>
      <c r="P90" s="84" t="s">
        <v>9</v>
      </c>
      <c r="Q90" s="81" t="s">
        <v>13</v>
      </c>
    </row>
    <row r="91" ht="14.25" hidden="1" customHeight="1" outlineLevel="2">
      <c r="A91" s="125">
        <v>45300.0</v>
      </c>
      <c r="B91" s="126">
        <f t="shared" si="17"/>
        <v>45300</v>
      </c>
      <c r="C91" s="129" t="s">
        <v>118</v>
      </c>
      <c r="D91" s="129" t="s">
        <v>236</v>
      </c>
      <c r="E91" s="130">
        <v>65.0</v>
      </c>
      <c r="F91" s="129" t="s">
        <v>346</v>
      </c>
      <c r="G91" s="127"/>
      <c r="I91" s="86"/>
      <c r="J91" s="88"/>
      <c r="K91" s="93"/>
      <c r="L91" s="90"/>
      <c r="N91" s="86">
        <v>45293.0</v>
      </c>
      <c r="O91" s="88">
        <f>N91</f>
        <v>45293</v>
      </c>
      <c r="P91" s="93">
        <v>200.0</v>
      </c>
      <c r="Q91" s="91" t="s">
        <v>349</v>
      </c>
    </row>
    <row r="92" ht="14.25" hidden="1" customHeight="1" outlineLevel="2">
      <c r="A92" s="125">
        <v>45301.0</v>
      </c>
      <c r="B92" s="126">
        <f t="shared" si="17"/>
        <v>45301</v>
      </c>
      <c r="C92" s="129" t="s">
        <v>118</v>
      </c>
      <c r="D92" s="129" t="s">
        <v>323</v>
      </c>
      <c r="E92" s="130">
        <v>64.0</v>
      </c>
      <c r="F92" s="129" t="s">
        <v>351</v>
      </c>
      <c r="G92" s="127"/>
      <c r="I92" s="86"/>
      <c r="J92" s="88"/>
      <c r="K92" s="92"/>
      <c r="L92" s="90"/>
      <c r="N92" s="86"/>
      <c r="O92" s="88"/>
      <c r="P92" s="92"/>
      <c r="Q92" s="90"/>
    </row>
    <row r="93" ht="14.25" hidden="1" customHeight="1" outlineLevel="2">
      <c r="A93" s="125">
        <v>45302.0</v>
      </c>
      <c r="B93" s="126">
        <f t="shared" si="17"/>
        <v>45302</v>
      </c>
      <c r="C93" s="129" t="s">
        <v>136</v>
      </c>
      <c r="D93" s="129" t="s">
        <v>323</v>
      </c>
      <c r="E93" s="130">
        <v>155.0</v>
      </c>
      <c r="F93" s="129" t="s">
        <v>290</v>
      </c>
      <c r="G93" s="127"/>
      <c r="I93" s="86"/>
      <c r="J93" s="88"/>
      <c r="K93" s="92"/>
      <c r="L93" s="90"/>
      <c r="N93" s="86"/>
      <c r="O93" s="88"/>
      <c r="P93" s="92"/>
      <c r="Q93" s="90"/>
    </row>
    <row r="94" ht="14.25" hidden="1" customHeight="1" outlineLevel="2">
      <c r="A94" s="125">
        <v>45303.0</v>
      </c>
      <c r="B94" s="126">
        <f t="shared" si="17"/>
        <v>45303</v>
      </c>
      <c r="C94" s="129" t="s">
        <v>118</v>
      </c>
      <c r="D94" s="129" t="s">
        <v>296</v>
      </c>
      <c r="E94" s="130">
        <v>108.0</v>
      </c>
      <c r="F94" s="129" t="s">
        <v>260</v>
      </c>
      <c r="G94" s="127"/>
      <c r="I94" s="86"/>
      <c r="J94" s="88"/>
      <c r="K94" s="92"/>
      <c r="L94" s="90"/>
      <c r="N94" s="86"/>
      <c r="O94" s="88"/>
      <c r="P94" s="92"/>
      <c r="Q94" s="90"/>
    </row>
    <row r="95" ht="14.25" hidden="1" customHeight="1" outlineLevel="2">
      <c r="A95" s="170">
        <v>45304.0</v>
      </c>
      <c r="B95" s="171">
        <f t="shared" si="17"/>
        <v>45304</v>
      </c>
      <c r="C95" s="173"/>
      <c r="D95" s="173"/>
      <c r="E95" s="174"/>
      <c r="F95" s="173"/>
      <c r="G95" s="173"/>
      <c r="I95" s="86"/>
      <c r="J95" s="88"/>
      <c r="K95" s="92"/>
      <c r="L95" s="90"/>
      <c r="N95" s="86"/>
      <c r="O95" s="88"/>
      <c r="P95" s="92"/>
      <c r="Q95" s="90"/>
    </row>
    <row r="96" ht="14.25" hidden="1" customHeight="1" outlineLevel="2">
      <c r="A96" s="125">
        <v>45305.0</v>
      </c>
      <c r="B96" s="126">
        <f t="shared" si="17"/>
        <v>45305</v>
      </c>
      <c r="C96" s="129" t="s">
        <v>118</v>
      </c>
      <c r="D96" s="129" t="s">
        <v>296</v>
      </c>
      <c r="E96" s="130">
        <v>345.0</v>
      </c>
      <c r="F96" s="129" t="s">
        <v>183</v>
      </c>
      <c r="G96" s="129"/>
      <c r="I96" s="86"/>
      <c r="J96" s="88"/>
      <c r="K96" s="92"/>
      <c r="L96" s="90"/>
      <c r="N96" s="86"/>
      <c r="O96" s="88"/>
      <c r="P96" s="92"/>
      <c r="Q96" s="90"/>
    </row>
    <row r="97" ht="14.25" hidden="1" customHeight="1" outlineLevel="2">
      <c r="A97" s="125">
        <v>45305.0</v>
      </c>
      <c r="B97" s="126">
        <f t="shared" si="17"/>
        <v>45305</v>
      </c>
      <c r="C97" s="129" t="s">
        <v>136</v>
      </c>
      <c r="D97" s="129" t="s">
        <v>355</v>
      </c>
      <c r="E97" s="130">
        <v>900.0</v>
      </c>
      <c r="F97" s="129" t="s">
        <v>307</v>
      </c>
      <c r="G97" s="127"/>
      <c r="I97" s="86"/>
      <c r="J97" s="88"/>
      <c r="K97" s="92"/>
      <c r="L97" s="90"/>
      <c r="N97" s="86"/>
      <c r="O97" s="88"/>
      <c r="P97" s="92"/>
      <c r="Q97" s="90"/>
    </row>
    <row r="98" ht="14.25" hidden="1" customHeight="1" outlineLevel="2">
      <c r="A98" s="125">
        <v>45306.0</v>
      </c>
      <c r="B98" s="126">
        <f t="shared" si="17"/>
        <v>45306</v>
      </c>
      <c r="C98" s="129" t="s">
        <v>118</v>
      </c>
      <c r="D98" s="129" t="s">
        <v>323</v>
      </c>
      <c r="E98" s="130">
        <v>48.0</v>
      </c>
      <c r="F98" s="129" t="s">
        <v>287</v>
      </c>
      <c r="G98" s="127"/>
      <c r="I98" s="86"/>
      <c r="J98" s="88"/>
      <c r="K98" s="92"/>
      <c r="L98" s="90"/>
      <c r="N98" s="86"/>
      <c r="O98" s="88"/>
      <c r="P98" s="92"/>
      <c r="Q98" s="90"/>
    </row>
    <row r="99" ht="14.25" hidden="1" customHeight="1" outlineLevel="2">
      <c r="A99" s="125">
        <v>45307.0</v>
      </c>
      <c r="B99" s="126">
        <f t="shared" si="17"/>
        <v>45307</v>
      </c>
      <c r="C99" s="129" t="s">
        <v>118</v>
      </c>
      <c r="D99" s="129" t="s">
        <v>236</v>
      </c>
      <c r="E99" s="130">
        <v>98.0</v>
      </c>
      <c r="F99" s="129" t="s">
        <v>219</v>
      </c>
      <c r="G99" s="127"/>
      <c r="I99" s="86"/>
      <c r="J99" s="88"/>
      <c r="K99" s="92"/>
      <c r="L99" s="90"/>
      <c r="N99" s="86"/>
      <c r="O99" s="88"/>
      <c r="P99" s="92"/>
      <c r="Q99" s="90"/>
    </row>
    <row r="100" ht="14.25" hidden="1" customHeight="1" outlineLevel="2">
      <c r="A100" s="125">
        <v>45308.0</v>
      </c>
      <c r="B100" s="126">
        <f t="shared" si="17"/>
        <v>45308</v>
      </c>
      <c r="C100" s="129" t="s">
        <v>136</v>
      </c>
      <c r="D100" s="129" t="s">
        <v>323</v>
      </c>
      <c r="E100" s="130">
        <v>120.0</v>
      </c>
      <c r="F100" s="129" t="s">
        <v>359</v>
      </c>
      <c r="G100" s="127"/>
      <c r="I100" s="86"/>
      <c r="J100" s="88"/>
      <c r="K100" s="92"/>
      <c r="L100" s="90"/>
      <c r="N100" s="86"/>
      <c r="O100" s="88"/>
      <c r="P100" s="92"/>
      <c r="Q100" s="90"/>
    </row>
    <row r="101" ht="14.25" hidden="1" customHeight="1" outlineLevel="2">
      <c r="A101" s="125">
        <v>45309.0</v>
      </c>
      <c r="B101" s="126">
        <f t="shared" si="17"/>
        <v>45309</v>
      </c>
      <c r="C101" s="129" t="s">
        <v>118</v>
      </c>
      <c r="D101" s="129" t="s">
        <v>323</v>
      </c>
      <c r="E101" s="130">
        <v>98.0</v>
      </c>
      <c r="F101" s="129" t="s">
        <v>154</v>
      </c>
      <c r="G101" s="127"/>
      <c r="I101" s="86"/>
      <c r="J101" s="88"/>
      <c r="K101" s="92"/>
      <c r="L101" s="90"/>
      <c r="N101" s="86"/>
      <c r="O101" s="88"/>
      <c r="P101" s="92"/>
      <c r="Q101" s="90"/>
    </row>
    <row r="102" ht="14.25" hidden="1" customHeight="1" outlineLevel="2">
      <c r="A102" s="125">
        <v>45310.0</v>
      </c>
      <c r="B102" s="126">
        <f t="shared" si="17"/>
        <v>45310</v>
      </c>
      <c r="C102" s="129" t="s">
        <v>136</v>
      </c>
      <c r="D102" s="129" t="s">
        <v>236</v>
      </c>
      <c r="E102" s="130">
        <v>146.0</v>
      </c>
      <c r="F102" s="129" t="s">
        <v>362</v>
      </c>
      <c r="G102" s="127"/>
      <c r="I102" s="86"/>
      <c r="J102" s="88"/>
      <c r="K102" s="92"/>
      <c r="L102" s="90"/>
      <c r="N102" s="86"/>
      <c r="O102" s="88"/>
      <c r="P102" s="92"/>
      <c r="Q102" s="90"/>
    </row>
    <row r="103" ht="14.25" hidden="1" customHeight="1" outlineLevel="2">
      <c r="A103" s="102">
        <v>45312.0</v>
      </c>
      <c r="B103" s="97">
        <f t="shared" si="17"/>
        <v>45312</v>
      </c>
      <c r="C103" s="129" t="s">
        <v>118</v>
      </c>
      <c r="D103" s="129" t="s">
        <v>296</v>
      </c>
      <c r="E103" s="130">
        <v>585.0</v>
      </c>
      <c r="F103" s="129" t="s">
        <v>298</v>
      </c>
      <c r="G103" s="127"/>
      <c r="I103" s="86"/>
      <c r="J103" s="88"/>
      <c r="K103" s="92"/>
      <c r="L103" s="90"/>
      <c r="N103" s="86"/>
      <c r="O103" s="88"/>
      <c r="P103" s="92"/>
      <c r="Q103" s="90"/>
    </row>
    <row r="104" ht="14.25" hidden="1" customHeight="1" outlineLevel="2">
      <c r="A104" s="10"/>
      <c r="B104" s="10"/>
      <c r="C104" s="129" t="s">
        <v>136</v>
      </c>
      <c r="D104" s="129" t="s">
        <v>363</v>
      </c>
      <c r="E104" s="130">
        <v>902.0</v>
      </c>
      <c r="F104" s="129" t="s">
        <v>364</v>
      </c>
      <c r="G104" s="127"/>
      <c r="I104" s="86"/>
      <c r="J104" s="88"/>
      <c r="K104" s="92"/>
      <c r="L104" s="90"/>
      <c r="N104" s="86"/>
      <c r="O104" s="88"/>
      <c r="P104" s="92"/>
      <c r="Q104" s="90"/>
    </row>
    <row r="105" ht="14.25" hidden="1" customHeight="1" outlineLevel="2">
      <c r="A105" s="125">
        <v>45313.0</v>
      </c>
      <c r="B105" s="126">
        <f t="shared" ref="B105:B111" si="18">A105</f>
        <v>45313</v>
      </c>
      <c r="C105" s="129" t="s">
        <v>118</v>
      </c>
      <c r="D105" s="129" t="s">
        <v>323</v>
      </c>
      <c r="E105" s="130">
        <v>195.0</v>
      </c>
      <c r="F105" s="129" t="s">
        <v>365</v>
      </c>
      <c r="G105" s="127"/>
      <c r="I105" s="86"/>
      <c r="J105" s="88"/>
      <c r="K105" s="92"/>
      <c r="L105" s="90"/>
      <c r="N105" s="86"/>
      <c r="O105" s="88"/>
      <c r="P105" s="92"/>
      <c r="Q105" s="90"/>
    </row>
    <row r="106" ht="14.25" hidden="1" customHeight="1" outlineLevel="2">
      <c r="A106" s="125">
        <v>45314.0</v>
      </c>
      <c r="B106" s="126">
        <f t="shared" si="18"/>
        <v>45314</v>
      </c>
      <c r="C106" s="129" t="s">
        <v>118</v>
      </c>
      <c r="D106" s="129" t="s">
        <v>236</v>
      </c>
      <c r="E106" s="130">
        <v>116.0</v>
      </c>
      <c r="F106" s="129" t="s">
        <v>150</v>
      </c>
      <c r="G106" s="127"/>
      <c r="I106" s="108" t="s">
        <v>195</v>
      </c>
      <c r="J106" s="109"/>
      <c r="K106" s="113">
        <f>SUM(K82:K105)</f>
        <v>367.95</v>
      </c>
      <c r="L106" s="114"/>
      <c r="N106" s="108" t="s">
        <v>195</v>
      </c>
      <c r="O106" s="109"/>
      <c r="P106" s="113">
        <f>SUM(P82:P105)</f>
        <v>200</v>
      </c>
      <c r="Q106" s="114"/>
    </row>
    <row r="107" ht="14.25" hidden="1" customHeight="1" outlineLevel="2">
      <c r="A107" s="125">
        <v>45315.0</v>
      </c>
      <c r="B107" s="126">
        <f t="shared" si="18"/>
        <v>45315</v>
      </c>
      <c r="C107" s="129" t="s">
        <v>118</v>
      </c>
      <c r="D107" s="129" t="s">
        <v>323</v>
      </c>
      <c r="E107" s="130">
        <v>110.0</v>
      </c>
      <c r="F107" s="129" t="s">
        <v>367</v>
      </c>
      <c r="G107" s="127"/>
    </row>
    <row r="108" ht="14.25" hidden="1" customHeight="1" outlineLevel="2">
      <c r="A108" s="125">
        <v>45316.0</v>
      </c>
      <c r="B108" s="126">
        <f t="shared" si="18"/>
        <v>45316</v>
      </c>
      <c r="C108" s="129" t="s">
        <v>136</v>
      </c>
      <c r="D108" s="129" t="s">
        <v>323</v>
      </c>
      <c r="E108" s="130">
        <v>101.0</v>
      </c>
      <c r="F108" s="129" t="s">
        <v>370</v>
      </c>
      <c r="G108" s="127"/>
    </row>
    <row r="109" ht="14.25" hidden="1" customHeight="1" outlineLevel="2">
      <c r="A109" s="125">
        <v>45317.0</v>
      </c>
      <c r="B109" s="126">
        <f t="shared" si="18"/>
        <v>45317</v>
      </c>
      <c r="C109" s="129" t="s">
        <v>118</v>
      </c>
      <c r="D109" s="129" t="s">
        <v>296</v>
      </c>
      <c r="E109" s="130">
        <v>111.0</v>
      </c>
      <c r="F109" s="129" t="s">
        <v>371</v>
      </c>
      <c r="G109" s="127"/>
    </row>
    <row r="110" ht="14.25" hidden="1" customHeight="1" outlineLevel="2">
      <c r="A110" s="170">
        <v>45318.0</v>
      </c>
      <c r="B110" s="171">
        <f t="shared" si="18"/>
        <v>45318</v>
      </c>
      <c r="C110" s="173" t="s">
        <v>136</v>
      </c>
      <c r="D110" s="173"/>
      <c r="E110" s="174"/>
      <c r="F110" s="173"/>
      <c r="G110" s="185"/>
    </row>
    <row r="111" ht="14.25" hidden="1" customHeight="1" outlineLevel="2">
      <c r="A111" s="102">
        <v>45319.0</v>
      </c>
      <c r="B111" s="97">
        <f t="shared" si="18"/>
        <v>45319</v>
      </c>
      <c r="C111" s="129" t="s">
        <v>118</v>
      </c>
      <c r="D111" s="129" t="s">
        <v>296</v>
      </c>
      <c r="E111" s="130">
        <v>434.0</v>
      </c>
      <c r="F111" s="129" t="s">
        <v>298</v>
      </c>
      <c r="G111" s="127"/>
    </row>
    <row r="112" ht="14.25" hidden="1" customHeight="1" outlineLevel="2">
      <c r="A112" s="10"/>
      <c r="B112" s="10"/>
      <c r="C112" s="129" t="s">
        <v>136</v>
      </c>
      <c r="D112" s="129" t="s">
        <v>373</v>
      </c>
      <c r="E112" s="130">
        <v>740.0</v>
      </c>
      <c r="F112" s="129" t="s">
        <v>375</v>
      </c>
      <c r="G112" s="127"/>
    </row>
    <row r="113" ht="14.25" hidden="1" customHeight="1" outlineLevel="2">
      <c r="A113" s="125">
        <v>45320.0</v>
      </c>
      <c r="B113" s="126">
        <f t="shared" ref="B113:B115" si="19">A113</f>
        <v>45320</v>
      </c>
      <c r="C113" s="129" t="s">
        <v>118</v>
      </c>
      <c r="D113" s="129" t="s">
        <v>323</v>
      </c>
      <c r="E113" s="130">
        <v>92.0</v>
      </c>
      <c r="F113" s="129" t="s">
        <v>376</v>
      </c>
      <c r="G113" s="127"/>
    </row>
    <row r="114" ht="14.25" hidden="1" customHeight="1" outlineLevel="2">
      <c r="A114" s="125">
        <v>45321.0</v>
      </c>
      <c r="B114" s="126">
        <f t="shared" si="19"/>
        <v>45321</v>
      </c>
      <c r="C114" s="129" t="s">
        <v>118</v>
      </c>
      <c r="D114" s="129" t="s">
        <v>236</v>
      </c>
      <c r="E114" s="130">
        <v>143.0</v>
      </c>
      <c r="F114" s="129" t="s">
        <v>378</v>
      </c>
      <c r="G114" s="127"/>
    </row>
    <row r="115" ht="14.25" hidden="1" customHeight="1" outlineLevel="2">
      <c r="A115" s="125">
        <v>45322.0</v>
      </c>
      <c r="B115" s="126">
        <f t="shared" si="19"/>
        <v>45322</v>
      </c>
      <c r="C115" s="129" t="s">
        <v>118</v>
      </c>
      <c r="D115" s="129" t="s">
        <v>323</v>
      </c>
      <c r="E115" s="130">
        <v>170.0</v>
      </c>
      <c r="F115" s="129" t="s">
        <v>380</v>
      </c>
      <c r="G115" s="127"/>
    </row>
    <row r="116" ht="14.25" hidden="1" customHeight="1" outlineLevel="1">
      <c r="A116" s="117" t="s">
        <v>195</v>
      </c>
      <c r="B116" s="27"/>
      <c r="C116" s="27"/>
      <c r="D116" s="28"/>
      <c r="E116" s="118">
        <f>SUM(E82:E115)</f>
        <v>8517</v>
      </c>
      <c r="F116" s="119"/>
      <c r="G116" s="28"/>
    </row>
    <row r="117" ht="14.25" hidden="1" customHeight="1" outlineLevel="1"/>
    <row r="118" ht="14.25" hidden="1" customHeight="1" outlineLevel="1" collapsed="1">
      <c r="A118" s="122" t="s">
        <v>366</v>
      </c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3"/>
    </row>
    <row r="119" ht="14.25" hidden="1" customHeight="1" outlineLevel="2">
      <c r="A119" s="70" t="s">
        <v>90</v>
      </c>
      <c r="I119" s="72" t="s">
        <v>91</v>
      </c>
      <c r="J119" s="73"/>
      <c r="K119" s="73"/>
      <c r="L119" s="74"/>
      <c r="N119" s="72" t="s">
        <v>95</v>
      </c>
      <c r="O119" s="73"/>
      <c r="P119" s="73"/>
      <c r="Q119" s="74"/>
    </row>
    <row r="120" ht="14.25" hidden="1" customHeight="1" outlineLevel="2">
      <c r="A120" s="81" t="s">
        <v>6</v>
      </c>
      <c r="B120" s="84" t="s">
        <v>103</v>
      </c>
      <c r="C120" s="81" t="s">
        <v>104</v>
      </c>
      <c r="D120" s="81" t="s">
        <v>107</v>
      </c>
      <c r="E120" s="81" t="s">
        <v>109</v>
      </c>
      <c r="F120" s="84" t="s">
        <v>110</v>
      </c>
      <c r="G120" s="81" t="s">
        <v>13</v>
      </c>
      <c r="I120" s="81" t="s">
        <v>6</v>
      </c>
      <c r="J120" s="84" t="s">
        <v>115</v>
      </c>
      <c r="K120" s="84" t="s">
        <v>9</v>
      </c>
      <c r="L120" s="81" t="s">
        <v>13</v>
      </c>
      <c r="N120" s="81" t="s">
        <v>6</v>
      </c>
      <c r="O120" s="84" t="s">
        <v>115</v>
      </c>
      <c r="P120" s="84" t="s">
        <v>9</v>
      </c>
      <c r="Q120" s="81" t="s">
        <v>13</v>
      </c>
    </row>
    <row r="121" ht="14.25" hidden="1" customHeight="1" outlineLevel="2">
      <c r="A121" s="125">
        <v>45323.0</v>
      </c>
      <c r="B121" s="126">
        <f t="shared" ref="B121:B122" si="20">A121</f>
        <v>45323</v>
      </c>
      <c r="C121" s="127" t="s">
        <v>118</v>
      </c>
      <c r="D121" s="129" t="s">
        <v>119</v>
      </c>
      <c r="E121" s="130">
        <v>94.0</v>
      </c>
      <c r="F121" s="129" t="s">
        <v>387</v>
      </c>
      <c r="G121" s="127"/>
      <c r="I121" s="86">
        <v>45327.0</v>
      </c>
      <c r="J121" s="88">
        <f t="shared" ref="J121:J125" si="21">I121</f>
        <v>45327</v>
      </c>
      <c r="K121" s="93">
        <v>85.0</v>
      </c>
      <c r="L121" s="90"/>
      <c r="N121" s="94"/>
      <c r="O121" s="94"/>
      <c r="P121" s="93"/>
      <c r="Q121" s="91"/>
    </row>
    <row r="122" ht="14.25" hidden="1" customHeight="1" outlineLevel="2">
      <c r="A122" s="190">
        <v>45324.0</v>
      </c>
      <c r="B122" s="97">
        <f t="shared" si="20"/>
        <v>45324</v>
      </c>
      <c r="C122" s="127" t="s">
        <v>118</v>
      </c>
      <c r="D122" s="129" t="s">
        <v>236</v>
      </c>
      <c r="E122" s="130">
        <v>120.0</v>
      </c>
      <c r="F122" s="129" t="s">
        <v>331</v>
      </c>
      <c r="G122" s="127"/>
      <c r="I122" s="86">
        <v>45330.0</v>
      </c>
      <c r="J122" s="88">
        <f t="shared" si="21"/>
        <v>45330</v>
      </c>
      <c r="K122" s="93">
        <v>58.7</v>
      </c>
      <c r="L122" s="90"/>
      <c r="N122" s="86"/>
      <c r="O122" s="88"/>
      <c r="P122" s="93"/>
      <c r="Q122" s="90"/>
    </row>
    <row r="123" ht="14.25" hidden="1" customHeight="1" outlineLevel="2">
      <c r="A123" s="191"/>
      <c r="B123" s="10"/>
      <c r="C123" s="129" t="s">
        <v>136</v>
      </c>
      <c r="D123" s="129" t="s">
        <v>296</v>
      </c>
      <c r="E123" s="130">
        <v>324.0</v>
      </c>
      <c r="F123" s="129" t="s">
        <v>396</v>
      </c>
      <c r="G123" s="127"/>
      <c r="I123" s="86">
        <v>45336.0</v>
      </c>
      <c r="J123" s="88">
        <f t="shared" si="21"/>
        <v>45336</v>
      </c>
      <c r="K123" s="93">
        <v>91.25</v>
      </c>
      <c r="L123" s="90"/>
      <c r="N123" s="86"/>
      <c r="O123" s="88" t="str">
        <f>N123</f>
        <v/>
      </c>
      <c r="P123" s="93"/>
      <c r="Q123" s="90"/>
    </row>
    <row r="124" ht="14.25" hidden="1" customHeight="1" outlineLevel="2">
      <c r="A124" s="125">
        <v>45325.0</v>
      </c>
      <c r="B124" s="126">
        <f t="shared" ref="B124:B125" si="22">A124</f>
        <v>45325</v>
      </c>
      <c r="C124" s="127" t="s">
        <v>118</v>
      </c>
      <c r="D124" s="129"/>
      <c r="E124" s="130">
        <v>115.0</v>
      </c>
      <c r="F124" s="129" t="s">
        <v>402</v>
      </c>
      <c r="G124" s="129"/>
      <c r="I124" s="86">
        <v>45340.0</v>
      </c>
      <c r="J124" s="88">
        <f t="shared" si="21"/>
        <v>45340</v>
      </c>
      <c r="K124" s="93">
        <v>92.0</v>
      </c>
      <c r="L124" s="90"/>
      <c r="N124" s="165" t="s">
        <v>195</v>
      </c>
      <c r="O124" s="165"/>
      <c r="P124" s="113">
        <f>SUM(P121:P123)</f>
        <v>0</v>
      </c>
      <c r="Q124" s="114"/>
    </row>
    <row r="125" ht="14.25" hidden="1" customHeight="1" outlineLevel="2">
      <c r="A125" s="190">
        <v>45326.0</v>
      </c>
      <c r="B125" s="97">
        <f t="shared" si="22"/>
        <v>45326</v>
      </c>
      <c r="C125" s="129" t="s">
        <v>118</v>
      </c>
      <c r="D125" s="129" t="s">
        <v>296</v>
      </c>
      <c r="E125" s="130">
        <v>701.0</v>
      </c>
      <c r="F125" s="129" t="s">
        <v>409</v>
      </c>
      <c r="G125" s="129"/>
      <c r="I125" s="86">
        <v>45347.0</v>
      </c>
      <c r="J125" s="88">
        <f t="shared" si="21"/>
        <v>45347</v>
      </c>
      <c r="K125" s="93">
        <v>49.15</v>
      </c>
      <c r="L125" s="90"/>
      <c r="N125" s="166"/>
      <c r="O125" s="167"/>
      <c r="P125" s="168"/>
      <c r="Q125" s="51"/>
    </row>
    <row r="126" ht="14.25" hidden="1" customHeight="1" outlineLevel="2">
      <c r="A126" s="191"/>
      <c r="B126" s="10"/>
      <c r="C126" s="129" t="s">
        <v>136</v>
      </c>
      <c r="D126" s="129" t="s">
        <v>119</v>
      </c>
      <c r="E126" s="130">
        <v>706.0</v>
      </c>
      <c r="F126" s="129" t="s">
        <v>411</v>
      </c>
      <c r="G126" s="127"/>
      <c r="I126" s="86"/>
      <c r="J126" s="88"/>
      <c r="K126" s="93"/>
      <c r="L126" s="90"/>
      <c r="N126" s="166"/>
      <c r="O126" s="167"/>
      <c r="P126" s="168"/>
      <c r="Q126" s="51"/>
    </row>
    <row r="127" ht="14.25" hidden="1" customHeight="1" outlineLevel="2">
      <c r="A127" s="190">
        <v>45327.0</v>
      </c>
      <c r="B127" s="126">
        <f t="shared" ref="B127:B140" si="23">A127</f>
        <v>45327</v>
      </c>
      <c r="C127" s="129" t="s">
        <v>118</v>
      </c>
      <c r="D127" s="129" t="s">
        <v>119</v>
      </c>
      <c r="E127" s="130">
        <v>110.0</v>
      </c>
      <c r="F127" s="129" t="s">
        <v>414</v>
      </c>
      <c r="G127" s="127"/>
      <c r="I127" s="86"/>
      <c r="J127" s="88"/>
      <c r="K127" s="93"/>
      <c r="L127" s="90"/>
      <c r="N127" s="72" t="s">
        <v>344</v>
      </c>
      <c r="O127" s="73"/>
      <c r="P127" s="73"/>
      <c r="Q127" s="74"/>
    </row>
    <row r="128" ht="14.25" hidden="1" customHeight="1" outlineLevel="2">
      <c r="A128" s="190">
        <v>45328.0</v>
      </c>
      <c r="B128" s="126">
        <f t="shared" si="23"/>
        <v>45328</v>
      </c>
      <c r="C128" s="129" t="s">
        <v>118</v>
      </c>
      <c r="D128" s="129" t="s">
        <v>415</v>
      </c>
      <c r="E128" s="130">
        <v>68.0</v>
      </c>
      <c r="F128" s="129" t="s">
        <v>150</v>
      </c>
      <c r="G128" s="127"/>
      <c r="I128" s="86"/>
      <c r="J128" s="88"/>
      <c r="K128" s="93"/>
      <c r="L128" s="90"/>
      <c r="N128" s="81" t="s">
        <v>6</v>
      </c>
      <c r="O128" s="84" t="s">
        <v>115</v>
      </c>
      <c r="P128" s="84" t="s">
        <v>9</v>
      </c>
      <c r="Q128" s="81" t="s">
        <v>13</v>
      </c>
    </row>
    <row r="129" ht="14.25" hidden="1" customHeight="1" outlineLevel="2">
      <c r="A129" s="125">
        <v>45329.0</v>
      </c>
      <c r="B129" s="126">
        <f t="shared" si="23"/>
        <v>45329</v>
      </c>
      <c r="C129" s="129" t="s">
        <v>118</v>
      </c>
      <c r="D129" s="129" t="s">
        <v>119</v>
      </c>
      <c r="E129" s="130">
        <v>121.0</v>
      </c>
      <c r="F129" s="129" t="s">
        <v>416</v>
      </c>
      <c r="G129" s="127"/>
      <c r="I129" s="86"/>
      <c r="J129" s="88"/>
      <c r="K129" s="92"/>
      <c r="L129" s="90"/>
      <c r="N129" s="86"/>
      <c r="O129" s="88"/>
      <c r="P129" s="92"/>
      <c r="Q129" s="90"/>
    </row>
    <row r="130" ht="14.25" hidden="1" customHeight="1" outlineLevel="2">
      <c r="A130" s="190">
        <v>45330.0</v>
      </c>
      <c r="B130" s="126">
        <f t="shared" si="23"/>
        <v>45330</v>
      </c>
      <c r="C130" s="129" t="s">
        <v>118</v>
      </c>
      <c r="D130" s="129" t="s">
        <v>119</v>
      </c>
      <c r="E130" s="130">
        <v>60.0</v>
      </c>
      <c r="F130" s="129" t="s">
        <v>257</v>
      </c>
      <c r="G130" s="127"/>
      <c r="I130" s="86"/>
      <c r="J130" s="88"/>
      <c r="K130" s="92"/>
      <c r="L130" s="90"/>
      <c r="N130" s="86"/>
      <c r="O130" s="88"/>
      <c r="P130" s="92"/>
      <c r="Q130" s="90"/>
    </row>
    <row r="131" ht="14.25" hidden="1" customHeight="1" outlineLevel="2">
      <c r="A131" s="190">
        <v>45331.0</v>
      </c>
      <c r="B131" s="126">
        <f t="shared" si="23"/>
        <v>45331</v>
      </c>
      <c r="C131" s="129" t="s">
        <v>118</v>
      </c>
      <c r="D131" s="129" t="s">
        <v>296</v>
      </c>
      <c r="E131" s="130">
        <v>95.0</v>
      </c>
      <c r="F131" s="129" t="s">
        <v>295</v>
      </c>
      <c r="G131" s="129"/>
      <c r="I131" s="86"/>
      <c r="J131" s="88"/>
      <c r="K131" s="92"/>
      <c r="L131" s="90"/>
      <c r="N131" s="86"/>
      <c r="O131" s="88"/>
      <c r="P131" s="92"/>
      <c r="Q131" s="90"/>
    </row>
    <row r="132" ht="14.25" hidden="1" customHeight="1" outlineLevel="2">
      <c r="A132" s="195">
        <v>45332.0</v>
      </c>
      <c r="B132" s="171">
        <f t="shared" si="23"/>
        <v>45332</v>
      </c>
      <c r="C132" s="173"/>
      <c r="D132" s="173"/>
      <c r="E132" s="174"/>
      <c r="F132" s="173"/>
      <c r="G132" s="173"/>
      <c r="I132" s="86"/>
      <c r="J132" s="88"/>
      <c r="K132" s="92"/>
      <c r="L132" s="90"/>
      <c r="N132" s="86"/>
      <c r="O132" s="88"/>
      <c r="P132" s="92"/>
      <c r="Q132" s="90"/>
    </row>
    <row r="133" ht="14.25" hidden="1" customHeight="1" outlineLevel="2">
      <c r="A133" s="125">
        <v>45333.0</v>
      </c>
      <c r="B133" s="126">
        <f t="shared" si="23"/>
        <v>45333</v>
      </c>
      <c r="C133" s="129" t="s">
        <v>136</v>
      </c>
      <c r="D133" s="129" t="s">
        <v>413</v>
      </c>
      <c r="E133" s="130">
        <v>427.0</v>
      </c>
      <c r="F133" s="129" t="s">
        <v>409</v>
      </c>
      <c r="G133" s="127"/>
      <c r="I133" s="86"/>
      <c r="J133" s="88"/>
      <c r="K133" s="92"/>
      <c r="L133" s="90"/>
      <c r="N133" s="86"/>
      <c r="O133" s="88"/>
      <c r="P133" s="92"/>
      <c r="Q133" s="90"/>
    </row>
    <row r="134" ht="14.25" hidden="1" customHeight="1" outlineLevel="2">
      <c r="A134" s="190">
        <v>45334.0</v>
      </c>
      <c r="B134" s="197">
        <f t="shared" si="23"/>
        <v>45334</v>
      </c>
      <c r="C134" s="199" t="s">
        <v>118</v>
      </c>
      <c r="D134" s="200"/>
      <c r="E134" s="201"/>
      <c r="F134" s="200"/>
      <c r="G134" s="200" t="s">
        <v>421</v>
      </c>
      <c r="I134" s="86"/>
      <c r="J134" s="88"/>
      <c r="K134" s="92"/>
      <c r="L134" s="90"/>
      <c r="N134" s="86"/>
      <c r="O134" s="88"/>
      <c r="P134" s="92"/>
      <c r="Q134" s="90"/>
    </row>
    <row r="135" ht="14.25" hidden="1" customHeight="1" outlineLevel="2">
      <c r="A135" s="125">
        <v>45335.0</v>
      </c>
      <c r="B135" s="197">
        <f t="shared" si="23"/>
        <v>45335</v>
      </c>
      <c r="C135" s="199" t="s">
        <v>118</v>
      </c>
      <c r="D135" s="200"/>
      <c r="E135" s="201"/>
      <c r="F135" s="200"/>
      <c r="G135" s="200" t="s">
        <v>421</v>
      </c>
      <c r="I135" s="86"/>
      <c r="J135" s="88"/>
      <c r="K135" s="92"/>
      <c r="L135" s="90"/>
      <c r="N135" s="86"/>
      <c r="O135" s="88"/>
      <c r="P135" s="92"/>
      <c r="Q135" s="90"/>
    </row>
    <row r="136" ht="14.25" hidden="1" customHeight="1" outlineLevel="2">
      <c r="A136" s="190">
        <v>45336.0</v>
      </c>
      <c r="B136" s="126">
        <f t="shared" si="23"/>
        <v>45336</v>
      </c>
      <c r="C136" s="179" t="s">
        <v>118</v>
      </c>
      <c r="D136" s="129" t="s">
        <v>342</v>
      </c>
      <c r="E136" s="130">
        <v>414.0</v>
      </c>
      <c r="F136" s="129" t="s">
        <v>219</v>
      </c>
      <c r="G136" s="129" t="s">
        <v>424</v>
      </c>
      <c r="I136" s="86"/>
      <c r="J136" s="88"/>
      <c r="K136" s="92"/>
      <c r="L136" s="90"/>
      <c r="N136" s="86"/>
      <c r="O136" s="88"/>
      <c r="P136" s="92"/>
      <c r="Q136" s="90"/>
    </row>
    <row r="137" ht="14.25" hidden="1" customHeight="1" outlineLevel="2">
      <c r="A137" s="125">
        <v>45337.0</v>
      </c>
      <c r="B137" s="126">
        <f t="shared" si="23"/>
        <v>45337</v>
      </c>
      <c r="C137" s="179" t="s">
        <v>118</v>
      </c>
      <c r="D137" s="129" t="s">
        <v>119</v>
      </c>
      <c r="E137" s="130">
        <v>67.0</v>
      </c>
      <c r="F137" s="129" t="s">
        <v>425</v>
      </c>
      <c r="G137" s="127"/>
      <c r="I137" s="86"/>
      <c r="J137" s="88"/>
      <c r="K137" s="92"/>
      <c r="L137" s="90"/>
      <c r="N137" s="86"/>
      <c r="O137" s="88"/>
      <c r="P137" s="92"/>
      <c r="Q137" s="90"/>
    </row>
    <row r="138" ht="14.25" hidden="1" customHeight="1" outlineLevel="2">
      <c r="A138" s="190">
        <v>45338.0</v>
      </c>
      <c r="B138" s="126">
        <f t="shared" si="23"/>
        <v>45338</v>
      </c>
      <c r="C138" s="179" t="s">
        <v>118</v>
      </c>
      <c r="D138" s="129" t="s">
        <v>119</v>
      </c>
      <c r="E138" s="130">
        <v>160.0</v>
      </c>
      <c r="F138" s="129" t="s">
        <v>426</v>
      </c>
      <c r="G138" s="127"/>
      <c r="I138" s="86"/>
      <c r="J138" s="88"/>
      <c r="K138" s="92"/>
      <c r="L138" s="90"/>
      <c r="N138" s="86"/>
      <c r="O138" s="88"/>
      <c r="P138" s="92"/>
      <c r="Q138" s="90"/>
    </row>
    <row r="139" ht="14.25" hidden="1" customHeight="1" outlineLevel="2">
      <c r="A139" s="170">
        <v>45339.0</v>
      </c>
      <c r="B139" s="171">
        <f t="shared" si="23"/>
        <v>45339</v>
      </c>
      <c r="C139" s="206"/>
      <c r="D139" s="173"/>
      <c r="E139" s="174"/>
      <c r="F139" s="173"/>
      <c r="G139" s="185"/>
      <c r="I139" s="86"/>
      <c r="J139" s="88"/>
      <c r="K139" s="92"/>
      <c r="L139" s="90"/>
      <c r="N139" s="86"/>
      <c r="O139" s="88"/>
      <c r="P139" s="92"/>
      <c r="Q139" s="90"/>
    </row>
    <row r="140" ht="14.25" hidden="1" customHeight="1" outlineLevel="2">
      <c r="A140" s="190">
        <v>45340.0</v>
      </c>
      <c r="B140" s="97">
        <f t="shared" si="23"/>
        <v>45340</v>
      </c>
      <c r="C140" s="179" t="s">
        <v>118</v>
      </c>
      <c r="D140" s="129" t="s">
        <v>296</v>
      </c>
      <c r="E140" s="130">
        <v>646.0</v>
      </c>
      <c r="F140" s="129" t="s">
        <v>428</v>
      </c>
      <c r="G140" s="127"/>
      <c r="I140" s="86"/>
      <c r="J140" s="88"/>
      <c r="K140" s="92"/>
      <c r="L140" s="90"/>
      <c r="N140" s="86"/>
      <c r="O140" s="88"/>
      <c r="P140" s="92"/>
      <c r="Q140" s="90"/>
    </row>
    <row r="141" ht="14.25" hidden="1" customHeight="1" outlineLevel="2">
      <c r="A141" s="191"/>
      <c r="B141" s="10"/>
      <c r="C141" s="179" t="s">
        <v>136</v>
      </c>
      <c r="D141" s="129" t="s">
        <v>119</v>
      </c>
      <c r="E141" s="130">
        <v>678.0</v>
      </c>
      <c r="F141" s="129" t="s">
        <v>429</v>
      </c>
      <c r="G141" s="127"/>
      <c r="I141" s="108" t="s">
        <v>195</v>
      </c>
      <c r="J141" s="109"/>
      <c r="K141" s="113">
        <f>SUM(K121:K140)</f>
        <v>376.1</v>
      </c>
      <c r="L141" s="114"/>
      <c r="N141" s="108" t="s">
        <v>195</v>
      </c>
      <c r="O141" s="109"/>
      <c r="P141" s="113">
        <f>SUM(P121:P140)</f>
        <v>0</v>
      </c>
      <c r="Q141" s="114"/>
    </row>
    <row r="142" ht="14.25" hidden="1" customHeight="1" outlineLevel="2">
      <c r="A142" s="190">
        <v>45341.0</v>
      </c>
      <c r="B142" s="126">
        <f t="shared" ref="B142:B148" si="24">A142</f>
        <v>45341</v>
      </c>
      <c r="C142" s="179" t="s">
        <v>118</v>
      </c>
      <c r="D142" s="129" t="s">
        <v>119</v>
      </c>
      <c r="E142" s="130">
        <v>80.0</v>
      </c>
      <c r="F142" s="129" t="s">
        <v>432</v>
      </c>
      <c r="G142" s="127"/>
    </row>
    <row r="143" ht="14.25" hidden="1" customHeight="1" outlineLevel="2">
      <c r="A143" s="190">
        <v>45342.0</v>
      </c>
      <c r="B143" s="126">
        <f t="shared" si="24"/>
        <v>45342</v>
      </c>
      <c r="C143" s="179" t="s">
        <v>118</v>
      </c>
      <c r="D143" s="129" t="s">
        <v>236</v>
      </c>
      <c r="E143" s="130">
        <v>100.0</v>
      </c>
      <c r="F143" s="129" t="s">
        <v>433</v>
      </c>
      <c r="G143" s="127"/>
    </row>
    <row r="144" ht="14.25" hidden="1" customHeight="1" outlineLevel="2">
      <c r="A144" s="190">
        <v>45343.0</v>
      </c>
      <c r="B144" s="126">
        <f t="shared" si="24"/>
        <v>45343</v>
      </c>
      <c r="C144" s="179" t="s">
        <v>118</v>
      </c>
      <c r="D144" s="129" t="s">
        <v>119</v>
      </c>
      <c r="E144" s="130">
        <v>49.0</v>
      </c>
      <c r="F144" s="129" t="s">
        <v>434</v>
      </c>
      <c r="G144" s="127"/>
    </row>
    <row r="145" ht="14.25" hidden="1" customHeight="1" outlineLevel="2">
      <c r="A145" s="190">
        <v>45344.0</v>
      </c>
      <c r="B145" s="126">
        <f t="shared" si="24"/>
        <v>45344</v>
      </c>
      <c r="C145" s="179" t="s">
        <v>118</v>
      </c>
      <c r="D145" s="129" t="s">
        <v>119</v>
      </c>
      <c r="E145" s="130">
        <v>89.0</v>
      </c>
      <c r="F145" s="129" t="s">
        <v>276</v>
      </c>
      <c r="G145" s="127"/>
    </row>
    <row r="146" ht="14.25" hidden="1" customHeight="1" outlineLevel="2">
      <c r="A146" s="190">
        <v>45345.0</v>
      </c>
      <c r="B146" s="126">
        <f t="shared" si="24"/>
        <v>45345</v>
      </c>
      <c r="C146" s="179" t="s">
        <v>118</v>
      </c>
      <c r="D146" s="129" t="s">
        <v>236</v>
      </c>
      <c r="E146" s="130">
        <v>75.0</v>
      </c>
      <c r="F146" s="129" t="s">
        <v>193</v>
      </c>
      <c r="G146" s="127"/>
    </row>
    <row r="147" ht="14.25" hidden="1" customHeight="1" outlineLevel="2">
      <c r="A147" s="195">
        <v>45346.0</v>
      </c>
      <c r="B147" s="171">
        <f t="shared" si="24"/>
        <v>45346</v>
      </c>
      <c r="C147" s="206" t="s">
        <v>118</v>
      </c>
      <c r="D147" s="173" t="s">
        <v>296</v>
      </c>
      <c r="E147" s="174">
        <v>256.0</v>
      </c>
      <c r="F147" s="173" t="s">
        <v>436</v>
      </c>
      <c r="G147" s="185"/>
    </row>
    <row r="148" ht="14.25" hidden="1" customHeight="1" outlineLevel="2">
      <c r="A148" s="190">
        <v>45347.0</v>
      </c>
      <c r="B148" s="97">
        <f t="shared" si="24"/>
        <v>45347</v>
      </c>
      <c r="C148" s="179" t="s">
        <v>118</v>
      </c>
      <c r="D148" s="129" t="s">
        <v>437</v>
      </c>
      <c r="E148" s="130">
        <v>1076.0</v>
      </c>
      <c r="F148" s="129" t="s">
        <v>438</v>
      </c>
      <c r="G148" s="127"/>
    </row>
    <row r="149" ht="14.25" hidden="1" customHeight="1" outlineLevel="2">
      <c r="A149" s="191"/>
      <c r="B149" s="10"/>
      <c r="C149" s="179" t="s">
        <v>136</v>
      </c>
      <c r="D149" s="129" t="s">
        <v>413</v>
      </c>
      <c r="E149" s="130">
        <v>417.0</v>
      </c>
      <c r="F149" s="129" t="s">
        <v>129</v>
      </c>
      <c r="G149" s="127"/>
    </row>
    <row r="150" ht="14.25" hidden="1" customHeight="1" outlineLevel="2">
      <c r="A150" s="190">
        <v>45348.0</v>
      </c>
      <c r="B150" s="126">
        <f t="shared" ref="B150:B153" si="25">A150</f>
        <v>45348</v>
      </c>
      <c r="C150" s="179" t="s">
        <v>118</v>
      </c>
      <c r="D150" s="129" t="s">
        <v>119</v>
      </c>
      <c r="E150" s="130">
        <v>38.0</v>
      </c>
      <c r="F150" s="129" t="s">
        <v>440</v>
      </c>
      <c r="G150" s="127"/>
    </row>
    <row r="151" ht="14.25" hidden="1" customHeight="1" outlineLevel="2">
      <c r="A151" s="190">
        <v>45349.0</v>
      </c>
      <c r="B151" s="126">
        <f t="shared" si="25"/>
        <v>45349</v>
      </c>
      <c r="C151" s="179" t="s">
        <v>118</v>
      </c>
      <c r="D151" s="129" t="s">
        <v>236</v>
      </c>
      <c r="E151" s="130">
        <v>166.0</v>
      </c>
      <c r="F151" s="129" t="s">
        <v>150</v>
      </c>
      <c r="G151" s="127"/>
    </row>
    <row r="152" ht="14.25" hidden="1" customHeight="1" outlineLevel="2">
      <c r="A152" s="190">
        <v>45350.0</v>
      </c>
      <c r="B152" s="126">
        <f t="shared" si="25"/>
        <v>45350</v>
      </c>
      <c r="C152" s="179" t="s">
        <v>118</v>
      </c>
      <c r="D152" s="129" t="s">
        <v>119</v>
      </c>
      <c r="E152" s="130">
        <v>82.0</v>
      </c>
      <c r="F152" s="129" t="s">
        <v>219</v>
      </c>
      <c r="G152" s="127"/>
    </row>
    <row r="153" ht="14.25" hidden="1" customHeight="1" outlineLevel="2">
      <c r="A153" s="190">
        <v>45351.0</v>
      </c>
      <c r="B153" s="126">
        <f t="shared" si="25"/>
        <v>45351</v>
      </c>
      <c r="C153" s="179" t="s">
        <v>118</v>
      </c>
      <c r="D153" s="129" t="s">
        <v>119</v>
      </c>
      <c r="E153" s="130">
        <v>56.0</v>
      </c>
      <c r="F153" s="129" t="s">
        <v>443</v>
      </c>
      <c r="G153" s="127"/>
    </row>
    <row r="154" ht="14.25" hidden="1" customHeight="1" outlineLevel="1">
      <c r="A154" s="117" t="s">
        <v>195</v>
      </c>
      <c r="B154" s="27"/>
      <c r="C154" s="27"/>
      <c r="D154" s="28"/>
      <c r="E154" s="118">
        <f>SUM(E121:E153)</f>
        <v>7390</v>
      </c>
      <c r="F154" s="119"/>
      <c r="G154" s="28"/>
    </row>
    <row r="155" ht="14.25" hidden="1" customHeight="1" outlineLevel="1"/>
    <row r="156" ht="14.25" hidden="1" customHeight="1" outlineLevel="1" collapsed="1">
      <c r="A156" s="122" t="s">
        <v>427</v>
      </c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3"/>
    </row>
    <row r="157" ht="14.25" hidden="1" customHeight="1" outlineLevel="2">
      <c r="A157" s="70" t="s">
        <v>90</v>
      </c>
      <c r="I157" s="72" t="s">
        <v>91</v>
      </c>
      <c r="J157" s="73"/>
      <c r="K157" s="73"/>
      <c r="L157" s="74"/>
      <c r="N157" s="72" t="s">
        <v>95</v>
      </c>
      <c r="O157" s="73"/>
      <c r="P157" s="73"/>
      <c r="Q157" s="74"/>
    </row>
    <row r="158" ht="14.25" hidden="1" customHeight="1" outlineLevel="2">
      <c r="A158" s="81" t="s">
        <v>6</v>
      </c>
      <c r="B158" s="84" t="s">
        <v>103</v>
      </c>
      <c r="C158" s="81" t="s">
        <v>104</v>
      </c>
      <c r="D158" s="81" t="s">
        <v>107</v>
      </c>
      <c r="E158" s="81" t="s">
        <v>109</v>
      </c>
      <c r="F158" s="84" t="s">
        <v>110</v>
      </c>
      <c r="G158" s="81" t="s">
        <v>13</v>
      </c>
      <c r="I158" s="81" t="s">
        <v>6</v>
      </c>
      <c r="J158" s="84" t="s">
        <v>115</v>
      </c>
      <c r="K158" s="84" t="s">
        <v>9</v>
      </c>
      <c r="L158" s="81" t="s">
        <v>13</v>
      </c>
      <c r="N158" s="81" t="s">
        <v>6</v>
      </c>
      <c r="O158" s="84" t="s">
        <v>115</v>
      </c>
      <c r="P158" s="84" t="s">
        <v>9</v>
      </c>
      <c r="Q158" s="81" t="s">
        <v>13</v>
      </c>
    </row>
    <row r="159" ht="14.25" hidden="1" customHeight="1" outlineLevel="2">
      <c r="A159" s="102">
        <v>45352.0</v>
      </c>
      <c r="B159" s="97">
        <f>A159</f>
        <v>45352</v>
      </c>
      <c r="C159" s="127" t="s">
        <v>118</v>
      </c>
      <c r="D159" s="129" t="s">
        <v>296</v>
      </c>
      <c r="E159" s="130">
        <v>172.0</v>
      </c>
      <c r="F159" s="129" t="s">
        <v>134</v>
      </c>
      <c r="G159" s="127"/>
      <c r="I159" s="86">
        <v>45356.0</v>
      </c>
      <c r="J159" s="88">
        <f t="shared" ref="J159:J163" si="26">I159</f>
        <v>45356</v>
      </c>
      <c r="K159" s="93">
        <v>113.65</v>
      </c>
      <c r="L159" s="90"/>
      <c r="N159" s="94"/>
      <c r="O159" s="94"/>
      <c r="P159" s="93"/>
      <c r="Q159" s="91"/>
    </row>
    <row r="160" ht="14.25" hidden="1" customHeight="1" outlineLevel="2">
      <c r="A160" s="10"/>
      <c r="B160" s="10"/>
      <c r="C160" s="129" t="s">
        <v>136</v>
      </c>
      <c r="D160" s="129" t="s">
        <v>296</v>
      </c>
      <c r="E160" s="130">
        <v>300.0</v>
      </c>
      <c r="F160" s="129" t="s">
        <v>454</v>
      </c>
      <c r="G160" s="129" t="s">
        <v>455</v>
      </c>
      <c r="I160" s="86">
        <v>45364.0</v>
      </c>
      <c r="J160" s="88">
        <f t="shared" si="26"/>
        <v>45364</v>
      </c>
      <c r="K160" s="93">
        <v>100.25</v>
      </c>
      <c r="L160" s="90"/>
      <c r="N160" s="94"/>
      <c r="O160" s="94"/>
      <c r="P160" s="93"/>
      <c r="Q160" s="91"/>
    </row>
    <row r="161" ht="14.25" hidden="1" customHeight="1" outlineLevel="2">
      <c r="A161" s="190">
        <v>45354.0</v>
      </c>
      <c r="B161" s="97">
        <f>A161</f>
        <v>45354</v>
      </c>
      <c r="C161" s="209" t="s">
        <v>118</v>
      </c>
      <c r="D161" s="200"/>
      <c r="E161" s="201"/>
      <c r="F161" s="200"/>
      <c r="G161" s="200" t="s">
        <v>457</v>
      </c>
      <c r="I161" s="86">
        <v>45372.0</v>
      </c>
      <c r="J161" s="88">
        <f t="shared" si="26"/>
        <v>45372</v>
      </c>
      <c r="K161" s="93">
        <v>83.1</v>
      </c>
      <c r="L161" s="90"/>
      <c r="N161" s="86"/>
      <c r="O161" s="88"/>
      <c r="P161" s="93"/>
      <c r="Q161" s="90"/>
    </row>
    <row r="162" ht="14.25" hidden="1" customHeight="1" outlineLevel="2">
      <c r="A162" s="191"/>
      <c r="B162" s="10"/>
      <c r="C162" s="129" t="s">
        <v>136</v>
      </c>
      <c r="D162" s="129" t="s">
        <v>413</v>
      </c>
      <c r="E162" s="130">
        <v>800.0</v>
      </c>
      <c r="F162" s="129" t="s">
        <v>458</v>
      </c>
      <c r="G162" s="127"/>
      <c r="I162" s="86">
        <v>45376.0</v>
      </c>
      <c r="J162" s="88">
        <f t="shared" si="26"/>
        <v>45376</v>
      </c>
      <c r="K162" s="93">
        <v>63.0</v>
      </c>
      <c r="L162" s="90"/>
      <c r="N162" s="165" t="s">
        <v>195</v>
      </c>
      <c r="O162" s="165"/>
      <c r="P162" s="113">
        <f>SUM(P159:P161)</f>
        <v>0</v>
      </c>
      <c r="Q162" s="114"/>
    </row>
    <row r="163" ht="14.25" hidden="1" customHeight="1" outlineLevel="2">
      <c r="A163" s="190">
        <v>45355.0</v>
      </c>
      <c r="B163" s="126">
        <f t="shared" ref="B163:B169" si="27">A163</f>
        <v>45355</v>
      </c>
      <c r="C163" s="129" t="s">
        <v>118</v>
      </c>
      <c r="D163" s="129" t="s">
        <v>119</v>
      </c>
      <c r="E163" s="130">
        <v>68.0</v>
      </c>
      <c r="F163" s="129" t="s">
        <v>181</v>
      </c>
      <c r="G163" s="129"/>
      <c r="I163" s="86">
        <v>45382.0</v>
      </c>
      <c r="J163" s="88">
        <f t="shared" si="26"/>
        <v>45382</v>
      </c>
      <c r="K163" s="93">
        <v>40.2</v>
      </c>
      <c r="L163" s="90"/>
      <c r="N163" s="166"/>
      <c r="O163" s="167"/>
      <c r="P163" s="168"/>
      <c r="Q163" s="51"/>
    </row>
    <row r="164" ht="14.25" hidden="1" customHeight="1" outlineLevel="2">
      <c r="A164" s="125">
        <v>45356.0</v>
      </c>
      <c r="B164" s="126">
        <f t="shared" si="27"/>
        <v>45356</v>
      </c>
      <c r="C164" s="129" t="s">
        <v>118</v>
      </c>
      <c r="D164" s="129" t="s">
        <v>236</v>
      </c>
      <c r="E164" s="130">
        <v>107.0</v>
      </c>
      <c r="F164" s="129" t="s">
        <v>150</v>
      </c>
      <c r="G164" s="127"/>
      <c r="I164" s="86"/>
      <c r="J164" s="88"/>
      <c r="K164" s="93"/>
      <c r="L164" s="90"/>
      <c r="N164" s="72" t="s">
        <v>344</v>
      </c>
      <c r="O164" s="73"/>
      <c r="P164" s="73"/>
      <c r="Q164" s="74"/>
    </row>
    <row r="165" ht="14.25" hidden="1" customHeight="1" outlineLevel="2">
      <c r="A165" s="190">
        <v>45357.0</v>
      </c>
      <c r="B165" s="126">
        <f t="shared" si="27"/>
        <v>45357</v>
      </c>
      <c r="C165" s="129" t="s">
        <v>118</v>
      </c>
      <c r="D165" s="129" t="s">
        <v>119</v>
      </c>
      <c r="E165" s="130">
        <v>56.0</v>
      </c>
      <c r="F165" s="129" t="s">
        <v>461</v>
      </c>
      <c r="G165" s="127"/>
      <c r="I165" s="86"/>
      <c r="J165" s="88"/>
      <c r="K165" s="93"/>
      <c r="L165" s="90"/>
      <c r="N165" s="81" t="s">
        <v>6</v>
      </c>
      <c r="O165" s="84" t="s">
        <v>115</v>
      </c>
      <c r="P165" s="84" t="s">
        <v>9</v>
      </c>
      <c r="Q165" s="81" t="s">
        <v>13</v>
      </c>
    </row>
    <row r="166" ht="14.25" hidden="1" customHeight="1" outlineLevel="2">
      <c r="A166" s="125">
        <v>45358.0</v>
      </c>
      <c r="B166" s="126">
        <f t="shared" si="27"/>
        <v>45358</v>
      </c>
      <c r="C166" s="129" t="s">
        <v>118</v>
      </c>
      <c r="D166" s="129" t="s">
        <v>119</v>
      </c>
      <c r="E166" s="130">
        <v>89.0</v>
      </c>
      <c r="F166" s="129" t="s">
        <v>276</v>
      </c>
      <c r="G166" s="127"/>
      <c r="I166" s="86"/>
      <c r="J166" s="88"/>
      <c r="K166" s="92"/>
      <c r="L166" s="90"/>
      <c r="N166" s="86"/>
      <c r="O166" s="88"/>
      <c r="P166" s="92"/>
      <c r="Q166" s="90"/>
    </row>
    <row r="167" ht="14.25" hidden="1" customHeight="1" outlineLevel="2">
      <c r="A167" s="190">
        <v>45359.0</v>
      </c>
      <c r="B167" s="126">
        <f t="shared" si="27"/>
        <v>45359</v>
      </c>
      <c r="C167" s="129" t="s">
        <v>118</v>
      </c>
      <c r="D167" s="129" t="s">
        <v>236</v>
      </c>
      <c r="E167" s="130">
        <v>215.0</v>
      </c>
      <c r="F167" s="129" t="s">
        <v>260</v>
      </c>
      <c r="G167" s="129"/>
      <c r="I167" s="86"/>
      <c r="J167" s="88"/>
      <c r="K167" s="92"/>
      <c r="L167" s="90"/>
      <c r="N167" s="86"/>
      <c r="O167" s="88"/>
      <c r="P167" s="92"/>
      <c r="Q167" s="90"/>
    </row>
    <row r="168" ht="14.25" hidden="1" customHeight="1" outlineLevel="2">
      <c r="A168" s="125">
        <v>45360.0</v>
      </c>
      <c r="B168" s="197">
        <f t="shared" si="27"/>
        <v>45360</v>
      </c>
      <c r="C168" s="200"/>
      <c r="D168" s="200"/>
      <c r="E168" s="201"/>
      <c r="F168" s="200"/>
      <c r="G168" s="209"/>
      <c r="I168" s="86"/>
      <c r="J168" s="88"/>
      <c r="K168" s="92"/>
      <c r="L168" s="90"/>
      <c r="N168" s="86"/>
      <c r="O168" s="88"/>
      <c r="P168" s="92"/>
      <c r="Q168" s="90"/>
    </row>
    <row r="169" ht="14.25" hidden="1" customHeight="1" outlineLevel="2">
      <c r="A169" s="190">
        <v>45361.0</v>
      </c>
      <c r="B169" s="97">
        <f t="shared" si="27"/>
        <v>45361</v>
      </c>
      <c r="C169" s="127" t="s">
        <v>118</v>
      </c>
      <c r="D169" s="129" t="s">
        <v>272</v>
      </c>
      <c r="E169" s="130">
        <v>608.0</v>
      </c>
      <c r="F169" s="129" t="s">
        <v>219</v>
      </c>
      <c r="G169" s="129"/>
      <c r="I169" s="86"/>
      <c r="J169" s="88"/>
      <c r="K169" s="92"/>
      <c r="L169" s="90"/>
      <c r="N169" s="86"/>
      <c r="O169" s="88"/>
      <c r="P169" s="92"/>
      <c r="Q169" s="90"/>
    </row>
    <row r="170" ht="14.25" hidden="1" customHeight="1" outlineLevel="2">
      <c r="A170" s="191"/>
      <c r="B170" s="10"/>
      <c r="C170" s="129" t="s">
        <v>136</v>
      </c>
      <c r="D170" s="129" t="s">
        <v>448</v>
      </c>
      <c r="E170" s="130">
        <v>1237.0</v>
      </c>
      <c r="F170" s="129" t="s">
        <v>465</v>
      </c>
      <c r="G170" s="129"/>
      <c r="I170" s="86"/>
      <c r="J170" s="88"/>
      <c r="K170" s="92"/>
      <c r="L170" s="90"/>
      <c r="N170" s="86"/>
      <c r="O170" s="88"/>
      <c r="P170" s="92"/>
      <c r="Q170" s="90"/>
    </row>
    <row r="171" ht="14.25" hidden="1" customHeight="1" outlineLevel="2">
      <c r="A171" s="125">
        <v>45362.0</v>
      </c>
      <c r="B171" s="126">
        <f t="shared" ref="B171:B177" si="28">A171</f>
        <v>45362</v>
      </c>
      <c r="C171" s="179" t="s">
        <v>118</v>
      </c>
      <c r="D171" s="129" t="s">
        <v>119</v>
      </c>
      <c r="E171" s="130">
        <v>95.0</v>
      </c>
      <c r="F171" s="129" t="s">
        <v>468</v>
      </c>
      <c r="G171" s="129"/>
      <c r="I171" s="86"/>
      <c r="J171" s="88"/>
      <c r="K171" s="92"/>
      <c r="L171" s="90"/>
      <c r="N171" s="86"/>
      <c r="O171" s="88"/>
      <c r="P171" s="92"/>
      <c r="Q171" s="90"/>
    </row>
    <row r="172" ht="14.25" hidden="1" customHeight="1" outlineLevel="2">
      <c r="A172" s="190">
        <v>45363.0</v>
      </c>
      <c r="B172" s="126">
        <f t="shared" si="28"/>
        <v>45363</v>
      </c>
      <c r="C172" s="179" t="s">
        <v>118</v>
      </c>
      <c r="D172" s="129" t="s">
        <v>119</v>
      </c>
      <c r="E172" s="130">
        <v>191.0</v>
      </c>
      <c r="F172" s="129" t="s">
        <v>402</v>
      </c>
      <c r="G172" s="127"/>
      <c r="I172" s="86"/>
      <c r="J172" s="88"/>
      <c r="K172" s="92"/>
      <c r="L172" s="90"/>
      <c r="N172" s="86"/>
      <c r="O172" s="88"/>
      <c r="P172" s="92"/>
      <c r="Q172" s="90"/>
    </row>
    <row r="173" ht="14.25" hidden="1" customHeight="1" outlineLevel="2">
      <c r="A173" s="125">
        <v>45364.0</v>
      </c>
      <c r="B173" s="126">
        <f t="shared" si="28"/>
        <v>45364</v>
      </c>
      <c r="C173" s="179" t="s">
        <v>118</v>
      </c>
      <c r="D173" s="129" t="s">
        <v>119</v>
      </c>
      <c r="E173" s="130">
        <v>36.0</v>
      </c>
      <c r="F173" s="129" t="s">
        <v>153</v>
      </c>
      <c r="G173" s="127"/>
      <c r="I173" s="86"/>
      <c r="J173" s="88"/>
      <c r="K173" s="92"/>
      <c r="L173" s="90"/>
      <c r="N173" s="86"/>
      <c r="O173" s="88"/>
      <c r="P173" s="92"/>
      <c r="Q173" s="90"/>
    </row>
    <row r="174" ht="14.25" hidden="1" customHeight="1" outlineLevel="2">
      <c r="A174" s="125">
        <v>45365.0</v>
      </c>
      <c r="B174" s="126">
        <f t="shared" si="28"/>
        <v>45365</v>
      </c>
      <c r="C174" s="179" t="s">
        <v>118</v>
      </c>
      <c r="D174" s="129" t="s">
        <v>119</v>
      </c>
      <c r="E174" s="130">
        <v>135.0</v>
      </c>
      <c r="F174" s="129" t="s">
        <v>154</v>
      </c>
      <c r="G174" s="127"/>
      <c r="I174" s="108" t="s">
        <v>195</v>
      </c>
      <c r="J174" s="109"/>
      <c r="K174" s="113">
        <f>SUM(K159:K173)</f>
        <v>400.2</v>
      </c>
      <c r="L174" s="114"/>
      <c r="N174" s="108" t="s">
        <v>195</v>
      </c>
      <c r="O174" s="109"/>
      <c r="P174" s="113">
        <f>SUM(P166:P173)</f>
        <v>0</v>
      </c>
      <c r="Q174" s="114"/>
    </row>
    <row r="175" ht="14.25" hidden="1" customHeight="1" outlineLevel="2">
      <c r="A175" s="125">
        <v>45366.0</v>
      </c>
      <c r="B175" s="126">
        <f t="shared" si="28"/>
        <v>45366</v>
      </c>
      <c r="C175" s="179" t="s">
        <v>118</v>
      </c>
      <c r="D175" s="129" t="s">
        <v>236</v>
      </c>
      <c r="E175" s="130">
        <v>154.0</v>
      </c>
      <c r="F175" s="129" t="s">
        <v>482</v>
      </c>
      <c r="G175" s="127"/>
    </row>
    <row r="176" ht="14.25" hidden="1" customHeight="1" outlineLevel="2">
      <c r="A176" s="190">
        <v>45367.0</v>
      </c>
      <c r="B176" s="197">
        <f t="shared" si="28"/>
        <v>45367</v>
      </c>
      <c r="C176" s="199"/>
      <c r="D176" s="200"/>
      <c r="E176" s="201"/>
      <c r="F176" s="200"/>
      <c r="G176" s="209"/>
    </row>
    <row r="177" ht="14.25" hidden="1" customHeight="1" outlineLevel="2">
      <c r="A177" s="102">
        <v>45368.0</v>
      </c>
      <c r="B177" s="97">
        <f t="shared" si="28"/>
        <v>45368</v>
      </c>
      <c r="C177" s="179" t="s">
        <v>118</v>
      </c>
      <c r="D177" s="129" t="s">
        <v>456</v>
      </c>
      <c r="E177" s="130">
        <v>397.0</v>
      </c>
      <c r="F177" s="129" t="s">
        <v>243</v>
      </c>
      <c r="G177" s="127"/>
    </row>
    <row r="178" ht="14.25" hidden="1" customHeight="1" outlineLevel="2">
      <c r="A178" s="10"/>
      <c r="B178" s="10"/>
      <c r="C178" s="179" t="s">
        <v>136</v>
      </c>
      <c r="D178" s="129" t="s">
        <v>413</v>
      </c>
      <c r="E178" s="130">
        <v>671.0</v>
      </c>
      <c r="F178" s="129" t="s">
        <v>129</v>
      </c>
      <c r="G178" s="127"/>
    </row>
    <row r="179" ht="14.25" hidden="1" customHeight="1" outlineLevel="2">
      <c r="A179" s="190">
        <v>45369.0</v>
      </c>
      <c r="B179" s="126">
        <f t="shared" ref="B179:B185" si="29">A179</f>
        <v>45369</v>
      </c>
      <c r="C179" s="179" t="s">
        <v>118</v>
      </c>
      <c r="D179" s="129" t="s">
        <v>119</v>
      </c>
      <c r="E179" s="130">
        <v>201.0</v>
      </c>
      <c r="F179" s="129" t="s">
        <v>414</v>
      </c>
      <c r="G179" s="127"/>
    </row>
    <row r="180" ht="14.25" hidden="1" customHeight="1" outlineLevel="2">
      <c r="A180" s="125">
        <v>45370.0</v>
      </c>
      <c r="B180" s="97">
        <f t="shared" si="29"/>
        <v>45370</v>
      </c>
      <c r="C180" s="179" t="s">
        <v>118</v>
      </c>
      <c r="D180" s="129" t="s">
        <v>236</v>
      </c>
      <c r="E180" s="130">
        <v>554.0</v>
      </c>
      <c r="F180" s="129" t="s">
        <v>489</v>
      </c>
      <c r="G180" s="127"/>
    </row>
    <row r="181" ht="14.25" hidden="1" customHeight="1" outlineLevel="2">
      <c r="A181" s="190">
        <v>45371.0</v>
      </c>
      <c r="B181" s="97">
        <f t="shared" si="29"/>
        <v>45371</v>
      </c>
      <c r="C181" s="97">
        <f>B181</f>
        <v>45371</v>
      </c>
      <c r="D181" s="129" t="s">
        <v>119</v>
      </c>
      <c r="E181" s="130">
        <v>40.0</v>
      </c>
      <c r="F181" s="129" t="s">
        <v>492</v>
      </c>
      <c r="G181" s="127"/>
    </row>
    <row r="182" ht="14.25" hidden="1" customHeight="1" outlineLevel="2">
      <c r="A182" s="125">
        <v>45372.0</v>
      </c>
      <c r="B182" s="126">
        <f t="shared" si="29"/>
        <v>45372</v>
      </c>
      <c r="C182" s="179" t="s">
        <v>118</v>
      </c>
      <c r="D182" s="129" t="s">
        <v>119</v>
      </c>
      <c r="E182" s="130">
        <v>78.0</v>
      </c>
      <c r="F182" s="129" t="s">
        <v>494</v>
      </c>
      <c r="G182" s="127"/>
    </row>
    <row r="183" ht="14.25" hidden="1" customHeight="1" outlineLevel="2">
      <c r="A183" s="190">
        <v>45373.0</v>
      </c>
      <c r="B183" s="126">
        <f t="shared" si="29"/>
        <v>45373</v>
      </c>
      <c r="C183" s="179" t="s">
        <v>118</v>
      </c>
      <c r="D183" s="129" t="s">
        <v>236</v>
      </c>
      <c r="E183" s="130">
        <v>106.0</v>
      </c>
      <c r="F183" s="129" t="s">
        <v>497</v>
      </c>
      <c r="G183" s="127"/>
    </row>
    <row r="184" ht="14.25" hidden="1" customHeight="1" outlineLevel="2">
      <c r="A184" s="190">
        <v>45374.0</v>
      </c>
      <c r="B184" s="197">
        <f t="shared" si="29"/>
        <v>45374</v>
      </c>
      <c r="C184" s="199"/>
      <c r="D184" s="200"/>
      <c r="E184" s="201"/>
      <c r="F184" s="209"/>
      <c r="G184" s="209"/>
    </row>
    <row r="185" ht="14.25" hidden="1" customHeight="1" outlineLevel="2">
      <c r="A185" s="102">
        <v>45375.0</v>
      </c>
      <c r="B185" s="97">
        <f t="shared" si="29"/>
        <v>45375</v>
      </c>
      <c r="C185" s="179" t="s">
        <v>118</v>
      </c>
      <c r="D185" s="129" t="s">
        <v>413</v>
      </c>
      <c r="E185" s="130">
        <v>843.0</v>
      </c>
      <c r="F185" s="129" t="s">
        <v>219</v>
      </c>
      <c r="G185" s="127"/>
    </row>
    <row r="186" ht="14.25" hidden="1" customHeight="1" outlineLevel="2">
      <c r="A186" s="10"/>
      <c r="B186" s="10"/>
      <c r="C186" s="179" t="s">
        <v>136</v>
      </c>
      <c r="D186" s="129" t="s">
        <v>413</v>
      </c>
      <c r="E186" s="130">
        <v>600.0</v>
      </c>
      <c r="F186" s="210" t="s">
        <v>498</v>
      </c>
      <c r="G186" s="211"/>
    </row>
    <row r="187" ht="14.25" hidden="1" customHeight="1" outlineLevel="2">
      <c r="A187" s="190">
        <v>45376.0</v>
      </c>
      <c r="B187" s="126">
        <f t="shared" ref="B187:B189" si="30">A187</f>
        <v>45376</v>
      </c>
      <c r="C187" s="179" t="s">
        <v>118</v>
      </c>
      <c r="D187" s="129" t="s">
        <v>119</v>
      </c>
      <c r="E187" s="130">
        <v>70.0</v>
      </c>
      <c r="F187" s="210" t="s">
        <v>181</v>
      </c>
      <c r="G187" s="211"/>
    </row>
    <row r="188" ht="14.25" hidden="1" customHeight="1" outlineLevel="2">
      <c r="A188" s="125">
        <v>45377.0</v>
      </c>
      <c r="B188" s="97">
        <f t="shared" si="30"/>
        <v>45377</v>
      </c>
      <c r="C188" s="179" t="s">
        <v>118</v>
      </c>
      <c r="D188" s="212" t="s">
        <v>236</v>
      </c>
      <c r="E188" s="130">
        <v>36.0</v>
      </c>
      <c r="F188" s="210" t="s">
        <v>150</v>
      </c>
      <c r="G188" s="211"/>
    </row>
    <row r="189" ht="14.25" hidden="1" customHeight="1" outlineLevel="2">
      <c r="A189" s="190">
        <v>45378.0</v>
      </c>
      <c r="B189" s="97">
        <f t="shared" si="30"/>
        <v>45378</v>
      </c>
      <c r="C189" s="97">
        <f>B189</f>
        <v>45378</v>
      </c>
      <c r="D189" s="129" t="s">
        <v>119</v>
      </c>
      <c r="E189" s="130">
        <v>74.0</v>
      </c>
      <c r="F189" s="210" t="s">
        <v>219</v>
      </c>
      <c r="G189" s="211"/>
    </row>
    <row r="190" ht="14.25" hidden="1" customHeight="1" outlineLevel="2">
      <c r="A190" s="191"/>
      <c r="B190" s="58"/>
      <c r="C190" s="58"/>
      <c r="D190" s="212" t="s">
        <v>342</v>
      </c>
      <c r="E190" s="130">
        <v>291.0</v>
      </c>
      <c r="F190" s="210" t="s">
        <v>219</v>
      </c>
      <c r="G190" s="211"/>
    </row>
    <row r="191" ht="14.25" hidden="1" customHeight="1" outlineLevel="2">
      <c r="A191" s="125">
        <v>45379.0</v>
      </c>
      <c r="B191" s="97">
        <f t="shared" ref="B191:C191" si="31">A191</f>
        <v>45379</v>
      </c>
      <c r="C191" s="97">
        <f t="shared" si="31"/>
        <v>45379</v>
      </c>
      <c r="D191" s="212" t="s">
        <v>342</v>
      </c>
      <c r="E191" s="130">
        <v>969.0</v>
      </c>
      <c r="F191" s="210" t="s">
        <v>505</v>
      </c>
      <c r="G191" s="211"/>
    </row>
    <row r="192" ht="14.25" hidden="1" customHeight="1" outlineLevel="2">
      <c r="A192" s="190">
        <v>45380.0</v>
      </c>
      <c r="B192" s="126">
        <f t="shared" ref="B192:B194" si="32">A192</f>
        <v>45380</v>
      </c>
      <c r="C192" s="179" t="s">
        <v>118</v>
      </c>
      <c r="D192" s="212" t="s">
        <v>342</v>
      </c>
      <c r="E192" s="130">
        <v>1096.0</v>
      </c>
      <c r="F192" s="91" t="s">
        <v>507</v>
      </c>
      <c r="G192" s="213" t="s">
        <v>508</v>
      </c>
    </row>
    <row r="193" ht="14.25" hidden="1" customHeight="1" outlineLevel="2">
      <c r="A193" s="125">
        <v>45381.0</v>
      </c>
      <c r="B193" s="126">
        <f t="shared" si="32"/>
        <v>45381</v>
      </c>
      <c r="C193" s="179" t="s">
        <v>136</v>
      </c>
      <c r="D193" s="214" t="s">
        <v>486</v>
      </c>
      <c r="E193" s="215">
        <v>560.0</v>
      </c>
      <c r="F193" s="91" t="s">
        <v>507</v>
      </c>
      <c r="G193" s="216"/>
    </row>
    <row r="194" ht="14.25" hidden="1" customHeight="1" outlineLevel="2">
      <c r="A194" s="190">
        <v>45382.0</v>
      </c>
      <c r="B194" s="97">
        <f t="shared" si="32"/>
        <v>45382</v>
      </c>
      <c r="C194" s="179" t="s">
        <v>118</v>
      </c>
      <c r="D194" s="212" t="s">
        <v>490</v>
      </c>
      <c r="E194" s="218">
        <v>659.0</v>
      </c>
      <c r="F194" s="219" t="s">
        <v>183</v>
      </c>
      <c r="G194" s="211"/>
    </row>
    <row r="195" ht="14.25" hidden="1" customHeight="1" outlineLevel="2">
      <c r="A195" s="191"/>
      <c r="B195" s="10"/>
      <c r="C195" s="179" t="s">
        <v>136</v>
      </c>
      <c r="D195" s="212" t="s">
        <v>342</v>
      </c>
      <c r="E195" s="218">
        <v>786.0</v>
      </c>
      <c r="F195" s="219" t="s">
        <v>129</v>
      </c>
      <c r="G195" s="211"/>
    </row>
    <row r="196" ht="14.25" hidden="1" customHeight="1" outlineLevel="1">
      <c r="A196" s="117" t="s">
        <v>195</v>
      </c>
      <c r="B196" s="27"/>
      <c r="C196" s="27"/>
      <c r="D196" s="28"/>
      <c r="E196" s="118">
        <f>SUM(E159:E195)</f>
        <v>12294</v>
      </c>
      <c r="F196" s="119"/>
      <c r="G196" s="28"/>
    </row>
    <row r="197" ht="14.25" hidden="1" customHeight="1" outlineLevel="1"/>
    <row r="198" ht="14.25" hidden="1" customHeight="1" outlineLevel="1" collapsed="1">
      <c r="A198" s="122" t="s">
        <v>499</v>
      </c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3"/>
    </row>
    <row r="199" ht="14.25" hidden="1" customHeight="1" outlineLevel="2">
      <c r="A199" s="70" t="s">
        <v>90</v>
      </c>
      <c r="I199" s="72" t="s">
        <v>91</v>
      </c>
      <c r="J199" s="73"/>
      <c r="K199" s="73"/>
      <c r="L199" s="74"/>
      <c r="N199" s="72" t="s">
        <v>95</v>
      </c>
      <c r="O199" s="73"/>
      <c r="P199" s="73"/>
      <c r="Q199" s="74"/>
    </row>
    <row r="200" ht="14.25" hidden="1" customHeight="1" outlineLevel="2">
      <c r="A200" s="81" t="s">
        <v>6</v>
      </c>
      <c r="B200" s="84" t="s">
        <v>103</v>
      </c>
      <c r="C200" s="81" t="s">
        <v>104</v>
      </c>
      <c r="D200" s="81" t="s">
        <v>107</v>
      </c>
      <c r="E200" s="81" t="s">
        <v>109</v>
      </c>
      <c r="F200" s="84" t="s">
        <v>110</v>
      </c>
      <c r="G200" s="81" t="s">
        <v>13</v>
      </c>
      <c r="I200" s="81" t="s">
        <v>6</v>
      </c>
      <c r="J200" s="84" t="s">
        <v>115</v>
      </c>
      <c r="K200" s="84" t="s">
        <v>9</v>
      </c>
      <c r="L200" s="81" t="s">
        <v>13</v>
      </c>
      <c r="N200" s="81" t="s">
        <v>6</v>
      </c>
      <c r="O200" s="84" t="s">
        <v>115</v>
      </c>
      <c r="P200" s="84" t="s">
        <v>9</v>
      </c>
      <c r="Q200" s="81" t="s">
        <v>13</v>
      </c>
    </row>
    <row r="201" ht="14.25" hidden="1" customHeight="1" outlineLevel="2">
      <c r="A201" s="125">
        <v>45383.0</v>
      </c>
      <c r="B201" s="126">
        <f t="shared" ref="B201:B205" si="33">A201</f>
        <v>45383</v>
      </c>
      <c r="C201" s="129" t="s">
        <v>118</v>
      </c>
      <c r="D201" s="123" t="s">
        <v>119</v>
      </c>
      <c r="E201" s="226">
        <v>39.0</v>
      </c>
      <c r="F201" s="123" t="s">
        <v>516</v>
      </c>
      <c r="G201" s="227"/>
      <c r="I201" s="86">
        <v>45390.0</v>
      </c>
      <c r="J201" s="88">
        <f t="shared" ref="J201:J205" si="34">I201</f>
        <v>45390</v>
      </c>
      <c r="K201" s="93">
        <v>92.0</v>
      </c>
      <c r="L201" s="90"/>
      <c r="N201" s="94"/>
      <c r="O201" s="94"/>
      <c r="P201" s="93"/>
      <c r="Q201" s="91"/>
    </row>
    <row r="202" ht="14.25" hidden="1" customHeight="1" outlineLevel="2">
      <c r="A202" s="125">
        <v>45384.0</v>
      </c>
      <c r="B202" s="126">
        <f t="shared" si="33"/>
        <v>45384</v>
      </c>
      <c r="C202" s="129" t="s">
        <v>118</v>
      </c>
      <c r="D202" s="123" t="s">
        <v>236</v>
      </c>
      <c r="E202" s="226">
        <v>143.0</v>
      </c>
      <c r="F202" s="123" t="s">
        <v>402</v>
      </c>
      <c r="G202" s="227"/>
      <c r="I202" s="86">
        <v>45396.0</v>
      </c>
      <c r="J202" s="88">
        <f t="shared" si="34"/>
        <v>45396</v>
      </c>
      <c r="K202" s="93">
        <v>59.5</v>
      </c>
      <c r="L202" s="90"/>
      <c r="N202" s="94"/>
      <c r="O202" s="94"/>
      <c r="P202" s="93"/>
      <c r="Q202" s="91"/>
    </row>
    <row r="203" ht="14.25" hidden="1" customHeight="1" outlineLevel="2">
      <c r="A203" s="125">
        <v>45385.0</v>
      </c>
      <c r="B203" s="126">
        <f t="shared" si="33"/>
        <v>45385</v>
      </c>
      <c r="C203" s="129" t="s">
        <v>118</v>
      </c>
      <c r="D203" s="123" t="s">
        <v>119</v>
      </c>
      <c r="E203" s="226">
        <v>60.0</v>
      </c>
      <c r="F203" s="123" t="s">
        <v>518</v>
      </c>
      <c r="G203" s="227"/>
      <c r="I203" s="86">
        <v>45401.0</v>
      </c>
      <c r="J203" s="88">
        <f t="shared" si="34"/>
        <v>45401</v>
      </c>
      <c r="K203" s="93">
        <v>29.7</v>
      </c>
      <c r="L203" s="90"/>
      <c r="N203" s="165" t="s">
        <v>195</v>
      </c>
      <c r="O203" s="165"/>
      <c r="P203" s="113">
        <f>SUM(P201:P202)</f>
        <v>0</v>
      </c>
      <c r="Q203" s="114"/>
    </row>
    <row r="204" ht="14.25" hidden="1" customHeight="1" outlineLevel="2">
      <c r="A204" s="125">
        <v>45386.0</v>
      </c>
      <c r="B204" s="126">
        <f t="shared" si="33"/>
        <v>45386</v>
      </c>
      <c r="C204" s="129" t="s">
        <v>118</v>
      </c>
      <c r="D204" s="123" t="s">
        <v>119</v>
      </c>
      <c r="E204" s="226">
        <v>60.0</v>
      </c>
      <c r="F204" s="123" t="s">
        <v>443</v>
      </c>
      <c r="G204" s="227"/>
      <c r="I204" s="86">
        <v>45403.0</v>
      </c>
      <c r="J204" s="88">
        <f t="shared" si="34"/>
        <v>45403</v>
      </c>
      <c r="K204" s="93">
        <v>30.15</v>
      </c>
      <c r="L204" s="90"/>
      <c r="N204" s="166"/>
      <c r="O204" s="167"/>
      <c r="P204" s="168"/>
      <c r="Q204" s="51"/>
    </row>
    <row r="205" ht="14.25" hidden="1" customHeight="1" outlineLevel="2">
      <c r="A205" s="102">
        <v>45387.0</v>
      </c>
      <c r="B205" s="97">
        <f t="shared" si="33"/>
        <v>45387</v>
      </c>
      <c r="C205" s="129" t="s">
        <v>118</v>
      </c>
      <c r="D205" s="123" t="s">
        <v>296</v>
      </c>
      <c r="E205" s="226">
        <v>135.0</v>
      </c>
      <c r="F205" s="123" t="s">
        <v>237</v>
      </c>
      <c r="G205" s="227"/>
      <c r="I205" s="86">
        <v>45411.0</v>
      </c>
      <c r="J205" s="88">
        <f t="shared" si="34"/>
        <v>45411</v>
      </c>
      <c r="K205" s="93">
        <v>101.0</v>
      </c>
      <c r="L205" s="90"/>
    </row>
    <row r="206" ht="14.25" hidden="1" customHeight="1" outlineLevel="2">
      <c r="A206" s="10"/>
      <c r="B206" s="10"/>
      <c r="C206" s="129" t="s">
        <v>136</v>
      </c>
      <c r="D206" s="123" t="s">
        <v>456</v>
      </c>
      <c r="E206" s="226">
        <v>197.0</v>
      </c>
      <c r="F206" s="123" t="s">
        <v>507</v>
      </c>
      <c r="G206" s="227"/>
      <c r="I206" s="86"/>
      <c r="J206" s="88"/>
      <c r="K206" s="92"/>
      <c r="L206" s="90"/>
      <c r="N206" s="235" t="s">
        <v>344</v>
      </c>
      <c r="O206" s="27"/>
      <c r="P206" s="27"/>
      <c r="Q206" s="28"/>
    </row>
    <row r="207" ht="14.25" hidden="1" customHeight="1" outlineLevel="2">
      <c r="A207" s="125">
        <v>45388.0</v>
      </c>
      <c r="B207" s="126">
        <f t="shared" ref="B207:B208" si="35">A207</f>
        <v>45388</v>
      </c>
      <c r="C207" s="129" t="s">
        <v>118</v>
      </c>
      <c r="D207" s="123" t="s">
        <v>296</v>
      </c>
      <c r="E207" s="226">
        <v>89.0</v>
      </c>
      <c r="F207" s="123" t="s">
        <v>129</v>
      </c>
      <c r="G207" s="227"/>
      <c r="I207" s="86"/>
      <c r="J207" s="88"/>
      <c r="K207" s="92"/>
      <c r="L207" s="90"/>
      <c r="N207" s="81" t="s">
        <v>6</v>
      </c>
      <c r="O207" s="84" t="s">
        <v>115</v>
      </c>
      <c r="P207" s="84" t="s">
        <v>9</v>
      </c>
      <c r="Q207" s="81" t="s">
        <v>13</v>
      </c>
    </row>
    <row r="208" ht="14.25" hidden="1" customHeight="1" outlineLevel="2">
      <c r="A208" s="102">
        <v>45389.0</v>
      </c>
      <c r="B208" s="97">
        <f t="shared" si="35"/>
        <v>45389</v>
      </c>
      <c r="C208" s="129" t="s">
        <v>118</v>
      </c>
      <c r="D208" s="123" t="s">
        <v>490</v>
      </c>
      <c r="E208" s="226">
        <v>572.0</v>
      </c>
      <c r="F208" s="123" t="s">
        <v>183</v>
      </c>
      <c r="G208" s="227"/>
      <c r="I208" s="86"/>
      <c r="J208" s="88"/>
      <c r="K208" s="92"/>
      <c r="L208" s="90"/>
      <c r="N208" s="86">
        <v>45386.0</v>
      </c>
      <c r="O208" s="88">
        <f>N208</f>
        <v>45386</v>
      </c>
      <c r="P208" s="93">
        <v>326.71</v>
      </c>
      <c r="Q208" s="90"/>
    </row>
    <row r="209" ht="14.25" hidden="1" customHeight="1" outlineLevel="2">
      <c r="A209" s="10"/>
      <c r="B209" s="10"/>
      <c r="C209" s="129" t="s">
        <v>136</v>
      </c>
      <c r="D209" s="123" t="s">
        <v>342</v>
      </c>
      <c r="E209" s="226">
        <v>764.0</v>
      </c>
      <c r="F209" s="123" t="s">
        <v>528</v>
      </c>
      <c r="G209" s="227"/>
      <c r="I209" s="86"/>
      <c r="J209" s="88"/>
      <c r="K209" s="92"/>
      <c r="L209" s="90"/>
      <c r="N209" s="86"/>
      <c r="O209" s="88"/>
      <c r="P209" s="92"/>
      <c r="Q209" s="90"/>
    </row>
    <row r="210" ht="14.25" hidden="1" customHeight="1" outlineLevel="2">
      <c r="A210" s="125">
        <v>45390.0</v>
      </c>
      <c r="B210" s="126">
        <f t="shared" ref="B210:B216" si="36">A210</f>
        <v>45390</v>
      </c>
      <c r="C210" s="129" t="s">
        <v>118</v>
      </c>
      <c r="D210" s="123" t="s">
        <v>119</v>
      </c>
      <c r="E210" s="226">
        <v>61.0</v>
      </c>
      <c r="F210" s="123" t="s">
        <v>181</v>
      </c>
      <c r="G210" s="227"/>
      <c r="I210" s="86"/>
      <c r="J210" s="88"/>
      <c r="K210" s="92"/>
      <c r="L210" s="90"/>
      <c r="N210" s="86"/>
      <c r="O210" s="88"/>
      <c r="P210" s="92"/>
      <c r="Q210" s="90"/>
    </row>
    <row r="211" ht="14.25" hidden="1" customHeight="1" outlineLevel="2">
      <c r="A211" s="125">
        <v>45391.0</v>
      </c>
      <c r="B211" s="126">
        <f t="shared" si="36"/>
        <v>45391</v>
      </c>
      <c r="C211" s="129" t="s">
        <v>118</v>
      </c>
      <c r="D211" s="123" t="s">
        <v>236</v>
      </c>
      <c r="E211" s="226">
        <v>78.0</v>
      </c>
      <c r="F211" s="123" t="s">
        <v>530</v>
      </c>
      <c r="G211" s="227"/>
      <c r="I211" s="86"/>
      <c r="J211" s="88"/>
      <c r="K211" s="92"/>
      <c r="L211" s="90"/>
      <c r="N211" s="86"/>
      <c r="O211" s="88"/>
      <c r="P211" s="92"/>
      <c r="Q211" s="90"/>
    </row>
    <row r="212" ht="14.25" hidden="1" customHeight="1" outlineLevel="2">
      <c r="A212" s="125">
        <v>45392.0</v>
      </c>
      <c r="B212" s="126">
        <f t="shared" si="36"/>
        <v>45392</v>
      </c>
      <c r="C212" s="129" t="s">
        <v>118</v>
      </c>
      <c r="D212" s="123" t="s">
        <v>119</v>
      </c>
      <c r="E212" s="226">
        <v>22.0</v>
      </c>
      <c r="F212" s="123" t="s">
        <v>533</v>
      </c>
      <c r="G212" s="227"/>
      <c r="I212" s="86"/>
      <c r="J212" s="88"/>
      <c r="K212" s="92"/>
      <c r="L212" s="90"/>
      <c r="N212" s="86"/>
      <c r="O212" s="88"/>
      <c r="P212" s="92"/>
      <c r="Q212" s="90"/>
    </row>
    <row r="213" ht="14.25" hidden="1" customHeight="1" outlineLevel="2">
      <c r="A213" s="125">
        <v>45393.0</v>
      </c>
      <c r="B213" s="126">
        <f t="shared" si="36"/>
        <v>45393</v>
      </c>
      <c r="C213" s="129" t="s">
        <v>118</v>
      </c>
      <c r="D213" s="123" t="s">
        <v>119</v>
      </c>
      <c r="E213" s="226">
        <v>99.0</v>
      </c>
      <c r="F213" s="123" t="s">
        <v>276</v>
      </c>
      <c r="G213" s="227"/>
      <c r="I213" s="108" t="s">
        <v>195</v>
      </c>
      <c r="J213" s="109"/>
      <c r="K213" s="113">
        <f>SUM(K201:K212)</f>
        <v>312.35</v>
      </c>
      <c r="L213" s="114"/>
      <c r="N213" s="165" t="s">
        <v>195</v>
      </c>
      <c r="O213" s="165"/>
      <c r="P213" s="113">
        <f>SUM(P208:P212)</f>
        <v>326.71</v>
      </c>
      <c r="Q213" s="114"/>
    </row>
    <row r="214" ht="14.25" hidden="1" customHeight="1" outlineLevel="2">
      <c r="A214" s="125">
        <v>45394.0</v>
      </c>
      <c r="B214" s="126">
        <f t="shared" si="36"/>
        <v>45394</v>
      </c>
      <c r="C214" s="129" t="s">
        <v>118</v>
      </c>
      <c r="D214" s="123" t="s">
        <v>236</v>
      </c>
      <c r="E214" s="226">
        <v>119.0</v>
      </c>
      <c r="F214" s="123" t="s">
        <v>260</v>
      </c>
      <c r="G214" s="227"/>
      <c r="N214" s="166"/>
      <c r="O214" s="167"/>
      <c r="P214" s="237"/>
      <c r="Q214" s="51"/>
    </row>
    <row r="215" ht="14.25" hidden="1" customHeight="1" outlineLevel="2">
      <c r="A215" s="125">
        <v>45395.0</v>
      </c>
      <c r="B215" s="126">
        <f t="shared" si="36"/>
        <v>45395</v>
      </c>
      <c r="C215" s="129" t="s">
        <v>118</v>
      </c>
      <c r="D215" s="123" t="s">
        <v>119</v>
      </c>
      <c r="E215" s="226">
        <v>90.0</v>
      </c>
      <c r="F215" s="123" t="s">
        <v>541</v>
      </c>
      <c r="G215" s="227"/>
    </row>
    <row r="216" ht="14.25" hidden="1" customHeight="1" outlineLevel="2">
      <c r="A216" s="102">
        <v>45396.0</v>
      </c>
      <c r="B216" s="97">
        <f t="shared" si="36"/>
        <v>45396</v>
      </c>
      <c r="C216" s="129" t="s">
        <v>118</v>
      </c>
      <c r="D216" s="123" t="s">
        <v>490</v>
      </c>
      <c r="E216" s="226">
        <v>818.0</v>
      </c>
      <c r="F216" s="123" t="s">
        <v>543</v>
      </c>
      <c r="G216" s="227"/>
    </row>
    <row r="217" ht="14.25" hidden="1" customHeight="1" outlineLevel="2">
      <c r="A217" s="10"/>
      <c r="B217" s="10"/>
      <c r="C217" s="129" t="s">
        <v>136</v>
      </c>
      <c r="D217" s="123" t="s">
        <v>119</v>
      </c>
      <c r="E217" s="226">
        <v>616.0</v>
      </c>
      <c r="F217" s="123" t="s">
        <v>129</v>
      </c>
      <c r="G217" s="227"/>
    </row>
    <row r="218" ht="14.25" hidden="1" customHeight="1" outlineLevel="2">
      <c r="A218" s="125">
        <v>45397.0</v>
      </c>
      <c r="B218" s="126">
        <f t="shared" ref="B218:B224" si="37">A218</f>
        <v>45397</v>
      </c>
      <c r="C218" s="129" t="s">
        <v>118</v>
      </c>
      <c r="D218" s="123" t="s">
        <v>119</v>
      </c>
      <c r="E218" s="226">
        <v>200.0</v>
      </c>
      <c r="F218" s="123" t="s">
        <v>545</v>
      </c>
      <c r="G218" s="227"/>
    </row>
    <row r="219" ht="14.25" hidden="1" customHeight="1" outlineLevel="2">
      <c r="A219" s="125">
        <v>45398.0</v>
      </c>
      <c r="B219" s="126">
        <f t="shared" si="37"/>
        <v>45398</v>
      </c>
      <c r="C219" s="129" t="s">
        <v>118</v>
      </c>
      <c r="D219" s="123" t="s">
        <v>236</v>
      </c>
      <c r="E219" s="226">
        <v>45.0</v>
      </c>
      <c r="F219" s="123" t="s">
        <v>359</v>
      </c>
      <c r="G219" s="227"/>
    </row>
    <row r="220" ht="14.25" hidden="1" customHeight="1" outlineLevel="2">
      <c r="A220" s="125">
        <v>45399.0</v>
      </c>
      <c r="B220" s="126">
        <f t="shared" si="37"/>
        <v>45399</v>
      </c>
      <c r="C220" s="129" t="s">
        <v>118</v>
      </c>
      <c r="D220" s="123" t="s">
        <v>119</v>
      </c>
      <c r="E220" s="226">
        <v>31.0</v>
      </c>
      <c r="F220" s="123" t="s">
        <v>219</v>
      </c>
      <c r="G220" s="227"/>
    </row>
    <row r="221" ht="14.25" hidden="1" customHeight="1" outlineLevel="2">
      <c r="A221" s="125">
        <v>45400.0</v>
      </c>
      <c r="B221" s="126">
        <f t="shared" si="37"/>
        <v>45400</v>
      </c>
      <c r="C221" s="129" t="s">
        <v>118</v>
      </c>
      <c r="D221" s="123" t="s">
        <v>119</v>
      </c>
      <c r="E221" s="226">
        <v>59.0</v>
      </c>
      <c r="F221" s="123" t="s">
        <v>548</v>
      </c>
      <c r="G221" s="227"/>
    </row>
    <row r="222" ht="14.25" hidden="1" customHeight="1" outlineLevel="2">
      <c r="A222" s="125">
        <v>45401.0</v>
      </c>
      <c r="B222" s="126">
        <f t="shared" si="37"/>
        <v>45401</v>
      </c>
      <c r="C222" s="129" t="s">
        <v>118</v>
      </c>
      <c r="D222" s="123" t="s">
        <v>119</v>
      </c>
      <c r="E222" s="226">
        <v>75.0</v>
      </c>
      <c r="F222" s="123" t="s">
        <v>207</v>
      </c>
      <c r="G222" s="227"/>
    </row>
    <row r="223" ht="14.25" hidden="1" customHeight="1" outlineLevel="2">
      <c r="A223" s="125">
        <v>45402.0</v>
      </c>
      <c r="B223" s="126">
        <f t="shared" si="37"/>
        <v>45402</v>
      </c>
      <c r="C223" s="129" t="s">
        <v>118</v>
      </c>
      <c r="D223" s="123" t="s">
        <v>119</v>
      </c>
      <c r="E223" s="226">
        <v>48.0</v>
      </c>
      <c r="F223" s="123" t="s">
        <v>550</v>
      </c>
      <c r="G223" s="227"/>
    </row>
    <row r="224" ht="14.25" hidden="1" customHeight="1" outlineLevel="2">
      <c r="A224" s="102">
        <v>45403.0</v>
      </c>
      <c r="B224" s="97">
        <f t="shared" si="37"/>
        <v>45403</v>
      </c>
      <c r="C224" s="129" t="s">
        <v>118</v>
      </c>
      <c r="D224" s="123" t="s">
        <v>490</v>
      </c>
      <c r="E224" s="226">
        <v>509.0</v>
      </c>
      <c r="F224" s="123" t="s">
        <v>183</v>
      </c>
      <c r="G224" s="227"/>
    </row>
    <row r="225" ht="14.25" hidden="1" customHeight="1" outlineLevel="2">
      <c r="A225" s="10"/>
      <c r="B225" s="10"/>
      <c r="C225" s="129" t="s">
        <v>136</v>
      </c>
      <c r="D225" s="123" t="s">
        <v>236</v>
      </c>
      <c r="E225" s="226">
        <v>397.0</v>
      </c>
      <c r="F225" s="123" t="s">
        <v>554</v>
      </c>
      <c r="G225" s="227"/>
    </row>
    <row r="226" ht="14.25" hidden="1" customHeight="1" outlineLevel="2">
      <c r="A226" s="125">
        <v>45404.0</v>
      </c>
      <c r="B226" s="126">
        <f t="shared" ref="B226:B232" si="38">A226</f>
        <v>45404</v>
      </c>
      <c r="C226" s="129" t="s">
        <v>118</v>
      </c>
      <c r="D226" s="123" t="s">
        <v>555</v>
      </c>
      <c r="E226" s="226">
        <v>70.0</v>
      </c>
      <c r="F226" s="123" t="s">
        <v>181</v>
      </c>
      <c r="G226" s="227"/>
    </row>
    <row r="227" ht="14.25" hidden="1" customHeight="1" outlineLevel="2">
      <c r="A227" s="125">
        <v>45405.0</v>
      </c>
      <c r="B227" s="126">
        <f t="shared" si="38"/>
        <v>45405</v>
      </c>
      <c r="C227" s="129" t="s">
        <v>118</v>
      </c>
      <c r="D227" s="123" t="s">
        <v>236</v>
      </c>
      <c r="E227" s="226">
        <v>45.0</v>
      </c>
      <c r="F227" s="123" t="s">
        <v>556</v>
      </c>
      <c r="G227" s="227"/>
    </row>
    <row r="228" ht="14.25" hidden="1" customHeight="1" outlineLevel="2">
      <c r="A228" s="125">
        <v>45406.0</v>
      </c>
      <c r="B228" s="126">
        <f t="shared" si="38"/>
        <v>45406</v>
      </c>
      <c r="C228" s="129" t="s">
        <v>118</v>
      </c>
      <c r="D228" s="123" t="s">
        <v>119</v>
      </c>
      <c r="E228" s="226">
        <v>57.0</v>
      </c>
      <c r="F228" s="123" t="s">
        <v>237</v>
      </c>
      <c r="G228" s="227"/>
    </row>
    <row r="229" ht="14.25" hidden="1" customHeight="1" outlineLevel="2">
      <c r="A229" s="125">
        <v>45407.0</v>
      </c>
      <c r="B229" s="126">
        <f t="shared" si="38"/>
        <v>45407</v>
      </c>
      <c r="C229" s="129" t="s">
        <v>118</v>
      </c>
      <c r="D229" s="123" t="s">
        <v>119</v>
      </c>
      <c r="E229" s="226">
        <v>109.0</v>
      </c>
      <c r="F229" s="123" t="s">
        <v>154</v>
      </c>
      <c r="G229" s="227"/>
    </row>
    <row r="230" ht="14.25" hidden="1" customHeight="1" outlineLevel="2">
      <c r="A230" s="125">
        <v>45408.0</v>
      </c>
      <c r="B230" s="126">
        <f t="shared" si="38"/>
        <v>45408</v>
      </c>
      <c r="C230" s="129" t="s">
        <v>118</v>
      </c>
      <c r="D230" s="123" t="s">
        <v>119</v>
      </c>
      <c r="E230" s="226">
        <v>39.0</v>
      </c>
      <c r="F230" s="123" t="s">
        <v>560</v>
      </c>
      <c r="G230" s="227"/>
    </row>
    <row r="231" ht="14.25" hidden="1" customHeight="1" outlineLevel="2">
      <c r="A231" s="125">
        <v>45409.0</v>
      </c>
      <c r="B231" s="126">
        <f t="shared" si="38"/>
        <v>45409</v>
      </c>
      <c r="C231" s="129" t="s">
        <v>118</v>
      </c>
      <c r="D231" s="123" t="s">
        <v>119</v>
      </c>
      <c r="E231" s="226">
        <v>66.0</v>
      </c>
      <c r="F231" s="123" t="s">
        <v>561</v>
      </c>
      <c r="G231" s="227"/>
    </row>
    <row r="232" ht="14.25" hidden="1" customHeight="1" outlineLevel="2">
      <c r="A232" s="102">
        <v>45410.0</v>
      </c>
      <c r="B232" s="97">
        <f t="shared" si="38"/>
        <v>45410</v>
      </c>
      <c r="C232" s="129" t="s">
        <v>118</v>
      </c>
      <c r="D232" s="123" t="s">
        <v>562</v>
      </c>
      <c r="E232" s="226">
        <v>713.0</v>
      </c>
      <c r="F232" s="123" t="s">
        <v>243</v>
      </c>
      <c r="G232" s="227"/>
    </row>
    <row r="233" ht="14.25" hidden="1" customHeight="1" outlineLevel="2">
      <c r="A233" s="58"/>
      <c r="B233" s="58"/>
      <c r="C233" s="129" t="s">
        <v>136</v>
      </c>
      <c r="D233" s="123" t="s">
        <v>119</v>
      </c>
      <c r="E233" s="226">
        <v>812.0</v>
      </c>
      <c r="F233" s="123" t="s">
        <v>563</v>
      </c>
      <c r="G233" s="227"/>
    </row>
    <row r="234" ht="14.25" hidden="1" customHeight="1" outlineLevel="2">
      <c r="A234" s="10"/>
      <c r="B234" s="10"/>
      <c r="C234" s="129" t="s">
        <v>136</v>
      </c>
      <c r="D234" s="123" t="s">
        <v>565</v>
      </c>
      <c r="E234" s="226">
        <v>385.0</v>
      </c>
      <c r="F234" s="123" t="s">
        <v>566</v>
      </c>
      <c r="G234" s="42" t="s">
        <v>567</v>
      </c>
    </row>
    <row r="235" ht="14.25" hidden="1" customHeight="1" outlineLevel="2">
      <c r="A235" s="125">
        <v>45411.0</v>
      </c>
      <c r="B235" s="126">
        <f t="shared" ref="B235:B236" si="39">A235</f>
        <v>45411</v>
      </c>
      <c r="C235" s="129" t="s">
        <v>118</v>
      </c>
      <c r="D235" s="123" t="s">
        <v>342</v>
      </c>
      <c r="E235" s="226">
        <v>790.0</v>
      </c>
      <c r="F235" s="123" t="s">
        <v>568</v>
      </c>
      <c r="G235" s="227"/>
    </row>
    <row r="236" ht="14.25" hidden="1" customHeight="1" outlineLevel="2">
      <c r="A236" s="125">
        <v>45412.0</v>
      </c>
      <c r="B236" s="126">
        <f t="shared" si="39"/>
        <v>45412</v>
      </c>
      <c r="C236" s="129" t="s">
        <v>118</v>
      </c>
      <c r="D236" s="123" t="s">
        <v>236</v>
      </c>
      <c r="E236" s="226">
        <v>44.0</v>
      </c>
      <c r="F236" s="123" t="s">
        <v>569</v>
      </c>
      <c r="G236" s="227"/>
    </row>
    <row r="237" ht="14.25" hidden="1" customHeight="1" outlineLevel="2">
      <c r="A237" s="117" t="s">
        <v>195</v>
      </c>
      <c r="B237" s="27"/>
      <c r="C237" s="27"/>
      <c r="D237" s="28"/>
      <c r="E237" s="118">
        <f>SUM(E201:E236)</f>
        <v>8456</v>
      </c>
      <c r="F237" s="119"/>
      <c r="G237" s="28"/>
    </row>
    <row r="238" ht="14.25" hidden="1" customHeight="1" outlineLevel="1"/>
    <row r="239" ht="14.25" hidden="1" customHeight="1" outlineLevel="1" collapsed="1">
      <c r="A239" s="122" t="s">
        <v>564</v>
      </c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3"/>
    </row>
    <row r="240" ht="14.25" hidden="1" customHeight="1" outlineLevel="2">
      <c r="A240" s="70" t="s">
        <v>90</v>
      </c>
      <c r="I240" s="72" t="s">
        <v>91</v>
      </c>
      <c r="J240" s="73"/>
      <c r="K240" s="73"/>
      <c r="L240" s="74"/>
      <c r="N240" s="72" t="s">
        <v>95</v>
      </c>
      <c r="O240" s="73"/>
      <c r="P240" s="73"/>
      <c r="Q240" s="74"/>
    </row>
    <row r="241" ht="14.25" hidden="1" customHeight="1" outlineLevel="2">
      <c r="A241" s="81" t="s">
        <v>6</v>
      </c>
      <c r="B241" s="84" t="s">
        <v>103</v>
      </c>
      <c r="C241" s="81" t="s">
        <v>104</v>
      </c>
      <c r="D241" s="81" t="s">
        <v>107</v>
      </c>
      <c r="E241" s="81" t="s">
        <v>109</v>
      </c>
      <c r="F241" s="84" t="s">
        <v>110</v>
      </c>
      <c r="G241" s="81" t="s">
        <v>13</v>
      </c>
      <c r="I241" s="81" t="s">
        <v>6</v>
      </c>
      <c r="J241" s="84" t="s">
        <v>115</v>
      </c>
      <c r="K241" s="84" t="s">
        <v>9</v>
      </c>
      <c r="L241" s="81" t="s">
        <v>13</v>
      </c>
      <c r="N241" s="81" t="s">
        <v>6</v>
      </c>
      <c r="O241" s="84" t="s">
        <v>115</v>
      </c>
      <c r="P241" s="84" t="s">
        <v>9</v>
      </c>
      <c r="Q241" s="81" t="s">
        <v>13</v>
      </c>
    </row>
    <row r="242" ht="14.25" hidden="1" customHeight="1" outlineLevel="2">
      <c r="A242" s="125">
        <v>45413.0</v>
      </c>
      <c r="B242" s="126">
        <f t="shared" ref="B242:B244" si="40">A242</f>
        <v>45413</v>
      </c>
      <c r="C242" s="129" t="s">
        <v>118</v>
      </c>
      <c r="D242" s="123" t="s">
        <v>119</v>
      </c>
      <c r="E242" s="226">
        <v>181.0</v>
      </c>
      <c r="F242" s="123" t="s">
        <v>573</v>
      </c>
      <c r="G242" s="227"/>
      <c r="H242" s="6"/>
      <c r="I242" s="86">
        <v>45414.0</v>
      </c>
      <c r="J242" s="88">
        <f t="shared" ref="J242:J248" si="41">I242</f>
        <v>45414</v>
      </c>
      <c r="K242" s="93">
        <v>51.0</v>
      </c>
      <c r="L242" s="90"/>
      <c r="M242" s="6"/>
      <c r="N242" s="94"/>
      <c r="O242" s="94"/>
      <c r="P242" s="93"/>
      <c r="Q242" s="91"/>
    </row>
    <row r="243" ht="14.25" hidden="1" customHeight="1" outlineLevel="2">
      <c r="A243" s="125">
        <v>45414.0</v>
      </c>
      <c r="B243" s="126">
        <f t="shared" si="40"/>
        <v>45414</v>
      </c>
      <c r="C243" s="129" t="s">
        <v>118</v>
      </c>
      <c r="D243" s="123" t="s">
        <v>119</v>
      </c>
      <c r="E243" s="226">
        <v>140.0</v>
      </c>
      <c r="F243" s="123" t="s">
        <v>122</v>
      </c>
      <c r="G243" s="227"/>
      <c r="H243" s="6"/>
      <c r="I243" s="86">
        <v>45417.0</v>
      </c>
      <c r="J243" s="88">
        <f t="shared" si="41"/>
        <v>45417</v>
      </c>
      <c r="K243" s="93">
        <v>75.0</v>
      </c>
      <c r="L243" s="90"/>
      <c r="M243" s="6"/>
      <c r="N243" s="94"/>
      <c r="O243" s="94"/>
      <c r="P243" s="93"/>
      <c r="Q243" s="91"/>
    </row>
    <row r="244" ht="14.25" hidden="1" customHeight="1" outlineLevel="2">
      <c r="A244" s="102">
        <v>45415.0</v>
      </c>
      <c r="B244" s="97">
        <f t="shared" si="40"/>
        <v>45415</v>
      </c>
      <c r="C244" s="129" t="s">
        <v>118</v>
      </c>
      <c r="D244" s="123" t="s">
        <v>236</v>
      </c>
      <c r="E244" s="226">
        <v>140.0</v>
      </c>
      <c r="F244" s="123" t="s">
        <v>237</v>
      </c>
      <c r="G244" s="227"/>
      <c r="H244" s="6"/>
      <c r="I244" s="86">
        <v>45421.0</v>
      </c>
      <c r="J244" s="88">
        <f t="shared" si="41"/>
        <v>45421</v>
      </c>
      <c r="K244" s="93">
        <v>73.0</v>
      </c>
      <c r="L244" s="90"/>
      <c r="M244" s="6"/>
      <c r="N244" s="165" t="s">
        <v>195</v>
      </c>
      <c r="O244" s="165"/>
      <c r="P244" s="113">
        <f>SUM(P242:P243)</f>
        <v>0</v>
      </c>
      <c r="Q244" s="114"/>
    </row>
    <row r="245" ht="14.25" hidden="1" customHeight="1" outlineLevel="2">
      <c r="A245" s="10"/>
      <c r="B245" s="10"/>
      <c r="C245" s="129" t="s">
        <v>136</v>
      </c>
      <c r="D245" s="123" t="s">
        <v>490</v>
      </c>
      <c r="E245" s="226">
        <v>340.0</v>
      </c>
      <c r="F245" s="123" t="s">
        <v>577</v>
      </c>
      <c r="G245" s="227"/>
      <c r="H245" s="6"/>
      <c r="I245" s="86">
        <v>45425.0</v>
      </c>
      <c r="J245" s="88">
        <f t="shared" si="41"/>
        <v>45425</v>
      </c>
      <c r="K245" s="93">
        <v>67.0</v>
      </c>
      <c r="L245" s="90"/>
      <c r="M245" s="6"/>
      <c r="N245" s="166"/>
      <c r="O245" s="167"/>
      <c r="P245" s="168"/>
      <c r="Q245" s="51"/>
    </row>
    <row r="246" ht="14.25" hidden="1" customHeight="1" outlineLevel="2">
      <c r="A246" s="125">
        <v>45416.0</v>
      </c>
      <c r="B246" s="126">
        <f t="shared" ref="B246:B247" si="42">A246</f>
        <v>45416</v>
      </c>
      <c r="C246" s="129" t="s">
        <v>118</v>
      </c>
      <c r="D246" s="123" t="s">
        <v>119</v>
      </c>
      <c r="E246" s="226">
        <v>18.0</v>
      </c>
      <c r="F246" s="123" t="s">
        <v>579</v>
      </c>
      <c r="G246" s="227"/>
      <c r="H246" s="6"/>
      <c r="I246" s="86">
        <v>45429.0</v>
      </c>
      <c r="J246" s="88">
        <f t="shared" si="41"/>
        <v>45429</v>
      </c>
      <c r="K246" s="93">
        <v>102.05</v>
      </c>
      <c r="L246" s="90"/>
      <c r="M246" s="6"/>
      <c r="N246" s="6"/>
      <c r="O246" s="6"/>
      <c r="P246" s="6"/>
      <c r="Q246" s="6"/>
    </row>
    <row r="247" ht="14.25" hidden="1" customHeight="1" outlineLevel="2">
      <c r="A247" s="102">
        <v>45417.0</v>
      </c>
      <c r="B247" s="97">
        <f t="shared" si="42"/>
        <v>45417</v>
      </c>
      <c r="C247" s="129" t="s">
        <v>118</v>
      </c>
      <c r="D247" s="123" t="s">
        <v>490</v>
      </c>
      <c r="E247" s="226">
        <v>780.0</v>
      </c>
      <c r="F247" s="123" t="s">
        <v>580</v>
      </c>
      <c r="G247" s="227"/>
      <c r="H247" s="6"/>
      <c r="I247" s="86">
        <v>45432.0</v>
      </c>
      <c r="J247" s="88">
        <f t="shared" si="41"/>
        <v>45432</v>
      </c>
      <c r="K247" s="93">
        <v>27.8</v>
      </c>
      <c r="L247" s="90"/>
      <c r="M247" s="6"/>
      <c r="N247" s="235" t="s">
        <v>344</v>
      </c>
      <c r="O247" s="27"/>
      <c r="P247" s="27"/>
      <c r="Q247" s="28"/>
    </row>
    <row r="248" ht="14.25" hidden="1" customHeight="1" outlineLevel="2">
      <c r="A248" s="10"/>
      <c r="B248" s="10"/>
      <c r="C248" s="129" t="s">
        <v>136</v>
      </c>
      <c r="D248" s="123" t="s">
        <v>342</v>
      </c>
      <c r="E248" s="226">
        <v>369.0</v>
      </c>
      <c r="F248" s="123" t="s">
        <v>582</v>
      </c>
      <c r="G248" s="227"/>
      <c r="H248" s="6"/>
      <c r="I248" s="86">
        <v>45438.0</v>
      </c>
      <c r="J248" s="88">
        <f t="shared" si="41"/>
        <v>45438</v>
      </c>
      <c r="K248" s="93">
        <v>74.55</v>
      </c>
      <c r="L248" s="90"/>
      <c r="M248" s="6"/>
      <c r="N248" s="81" t="s">
        <v>6</v>
      </c>
      <c r="O248" s="84" t="s">
        <v>115</v>
      </c>
      <c r="P248" s="84" t="s">
        <v>9</v>
      </c>
      <c r="Q248" s="81" t="s">
        <v>13</v>
      </c>
    </row>
    <row r="249" ht="14.25" hidden="1" customHeight="1" outlineLevel="2">
      <c r="A249" s="125">
        <v>45418.0</v>
      </c>
      <c r="B249" s="126">
        <f t="shared" ref="B249:B255" si="43">A249</f>
        <v>45418</v>
      </c>
      <c r="C249" s="129" t="s">
        <v>118</v>
      </c>
      <c r="D249" s="123" t="s">
        <v>119</v>
      </c>
      <c r="E249" s="226">
        <v>67.0</v>
      </c>
      <c r="F249" s="123" t="s">
        <v>584</v>
      </c>
      <c r="G249" s="227"/>
      <c r="H249" s="6"/>
      <c r="I249" s="86"/>
      <c r="J249" s="88"/>
      <c r="K249" s="92"/>
      <c r="L249" s="90"/>
      <c r="M249" s="6"/>
      <c r="N249" s="86"/>
      <c r="O249" s="88" t="str">
        <f>N249</f>
        <v/>
      </c>
      <c r="P249" s="93"/>
      <c r="Q249" s="90"/>
    </row>
    <row r="250" ht="14.25" hidden="1" customHeight="1" outlineLevel="2">
      <c r="A250" s="125">
        <v>45419.0</v>
      </c>
      <c r="B250" s="126">
        <f t="shared" si="43"/>
        <v>45419</v>
      </c>
      <c r="C250" s="129" t="s">
        <v>118</v>
      </c>
      <c r="D250" s="123" t="s">
        <v>236</v>
      </c>
      <c r="E250" s="226">
        <v>60.0</v>
      </c>
      <c r="F250" s="123" t="s">
        <v>184</v>
      </c>
      <c r="G250" s="227"/>
      <c r="H250" s="6"/>
      <c r="I250" s="86"/>
      <c r="J250" s="88"/>
      <c r="K250" s="92"/>
      <c r="L250" s="90"/>
      <c r="M250" s="6"/>
      <c r="N250" s="86"/>
      <c r="O250" s="88"/>
      <c r="P250" s="92"/>
      <c r="Q250" s="90"/>
    </row>
    <row r="251" ht="14.25" hidden="1" customHeight="1" outlineLevel="2">
      <c r="A251" s="125">
        <v>45420.0</v>
      </c>
      <c r="B251" s="126">
        <f t="shared" si="43"/>
        <v>45420</v>
      </c>
      <c r="C251" s="129" t="s">
        <v>136</v>
      </c>
      <c r="D251" s="123" t="s">
        <v>119</v>
      </c>
      <c r="E251" s="226">
        <v>57.0</v>
      </c>
      <c r="F251" s="123" t="s">
        <v>586</v>
      </c>
      <c r="G251" s="227"/>
      <c r="H251" s="6"/>
      <c r="I251" s="86"/>
      <c r="J251" s="88"/>
      <c r="K251" s="92"/>
      <c r="L251" s="90"/>
      <c r="M251" s="6"/>
      <c r="N251" s="86"/>
      <c r="O251" s="88"/>
      <c r="P251" s="92"/>
      <c r="Q251" s="90"/>
    </row>
    <row r="252" ht="14.25" hidden="1" customHeight="1" outlineLevel="2">
      <c r="A252" s="125">
        <v>45421.0</v>
      </c>
      <c r="B252" s="126">
        <f t="shared" si="43"/>
        <v>45421</v>
      </c>
      <c r="C252" s="129" t="s">
        <v>118</v>
      </c>
      <c r="D252" s="123" t="s">
        <v>119</v>
      </c>
      <c r="E252" s="226">
        <v>97.0</v>
      </c>
      <c r="F252" s="123" t="s">
        <v>276</v>
      </c>
      <c r="G252" s="227"/>
      <c r="H252" s="6"/>
      <c r="I252" s="86"/>
      <c r="J252" s="88"/>
      <c r="K252" s="92"/>
      <c r="L252" s="90"/>
      <c r="M252" s="6"/>
      <c r="N252" s="86"/>
      <c r="O252" s="88"/>
      <c r="P252" s="92"/>
      <c r="Q252" s="90"/>
    </row>
    <row r="253" ht="14.25" hidden="1" customHeight="1" outlineLevel="2">
      <c r="A253" s="125">
        <v>45422.0</v>
      </c>
      <c r="B253" s="126">
        <f t="shared" si="43"/>
        <v>45422</v>
      </c>
      <c r="C253" s="129" t="s">
        <v>118</v>
      </c>
      <c r="D253" s="123" t="s">
        <v>296</v>
      </c>
      <c r="E253" s="226">
        <v>78.0</v>
      </c>
      <c r="F253" s="123" t="s">
        <v>260</v>
      </c>
      <c r="G253" s="227"/>
      <c r="H253" s="6"/>
      <c r="I253" s="86"/>
      <c r="J253" s="88"/>
      <c r="K253" s="92"/>
      <c r="L253" s="90"/>
      <c r="M253" s="6"/>
      <c r="N253" s="86"/>
      <c r="O253" s="88"/>
      <c r="P253" s="92"/>
      <c r="Q253" s="90"/>
    </row>
    <row r="254" ht="14.25" hidden="1" customHeight="1" outlineLevel="2">
      <c r="A254" s="125">
        <v>45423.0</v>
      </c>
      <c r="B254" s="126">
        <f t="shared" si="43"/>
        <v>45423</v>
      </c>
      <c r="C254" s="129" t="s">
        <v>136</v>
      </c>
      <c r="D254" s="123" t="s">
        <v>119</v>
      </c>
      <c r="E254" s="226">
        <v>45.0</v>
      </c>
      <c r="F254" s="123" t="s">
        <v>588</v>
      </c>
      <c r="G254" s="227"/>
      <c r="H254" s="6"/>
      <c r="I254" s="108" t="s">
        <v>195</v>
      </c>
      <c r="J254" s="109"/>
      <c r="K254" s="113">
        <f>SUM(K242:K253)</f>
        <v>470.4</v>
      </c>
      <c r="L254" s="114"/>
      <c r="M254" s="6"/>
      <c r="N254" s="165" t="s">
        <v>195</v>
      </c>
      <c r="O254" s="165"/>
      <c r="P254" s="113">
        <f>SUM(P249:P253)</f>
        <v>0</v>
      </c>
      <c r="Q254" s="114"/>
    </row>
    <row r="255" ht="14.25" hidden="1" customHeight="1" outlineLevel="2">
      <c r="A255" s="102">
        <v>45424.0</v>
      </c>
      <c r="B255" s="97">
        <f t="shared" si="43"/>
        <v>45424</v>
      </c>
      <c r="C255" s="129" t="s">
        <v>118</v>
      </c>
      <c r="D255" s="123" t="s">
        <v>490</v>
      </c>
      <c r="E255" s="226">
        <v>687.0</v>
      </c>
      <c r="F255" s="123" t="s">
        <v>589</v>
      </c>
      <c r="G255" s="227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ht="14.25" hidden="1" customHeight="1" outlineLevel="2">
      <c r="A256" s="10"/>
      <c r="B256" s="10"/>
      <c r="C256" s="129" t="s">
        <v>136</v>
      </c>
      <c r="D256" s="123" t="s">
        <v>413</v>
      </c>
      <c r="E256" s="226">
        <v>391.0</v>
      </c>
      <c r="F256" s="123" t="s">
        <v>591</v>
      </c>
      <c r="G256" s="227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 ht="14.25" hidden="1" customHeight="1" outlineLevel="2">
      <c r="A257" s="125">
        <v>45425.0</v>
      </c>
      <c r="B257" s="126">
        <f t="shared" ref="B257:B258" si="44">A257</f>
        <v>45425</v>
      </c>
      <c r="C257" s="129" t="s">
        <v>118</v>
      </c>
      <c r="D257" s="123" t="s">
        <v>119</v>
      </c>
      <c r="E257" s="226">
        <v>133.0</v>
      </c>
      <c r="F257" s="123" t="s">
        <v>432</v>
      </c>
      <c r="G257" s="227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 ht="14.25" hidden="1" customHeight="1" outlineLevel="2">
      <c r="A258" s="102">
        <v>45426.0</v>
      </c>
      <c r="B258" s="97">
        <f t="shared" si="44"/>
        <v>45426</v>
      </c>
      <c r="C258" s="129" t="s">
        <v>118</v>
      </c>
      <c r="D258" s="123" t="s">
        <v>236</v>
      </c>
      <c r="E258" s="226">
        <v>90.0</v>
      </c>
      <c r="F258" s="123" t="s">
        <v>150</v>
      </c>
      <c r="G258" s="227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 ht="14.25" hidden="1" customHeight="1" outlineLevel="2">
      <c r="A259" s="10"/>
      <c r="B259" s="10"/>
      <c r="C259" s="129" t="s">
        <v>136</v>
      </c>
      <c r="D259" s="123" t="s">
        <v>490</v>
      </c>
      <c r="E259" s="226">
        <v>59.0</v>
      </c>
      <c r="F259" s="123" t="s">
        <v>596</v>
      </c>
      <c r="G259" s="227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ht="14.25" hidden="1" customHeight="1" outlineLevel="2">
      <c r="A260" s="125">
        <v>45427.0</v>
      </c>
      <c r="B260" s="126">
        <f t="shared" ref="B260:B263" si="45">A260</f>
        <v>45427</v>
      </c>
      <c r="C260" s="129" t="s">
        <v>118</v>
      </c>
      <c r="D260" s="123" t="s">
        <v>119</v>
      </c>
      <c r="E260" s="226">
        <v>90.0</v>
      </c>
      <c r="F260" s="123" t="s">
        <v>533</v>
      </c>
      <c r="G260" s="227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 ht="14.25" hidden="1" customHeight="1" outlineLevel="2">
      <c r="A261" s="125">
        <v>45428.0</v>
      </c>
      <c r="B261" s="126">
        <f t="shared" si="45"/>
        <v>45428</v>
      </c>
      <c r="C261" s="129" t="s">
        <v>118</v>
      </c>
      <c r="D261" s="123" t="s">
        <v>119</v>
      </c>
      <c r="E261" s="226">
        <v>100.0</v>
      </c>
      <c r="F261" s="123" t="s">
        <v>598</v>
      </c>
      <c r="G261" s="227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 ht="14.25" hidden="1" customHeight="1" outlineLevel="2">
      <c r="A262" s="125">
        <v>45429.0</v>
      </c>
      <c r="B262" s="126">
        <f t="shared" si="45"/>
        <v>45429</v>
      </c>
      <c r="C262" s="129" t="s">
        <v>118</v>
      </c>
      <c r="D262" s="123" t="s">
        <v>236</v>
      </c>
      <c r="E262" s="226">
        <v>128.0</v>
      </c>
      <c r="F262" s="123" t="s">
        <v>601</v>
      </c>
      <c r="G262" s="227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 ht="14.25" hidden="1" customHeight="1" outlineLevel="2">
      <c r="A263" s="102">
        <v>45430.0</v>
      </c>
      <c r="B263" s="97">
        <f t="shared" si="45"/>
        <v>45430</v>
      </c>
      <c r="C263" s="129" t="s">
        <v>118</v>
      </c>
      <c r="D263" s="123" t="s">
        <v>119</v>
      </c>
      <c r="E263" s="226">
        <v>34.0</v>
      </c>
      <c r="F263" s="123" t="s">
        <v>129</v>
      </c>
      <c r="G263" s="227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ht="14.25" hidden="1" customHeight="1" outlineLevel="2">
      <c r="A264" s="10"/>
      <c r="B264" s="10"/>
      <c r="C264" s="129" t="s">
        <v>136</v>
      </c>
      <c r="D264" s="123" t="s">
        <v>413</v>
      </c>
      <c r="E264" s="226">
        <v>97.0</v>
      </c>
      <c r="F264" s="123" t="s">
        <v>219</v>
      </c>
      <c r="G264" s="227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 ht="14.25" hidden="1" customHeight="1" outlineLevel="2">
      <c r="A265" s="102">
        <v>45431.0</v>
      </c>
      <c r="B265" s="97">
        <f>A265</f>
        <v>45431</v>
      </c>
      <c r="C265" s="129" t="s">
        <v>118</v>
      </c>
      <c r="D265" s="123" t="s">
        <v>490</v>
      </c>
      <c r="E265" s="226">
        <v>580.0</v>
      </c>
      <c r="F265" s="123" t="s">
        <v>605</v>
      </c>
      <c r="G265" s="227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 ht="14.25" hidden="1" customHeight="1" outlineLevel="2">
      <c r="A266" s="10"/>
      <c r="B266" s="10"/>
      <c r="C266" s="129" t="s">
        <v>136</v>
      </c>
      <c r="D266" s="123" t="s">
        <v>413</v>
      </c>
      <c r="E266" s="226">
        <v>750.0</v>
      </c>
      <c r="F266" s="123" t="s">
        <v>607</v>
      </c>
      <c r="G266" s="227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 ht="14.25" hidden="1" customHeight="1" outlineLevel="2">
      <c r="A267" s="125">
        <v>45432.0</v>
      </c>
      <c r="B267" s="126">
        <f t="shared" ref="B267:B273" si="46">A267</f>
        <v>45432</v>
      </c>
      <c r="C267" s="129" t="s">
        <v>118</v>
      </c>
      <c r="D267" s="123" t="s">
        <v>119</v>
      </c>
      <c r="E267" s="226">
        <v>111.0</v>
      </c>
      <c r="F267" s="123" t="s">
        <v>610</v>
      </c>
      <c r="G267" s="227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ht="14.25" hidden="1" customHeight="1" outlineLevel="2">
      <c r="A268" s="125">
        <v>45433.0</v>
      </c>
      <c r="B268" s="126">
        <f t="shared" si="46"/>
        <v>45433</v>
      </c>
      <c r="C268" s="129" t="s">
        <v>118</v>
      </c>
      <c r="D268" s="123" t="s">
        <v>236</v>
      </c>
      <c r="E268" s="226">
        <v>44.0</v>
      </c>
      <c r="F268" s="123" t="s">
        <v>184</v>
      </c>
      <c r="G268" s="227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 ht="14.25" hidden="1" customHeight="1" outlineLevel="2">
      <c r="A269" s="125">
        <v>45434.0</v>
      </c>
      <c r="B269" s="126">
        <f t="shared" si="46"/>
        <v>45434</v>
      </c>
      <c r="C269" s="129" t="s">
        <v>118</v>
      </c>
      <c r="D269" s="123" t="s">
        <v>119</v>
      </c>
      <c r="E269" s="226">
        <v>200.0</v>
      </c>
      <c r="F269" s="123" t="s">
        <v>611</v>
      </c>
      <c r="G269" s="227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 ht="14.25" hidden="1" customHeight="1" outlineLevel="2">
      <c r="A270" s="125">
        <v>45435.0</v>
      </c>
      <c r="B270" s="126">
        <f t="shared" si="46"/>
        <v>45435</v>
      </c>
      <c r="C270" s="129" t="s">
        <v>118</v>
      </c>
      <c r="D270" s="123" t="s">
        <v>119</v>
      </c>
      <c r="E270" s="226">
        <v>84.0</v>
      </c>
      <c r="F270" s="123" t="s">
        <v>494</v>
      </c>
      <c r="G270" s="227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ht="14.25" hidden="1" customHeight="1" outlineLevel="2">
      <c r="A271" s="125">
        <v>45436.0</v>
      </c>
      <c r="B271" s="126">
        <f t="shared" si="46"/>
        <v>45436</v>
      </c>
      <c r="C271" s="129" t="s">
        <v>118</v>
      </c>
      <c r="D271" s="123" t="s">
        <v>119</v>
      </c>
      <c r="E271" s="226">
        <v>100.0</v>
      </c>
      <c r="F271" s="123" t="s">
        <v>616</v>
      </c>
      <c r="G271" s="227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 ht="14.25" hidden="1" customHeight="1" outlineLevel="2">
      <c r="A272" s="125">
        <v>45437.0</v>
      </c>
      <c r="B272" s="126">
        <f t="shared" si="46"/>
        <v>45437</v>
      </c>
      <c r="C272" s="129" t="s">
        <v>118</v>
      </c>
      <c r="D272" s="123" t="s">
        <v>119</v>
      </c>
      <c r="E272" s="226">
        <v>40.0</v>
      </c>
      <c r="F272" s="123" t="s">
        <v>617</v>
      </c>
      <c r="G272" s="227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 ht="14.25" hidden="1" customHeight="1" outlineLevel="2">
      <c r="A273" s="102">
        <v>45438.0</v>
      </c>
      <c r="B273" s="97">
        <f t="shared" si="46"/>
        <v>45438</v>
      </c>
      <c r="C273" s="129" t="s">
        <v>118</v>
      </c>
      <c r="D273" s="123" t="s">
        <v>619</v>
      </c>
      <c r="E273" s="215">
        <v>736.0</v>
      </c>
      <c r="F273" s="123" t="s">
        <v>620</v>
      </c>
      <c r="G273" s="227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ht="14.25" hidden="1" customHeight="1" outlineLevel="2">
      <c r="A274" s="10"/>
      <c r="B274" s="10"/>
      <c r="C274" s="129" t="s">
        <v>136</v>
      </c>
      <c r="D274" s="123" t="s">
        <v>119</v>
      </c>
      <c r="E274" s="241">
        <v>839.0</v>
      </c>
      <c r="F274" s="210" t="s">
        <v>623</v>
      </c>
      <c r="G274" s="211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 ht="14.25" hidden="1" customHeight="1" outlineLevel="2">
      <c r="A275" s="125">
        <v>45439.0</v>
      </c>
      <c r="B275" s="126">
        <f t="shared" ref="B275:B279" si="47">A275</f>
        <v>45439</v>
      </c>
      <c r="C275" s="129" t="s">
        <v>118</v>
      </c>
      <c r="D275" s="123" t="s">
        <v>119</v>
      </c>
      <c r="E275" s="226">
        <v>200.0</v>
      </c>
      <c r="F275" s="123" t="s">
        <v>432</v>
      </c>
      <c r="G275" s="227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 ht="14.25" hidden="1" customHeight="1" outlineLevel="2">
      <c r="A276" s="125">
        <v>45440.0</v>
      </c>
      <c r="B276" s="126">
        <f t="shared" si="47"/>
        <v>45440</v>
      </c>
      <c r="C276" s="129" t="s">
        <v>118</v>
      </c>
      <c r="D276" s="123" t="s">
        <v>236</v>
      </c>
      <c r="E276" s="226">
        <v>154.0</v>
      </c>
      <c r="F276" s="123" t="s">
        <v>184</v>
      </c>
      <c r="G276" s="227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 ht="14.25" hidden="1" customHeight="1" outlineLevel="2">
      <c r="A277" s="125">
        <v>45441.0</v>
      </c>
      <c r="B277" s="126">
        <f t="shared" si="47"/>
        <v>45441</v>
      </c>
      <c r="C277" s="129" t="s">
        <v>118</v>
      </c>
      <c r="D277" s="123" t="s">
        <v>119</v>
      </c>
      <c r="E277" s="226">
        <v>48.0</v>
      </c>
      <c r="F277" s="123" t="s">
        <v>626</v>
      </c>
      <c r="G277" s="227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ht="14.25" hidden="1" customHeight="1" outlineLevel="2">
      <c r="A278" s="125">
        <v>45442.0</v>
      </c>
      <c r="B278" s="126">
        <f t="shared" si="47"/>
        <v>45442</v>
      </c>
      <c r="C278" s="129" t="s">
        <v>118</v>
      </c>
      <c r="D278" s="123" t="s">
        <v>265</v>
      </c>
      <c r="E278" s="226">
        <v>697.0</v>
      </c>
      <c r="F278" s="123" t="s">
        <v>630</v>
      </c>
      <c r="G278" s="227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 ht="14.25" hidden="1" customHeight="1" outlineLevel="2">
      <c r="A279" s="125">
        <v>45443.0</v>
      </c>
      <c r="B279" s="126">
        <f t="shared" si="47"/>
        <v>45443</v>
      </c>
      <c r="C279" s="129" t="s">
        <v>118</v>
      </c>
      <c r="D279" s="123" t="s">
        <v>296</v>
      </c>
      <c r="E279" s="226">
        <v>169.0</v>
      </c>
      <c r="F279" s="123" t="s">
        <v>631</v>
      </c>
      <c r="G279" s="227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 ht="14.25" hidden="1" customHeight="1" outlineLevel="1">
      <c r="A280" s="117" t="s">
        <v>195</v>
      </c>
      <c r="B280" s="27"/>
      <c r="C280" s="27"/>
      <c r="D280" s="28"/>
      <c r="E280" s="118">
        <f>SUM(E242:E279)</f>
        <v>8933</v>
      </c>
      <c r="F280" s="119"/>
      <c r="G280" s="28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ht="14.25" hidden="1" customHeight="1" outlineLevel="1"/>
    <row r="282" ht="14.25" hidden="1" customHeight="1" outlineLevel="1" collapsed="1">
      <c r="A282" s="122" t="s">
        <v>637</v>
      </c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3"/>
    </row>
    <row r="283" ht="14.25" hidden="1" customHeight="1" outlineLevel="2">
      <c r="A283" s="70" t="s">
        <v>90</v>
      </c>
      <c r="I283" s="72" t="s">
        <v>91</v>
      </c>
      <c r="J283" s="73"/>
      <c r="K283" s="73"/>
      <c r="L283" s="74"/>
      <c r="N283" s="72" t="s">
        <v>95</v>
      </c>
      <c r="O283" s="73"/>
      <c r="P283" s="73"/>
      <c r="Q283" s="74"/>
    </row>
    <row r="284" ht="14.25" hidden="1" customHeight="1" outlineLevel="2">
      <c r="A284" s="81" t="s">
        <v>6</v>
      </c>
      <c r="B284" s="84" t="s">
        <v>103</v>
      </c>
      <c r="C284" s="81" t="s">
        <v>104</v>
      </c>
      <c r="D284" s="81" t="s">
        <v>107</v>
      </c>
      <c r="E284" s="81" t="s">
        <v>109</v>
      </c>
      <c r="F284" s="84" t="s">
        <v>110</v>
      </c>
      <c r="G284" s="81" t="s">
        <v>13</v>
      </c>
      <c r="I284" s="81" t="s">
        <v>6</v>
      </c>
      <c r="J284" s="84" t="s">
        <v>115</v>
      </c>
      <c r="K284" s="84" t="s">
        <v>9</v>
      </c>
      <c r="L284" s="81" t="s">
        <v>13</v>
      </c>
      <c r="N284" s="81" t="s">
        <v>6</v>
      </c>
      <c r="O284" s="84" t="s">
        <v>115</v>
      </c>
      <c r="P284" s="84" t="s">
        <v>9</v>
      </c>
      <c r="Q284" s="81" t="s">
        <v>13</v>
      </c>
    </row>
    <row r="285" ht="14.25" hidden="1" customHeight="1" outlineLevel="2">
      <c r="A285" s="190">
        <v>45444.0</v>
      </c>
      <c r="B285" s="97">
        <f t="shared" ref="B285:B286" si="48">A285</f>
        <v>45444</v>
      </c>
      <c r="C285" s="179" t="s">
        <v>118</v>
      </c>
      <c r="D285" s="242" t="s">
        <v>119</v>
      </c>
      <c r="E285" s="243">
        <v>195.0</v>
      </c>
      <c r="F285" s="242" t="s">
        <v>640</v>
      </c>
      <c r="G285" s="244"/>
      <c r="I285" s="86">
        <v>45446.0</v>
      </c>
      <c r="J285" s="88">
        <f t="shared" ref="J285:J290" si="49">I285</f>
        <v>45446</v>
      </c>
      <c r="K285" s="93">
        <v>70.0</v>
      </c>
      <c r="L285" s="90"/>
      <c r="N285" s="94"/>
      <c r="O285" s="94"/>
      <c r="P285" s="93"/>
      <c r="Q285" s="91"/>
    </row>
    <row r="286" ht="14.25" hidden="1" customHeight="1" outlineLevel="2">
      <c r="A286" s="190">
        <v>45445.0</v>
      </c>
      <c r="B286" s="97">
        <f t="shared" si="48"/>
        <v>45445</v>
      </c>
      <c r="C286" s="179" t="s">
        <v>118</v>
      </c>
      <c r="D286" s="242" t="s">
        <v>643</v>
      </c>
      <c r="E286" s="243">
        <v>554.0</v>
      </c>
      <c r="F286" s="242" t="s">
        <v>409</v>
      </c>
      <c r="G286" s="244"/>
      <c r="I286" s="86">
        <v>45451.0</v>
      </c>
      <c r="J286" s="88">
        <f t="shared" si="49"/>
        <v>45451</v>
      </c>
      <c r="K286" s="93">
        <v>85.0</v>
      </c>
      <c r="L286" s="90"/>
      <c r="N286" s="94"/>
      <c r="O286" s="94"/>
      <c r="P286" s="93"/>
      <c r="Q286" s="91"/>
    </row>
    <row r="287" ht="14.25" hidden="1" customHeight="1" outlineLevel="2">
      <c r="A287" s="191"/>
      <c r="B287" s="58"/>
      <c r="C287" s="179" t="s">
        <v>136</v>
      </c>
      <c r="D287" s="242" t="s">
        <v>342</v>
      </c>
      <c r="E287" s="243">
        <v>670.0</v>
      </c>
      <c r="F287" s="242" t="s">
        <v>297</v>
      </c>
      <c r="G287" s="244"/>
      <c r="I287" s="86">
        <v>45455.0</v>
      </c>
      <c r="J287" s="88">
        <f t="shared" si="49"/>
        <v>45455</v>
      </c>
      <c r="K287" s="93">
        <v>50.0</v>
      </c>
      <c r="L287" s="90"/>
      <c r="N287" s="165" t="s">
        <v>195</v>
      </c>
      <c r="O287" s="165"/>
      <c r="P287" s="113">
        <f>SUM(P285:P286)</f>
        <v>0</v>
      </c>
      <c r="Q287" s="114"/>
    </row>
    <row r="288" ht="14.25" hidden="1" customHeight="1" outlineLevel="2">
      <c r="A288" s="190">
        <v>45446.0</v>
      </c>
      <c r="B288" s="97">
        <f t="shared" ref="B288:B292" si="50">A288</f>
        <v>45446</v>
      </c>
      <c r="C288" s="179" t="s">
        <v>118</v>
      </c>
      <c r="D288" s="242" t="s">
        <v>119</v>
      </c>
      <c r="E288" s="243">
        <v>106.0</v>
      </c>
      <c r="F288" s="242" t="s">
        <v>584</v>
      </c>
      <c r="G288" s="244"/>
      <c r="I288" s="86">
        <v>45459.0</v>
      </c>
      <c r="J288" s="88">
        <f t="shared" si="49"/>
        <v>45459</v>
      </c>
      <c r="K288" s="93">
        <v>74.0</v>
      </c>
      <c r="L288" s="90"/>
      <c r="N288" s="166"/>
      <c r="O288" s="167"/>
      <c r="P288" s="168"/>
      <c r="Q288" s="51"/>
    </row>
    <row r="289" ht="14.25" hidden="1" customHeight="1" outlineLevel="2">
      <c r="A289" s="190">
        <v>45447.0</v>
      </c>
      <c r="B289" s="97">
        <f t="shared" si="50"/>
        <v>45447</v>
      </c>
      <c r="C289" s="179" t="s">
        <v>118</v>
      </c>
      <c r="D289" s="242" t="s">
        <v>119</v>
      </c>
      <c r="E289" s="243">
        <v>85.0</v>
      </c>
      <c r="F289" s="242" t="s">
        <v>650</v>
      </c>
      <c r="G289" s="244"/>
      <c r="I289" s="86">
        <v>45467.0</v>
      </c>
      <c r="J289" s="88">
        <f t="shared" si="49"/>
        <v>45467</v>
      </c>
      <c r="K289" s="93">
        <v>74.2</v>
      </c>
      <c r="L289" s="90"/>
      <c r="N289" s="235" t="s">
        <v>344</v>
      </c>
      <c r="O289" s="27"/>
      <c r="P289" s="27"/>
      <c r="Q289" s="28"/>
    </row>
    <row r="290" ht="14.25" hidden="1" customHeight="1" outlineLevel="2">
      <c r="A290" s="190">
        <v>45448.0</v>
      </c>
      <c r="B290" s="97">
        <f t="shared" si="50"/>
        <v>45448</v>
      </c>
      <c r="C290" s="179" t="s">
        <v>118</v>
      </c>
      <c r="D290" s="242" t="s">
        <v>119</v>
      </c>
      <c r="E290" s="243">
        <v>84.0</v>
      </c>
      <c r="F290" s="242" t="s">
        <v>184</v>
      </c>
      <c r="G290" s="244"/>
      <c r="I290" s="86">
        <v>45472.0</v>
      </c>
      <c r="J290" s="88">
        <f t="shared" si="49"/>
        <v>45472</v>
      </c>
      <c r="K290" s="93">
        <v>29.75</v>
      </c>
      <c r="L290" s="90"/>
      <c r="N290" s="81" t="s">
        <v>6</v>
      </c>
      <c r="O290" s="84" t="s">
        <v>115</v>
      </c>
      <c r="P290" s="84" t="s">
        <v>9</v>
      </c>
      <c r="Q290" s="81" t="s">
        <v>13</v>
      </c>
    </row>
    <row r="291" ht="14.25" hidden="1" customHeight="1" outlineLevel="2">
      <c r="A291" s="190">
        <v>45449.0</v>
      </c>
      <c r="B291" s="97">
        <f t="shared" si="50"/>
        <v>45449</v>
      </c>
      <c r="C291" s="179" t="s">
        <v>118</v>
      </c>
      <c r="D291" s="242" t="s">
        <v>119</v>
      </c>
      <c r="E291" s="243">
        <v>93.0</v>
      </c>
      <c r="F291" s="242" t="s">
        <v>205</v>
      </c>
      <c r="G291" s="244"/>
      <c r="I291" s="86"/>
      <c r="J291" s="88"/>
      <c r="K291" s="92"/>
      <c r="L291" s="90"/>
      <c r="N291" s="86"/>
      <c r="O291" s="88" t="str">
        <f>N291</f>
        <v/>
      </c>
      <c r="P291" s="93"/>
      <c r="Q291" s="90"/>
    </row>
    <row r="292" ht="14.25" hidden="1" customHeight="1" outlineLevel="2">
      <c r="A292" s="190">
        <v>45450.0</v>
      </c>
      <c r="B292" s="97">
        <f t="shared" si="50"/>
        <v>45450</v>
      </c>
      <c r="C292" s="179" t="s">
        <v>118</v>
      </c>
      <c r="D292" s="242" t="s">
        <v>236</v>
      </c>
      <c r="E292" s="243">
        <v>220.0</v>
      </c>
      <c r="F292" s="242" t="s">
        <v>654</v>
      </c>
      <c r="G292" s="244"/>
      <c r="I292" s="86"/>
      <c r="J292" s="88"/>
      <c r="K292" s="92"/>
      <c r="L292" s="90"/>
      <c r="N292" s="86"/>
      <c r="O292" s="88"/>
      <c r="P292" s="92"/>
      <c r="Q292" s="90"/>
    </row>
    <row r="293" ht="14.25" hidden="1" customHeight="1" outlineLevel="2">
      <c r="A293" s="191"/>
      <c r="B293" s="58"/>
      <c r="C293" s="179" t="s">
        <v>136</v>
      </c>
      <c r="D293" s="242" t="s">
        <v>656</v>
      </c>
      <c r="E293" s="243">
        <v>967.0</v>
      </c>
      <c r="F293" s="242" t="s">
        <v>219</v>
      </c>
      <c r="G293" s="242" t="s">
        <v>139</v>
      </c>
      <c r="I293" s="86"/>
      <c r="J293" s="88"/>
      <c r="K293" s="92"/>
      <c r="L293" s="90"/>
      <c r="N293" s="86"/>
      <c r="O293" s="88"/>
      <c r="P293" s="92"/>
      <c r="Q293" s="90"/>
    </row>
    <row r="294" ht="14.25" hidden="1" customHeight="1" outlineLevel="2">
      <c r="A294" s="190">
        <v>45451.0</v>
      </c>
      <c r="B294" s="97">
        <f t="shared" ref="B294:B295" si="51">A294</f>
        <v>45451</v>
      </c>
      <c r="C294" s="179" t="s">
        <v>118</v>
      </c>
      <c r="D294" s="242" t="s">
        <v>656</v>
      </c>
      <c r="E294" s="243">
        <v>271.0</v>
      </c>
      <c r="F294" s="242" t="s">
        <v>219</v>
      </c>
      <c r="G294" s="242" t="s">
        <v>658</v>
      </c>
      <c r="I294" s="86"/>
      <c r="J294" s="88"/>
      <c r="K294" s="92"/>
      <c r="L294" s="90"/>
      <c r="N294" s="86"/>
      <c r="O294" s="88"/>
      <c r="P294" s="92"/>
      <c r="Q294" s="90"/>
    </row>
    <row r="295" ht="14.25" hidden="1" customHeight="1" outlineLevel="2">
      <c r="A295" s="190">
        <v>45452.0</v>
      </c>
      <c r="B295" s="97">
        <f t="shared" si="51"/>
        <v>45452</v>
      </c>
      <c r="C295" s="179" t="s">
        <v>118</v>
      </c>
      <c r="D295" s="242" t="s">
        <v>656</v>
      </c>
      <c r="E295" s="243">
        <v>710.0</v>
      </c>
      <c r="F295" s="242" t="s">
        <v>219</v>
      </c>
      <c r="G295" s="242" t="s">
        <v>658</v>
      </c>
      <c r="I295" s="108" t="s">
        <v>195</v>
      </c>
      <c r="J295" s="109"/>
      <c r="K295" s="113">
        <f>SUM(K285:K294)</f>
        <v>382.95</v>
      </c>
      <c r="L295" s="114"/>
      <c r="N295" s="165" t="s">
        <v>195</v>
      </c>
      <c r="O295" s="165"/>
      <c r="P295" s="113">
        <f>SUM(P291:P294)</f>
        <v>0</v>
      </c>
      <c r="Q295" s="114"/>
    </row>
    <row r="296" ht="14.25" hidden="1" customHeight="1" outlineLevel="2">
      <c r="A296" s="191"/>
      <c r="B296" s="58"/>
      <c r="C296" s="179" t="s">
        <v>136</v>
      </c>
      <c r="D296" s="242" t="s">
        <v>413</v>
      </c>
      <c r="E296" s="243">
        <v>400.0</v>
      </c>
      <c r="F296" s="242" t="s">
        <v>607</v>
      </c>
      <c r="G296" s="244"/>
    </row>
    <row r="297" ht="14.25" hidden="1" customHeight="1" outlineLevel="2">
      <c r="A297" s="190">
        <v>45453.0</v>
      </c>
      <c r="B297" s="97">
        <f t="shared" ref="B297:B303" si="52">A297</f>
        <v>45453</v>
      </c>
      <c r="C297" s="179" t="s">
        <v>118</v>
      </c>
      <c r="D297" s="242" t="s">
        <v>119</v>
      </c>
      <c r="E297" s="243">
        <v>95.0</v>
      </c>
      <c r="F297" s="242" t="s">
        <v>432</v>
      </c>
      <c r="G297" s="244"/>
    </row>
    <row r="298" ht="14.25" hidden="1" customHeight="1" outlineLevel="2">
      <c r="A298" s="190">
        <v>45454.0</v>
      </c>
      <c r="B298" s="97">
        <f t="shared" si="52"/>
        <v>45454</v>
      </c>
      <c r="C298" s="179" t="s">
        <v>118</v>
      </c>
      <c r="D298" s="242" t="s">
        <v>296</v>
      </c>
      <c r="E298" s="243">
        <v>68.0</v>
      </c>
      <c r="F298" s="242" t="s">
        <v>378</v>
      </c>
      <c r="G298" s="244"/>
    </row>
    <row r="299" ht="14.25" hidden="1" customHeight="1" outlineLevel="2">
      <c r="A299" s="190">
        <v>45455.0</v>
      </c>
      <c r="B299" s="97">
        <f t="shared" si="52"/>
        <v>45455</v>
      </c>
      <c r="C299" s="179" t="s">
        <v>118</v>
      </c>
      <c r="D299" s="242" t="s">
        <v>119</v>
      </c>
      <c r="E299" s="243">
        <v>26.0</v>
      </c>
      <c r="F299" s="242" t="s">
        <v>219</v>
      </c>
      <c r="G299" s="244"/>
    </row>
    <row r="300" ht="14.25" hidden="1" customHeight="1" outlineLevel="2">
      <c r="A300" s="190">
        <v>45456.0</v>
      </c>
      <c r="B300" s="97">
        <f t="shared" si="52"/>
        <v>45456</v>
      </c>
      <c r="C300" s="179" t="s">
        <v>118</v>
      </c>
      <c r="D300" s="242" t="s">
        <v>119</v>
      </c>
      <c r="E300" s="243">
        <v>65.0</v>
      </c>
      <c r="F300" s="242" t="s">
        <v>659</v>
      </c>
      <c r="G300" s="244"/>
    </row>
    <row r="301" ht="14.25" hidden="1" customHeight="1" outlineLevel="2">
      <c r="A301" s="190">
        <v>45457.0</v>
      </c>
      <c r="B301" s="97">
        <f t="shared" si="52"/>
        <v>45457</v>
      </c>
      <c r="C301" s="179" t="s">
        <v>118</v>
      </c>
      <c r="D301" s="242" t="s">
        <v>236</v>
      </c>
      <c r="E301" s="243">
        <v>65.0</v>
      </c>
      <c r="F301" s="244"/>
      <c r="G301" s="244"/>
    </row>
    <row r="302" ht="14.25" hidden="1" customHeight="1" outlineLevel="2">
      <c r="A302" s="190">
        <v>45458.0</v>
      </c>
      <c r="B302" s="97">
        <f t="shared" si="52"/>
        <v>45458</v>
      </c>
      <c r="C302" s="179" t="s">
        <v>118</v>
      </c>
      <c r="D302" s="242" t="s">
        <v>119</v>
      </c>
      <c r="E302" s="243">
        <v>33.0</v>
      </c>
      <c r="F302" s="244"/>
      <c r="G302" s="244"/>
    </row>
    <row r="303" ht="14.25" hidden="1" customHeight="1" outlineLevel="2">
      <c r="A303" s="190">
        <v>45459.0</v>
      </c>
      <c r="B303" s="97">
        <f t="shared" si="52"/>
        <v>45459</v>
      </c>
      <c r="C303" s="179" t="s">
        <v>118</v>
      </c>
      <c r="D303" s="242" t="s">
        <v>490</v>
      </c>
      <c r="E303" s="243">
        <v>600.0</v>
      </c>
      <c r="F303" s="242" t="s">
        <v>660</v>
      </c>
      <c r="G303" s="244"/>
    </row>
    <row r="304" ht="14.25" hidden="1" customHeight="1" outlineLevel="2">
      <c r="A304" s="191"/>
      <c r="B304" s="58"/>
      <c r="C304" s="179" t="s">
        <v>136</v>
      </c>
      <c r="D304" s="242" t="s">
        <v>355</v>
      </c>
      <c r="E304" s="243">
        <v>556.0</v>
      </c>
      <c r="F304" s="242" t="s">
        <v>438</v>
      </c>
      <c r="G304" s="244"/>
    </row>
    <row r="305" ht="14.25" hidden="1" customHeight="1" outlineLevel="2">
      <c r="A305" s="190">
        <v>45460.0</v>
      </c>
      <c r="B305" s="97">
        <f t="shared" ref="B305:B311" si="53">A305</f>
        <v>45460</v>
      </c>
      <c r="C305" s="179" t="s">
        <v>118</v>
      </c>
      <c r="D305" s="242" t="s">
        <v>119</v>
      </c>
      <c r="E305" s="243">
        <v>96.0</v>
      </c>
      <c r="F305" s="242" t="s">
        <v>181</v>
      </c>
      <c r="G305" s="244"/>
    </row>
    <row r="306" ht="14.25" hidden="1" customHeight="1" outlineLevel="2">
      <c r="A306" s="190">
        <v>45461.0</v>
      </c>
      <c r="B306" s="97">
        <f t="shared" si="53"/>
        <v>45461</v>
      </c>
      <c r="C306" s="179" t="s">
        <v>118</v>
      </c>
      <c r="D306" s="242" t="s">
        <v>236</v>
      </c>
      <c r="E306" s="243">
        <v>145.0</v>
      </c>
      <c r="F306" s="242" t="s">
        <v>662</v>
      </c>
      <c r="G306" s="244"/>
    </row>
    <row r="307" ht="14.25" hidden="1" customHeight="1" outlineLevel="2">
      <c r="A307" s="190">
        <v>45462.0</v>
      </c>
      <c r="B307" s="97">
        <f t="shared" si="53"/>
        <v>45462</v>
      </c>
      <c r="C307" s="179" t="s">
        <v>118</v>
      </c>
      <c r="D307" s="242" t="s">
        <v>119</v>
      </c>
      <c r="E307" s="243">
        <v>162.0</v>
      </c>
      <c r="F307" s="242" t="s">
        <v>586</v>
      </c>
      <c r="G307" s="244"/>
    </row>
    <row r="308" ht="14.25" hidden="1" customHeight="1" outlineLevel="2">
      <c r="A308" s="190">
        <v>45463.0</v>
      </c>
      <c r="B308" s="97">
        <f t="shared" si="53"/>
        <v>45463</v>
      </c>
      <c r="C308" s="179" t="s">
        <v>118</v>
      </c>
      <c r="D308" s="242" t="s">
        <v>119</v>
      </c>
      <c r="E308" s="243">
        <v>60.0</v>
      </c>
      <c r="F308" s="242" t="s">
        <v>659</v>
      </c>
      <c r="G308" s="244"/>
    </row>
    <row r="309" ht="14.25" hidden="1" customHeight="1" outlineLevel="2">
      <c r="A309" s="190">
        <v>45464.0</v>
      </c>
      <c r="B309" s="97">
        <f t="shared" si="53"/>
        <v>45464</v>
      </c>
      <c r="C309" s="179" t="s">
        <v>118</v>
      </c>
      <c r="D309" s="242" t="s">
        <v>236</v>
      </c>
      <c r="E309" s="243">
        <v>105.0</v>
      </c>
      <c r="F309" s="242" t="s">
        <v>664</v>
      </c>
      <c r="G309" s="244"/>
    </row>
    <row r="310" ht="14.25" hidden="1" customHeight="1" outlineLevel="2">
      <c r="A310" s="190">
        <v>45465.0</v>
      </c>
      <c r="B310" s="97">
        <f t="shared" si="53"/>
        <v>45465</v>
      </c>
      <c r="C310" s="179" t="s">
        <v>118</v>
      </c>
      <c r="D310" s="242" t="s">
        <v>119</v>
      </c>
      <c r="E310" s="243">
        <v>60.0</v>
      </c>
      <c r="F310" s="242" t="s">
        <v>579</v>
      </c>
      <c r="G310" s="244"/>
    </row>
    <row r="311" ht="14.25" hidden="1" customHeight="1" outlineLevel="2">
      <c r="A311" s="190">
        <v>45466.0</v>
      </c>
      <c r="B311" s="97">
        <f t="shared" si="53"/>
        <v>45466</v>
      </c>
      <c r="C311" s="179" t="s">
        <v>118</v>
      </c>
      <c r="D311" s="242" t="s">
        <v>490</v>
      </c>
      <c r="E311" s="243">
        <v>523.0</v>
      </c>
      <c r="F311" s="242" t="s">
        <v>409</v>
      </c>
      <c r="G311" s="244"/>
    </row>
    <row r="312" ht="14.25" hidden="1" customHeight="1" outlineLevel="2">
      <c r="A312" s="191"/>
      <c r="B312" s="58"/>
      <c r="C312" s="179" t="s">
        <v>136</v>
      </c>
      <c r="D312" s="242" t="s">
        <v>355</v>
      </c>
      <c r="E312" s="243">
        <v>464.0</v>
      </c>
      <c r="F312" s="242" t="s">
        <v>667</v>
      </c>
      <c r="G312" s="244"/>
    </row>
    <row r="313" ht="14.25" hidden="1" customHeight="1" outlineLevel="2">
      <c r="A313" s="190">
        <v>45467.0</v>
      </c>
      <c r="B313" s="97">
        <f t="shared" ref="B313:B319" si="54">A313</f>
        <v>45467</v>
      </c>
      <c r="C313" s="179" t="s">
        <v>118</v>
      </c>
      <c r="D313" s="242" t="s">
        <v>119</v>
      </c>
      <c r="E313" s="243">
        <v>101.0</v>
      </c>
      <c r="F313" s="242" t="s">
        <v>181</v>
      </c>
      <c r="G313" s="244"/>
    </row>
    <row r="314" ht="14.25" hidden="1" customHeight="1" outlineLevel="2">
      <c r="A314" s="190">
        <v>45468.0</v>
      </c>
      <c r="B314" s="97">
        <f t="shared" si="54"/>
        <v>45468</v>
      </c>
      <c r="C314" s="179" t="s">
        <v>118</v>
      </c>
      <c r="D314" s="242" t="s">
        <v>236</v>
      </c>
      <c r="E314" s="243">
        <v>56.0</v>
      </c>
      <c r="F314" s="242" t="s">
        <v>257</v>
      </c>
      <c r="G314" s="244"/>
    </row>
    <row r="315" ht="14.25" hidden="1" customHeight="1" outlineLevel="2">
      <c r="A315" s="190">
        <v>45469.0</v>
      </c>
      <c r="B315" s="97">
        <f t="shared" si="54"/>
        <v>45469</v>
      </c>
      <c r="C315" s="179" t="s">
        <v>118</v>
      </c>
      <c r="D315" s="242" t="s">
        <v>119</v>
      </c>
      <c r="E315" s="243">
        <v>49.0</v>
      </c>
      <c r="F315" s="242" t="s">
        <v>518</v>
      </c>
      <c r="G315" s="244"/>
    </row>
    <row r="316" ht="14.25" hidden="1" customHeight="1" outlineLevel="2">
      <c r="A316" s="190">
        <v>45470.0</v>
      </c>
      <c r="B316" s="97">
        <f t="shared" si="54"/>
        <v>45470</v>
      </c>
      <c r="C316" s="179" t="s">
        <v>118</v>
      </c>
      <c r="D316" s="242" t="s">
        <v>119</v>
      </c>
      <c r="E316" s="243">
        <v>25.0</v>
      </c>
      <c r="F316" s="242" t="s">
        <v>122</v>
      </c>
      <c r="G316" s="244"/>
    </row>
    <row r="317" ht="14.25" hidden="1" customHeight="1" outlineLevel="2">
      <c r="A317" s="190">
        <v>45471.0</v>
      </c>
      <c r="B317" s="97">
        <f t="shared" si="54"/>
        <v>45471</v>
      </c>
      <c r="C317" s="179" t="s">
        <v>118</v>
      </c>
      <c r="D317" s="242" t="s">
        <v>236</v>
      </c>
      <c r="E317" s="243">
        <v>134.0</v>
      </c>
      <c r="F317" s="242" t="s">
        <v>670</v>
      </c>
      <c r="G317" s="244"/>
    </row>
    <row r="318" ht="14.25" hidden="1" customHeight="1" outlineLevel="2">
      <c r="A318" s="190">
        <v>45472.0</v>
      </c>
      <c r="B318" s="97">
        <f t="shared" si="54"/>
        <v>45472</v>
      </c>
      <c r="C318" s="199" t="s">
        <v>118</v>
      </c>
      <c r="D318" s="259" t="s">
        <v>119</v>
      </c>
      <c r="E318" s="260">
        <v>55.0</v>
      </c>
      <c r="F318" s="259" t="s">
        <v>129</v>
      </c>
      <c r="G318" s="261" t="s">
        <v>671</v>
      </c>
    </row>
    <row r="319" ht="14.25" hidden="1" customHeight="1" outlineLevel="2">
      <c r="A319" s="102">
        <v>45473.0</v>
      </c>
      <c r="B319" s="97">
        <f t="shared" si="54"/>
        <v>45473</v>
      </c>
      <c r="C319" s="200" t="s">
        <v>118</v>
      </c>
      <c r="D319" s="259" t="s">
        <v>490</v>
      </c>
      <c r="E319" s="260">
        <v>765.0</v>
      </c>
      <c r="F319" s="259" t="s">
        <v>673</v>
      </c>
      <c r="G319" s="58"/>
    </row>
    <row r="320" ht="14.25" hidden="1" customHeight="1" outlineLevel="2">
      <c r="A320" s="10"/>
      <c r="B320" s="10"/>
      <c r="C320" s="200" t="s">
        <v>136</v>
      </c>
      <c r="D320" s="259" t="s">
        <v>342</v>
      </c>
      <c r="E320" s="260">
        <v>470.0</v>
      </c>
      <c r="F320" s="259" t="s">
        <v>674</v>
      </c>
      <c r="G320" s="10"/>
    </row>
    <row r="321" ht="14.25" hidden="1" customHeight="1" outlineLevel="1">
      <c r="A321" s="117" t="s">
        <v>195</v>
      </c>
      <c r="B321" s="27"/>
      <c r="C321" s="27"/>
      <c r="D321" s="28"/>
      <c r="E321" s="262">
        <f>SUM(E285:E320)</f>
        <v>9133</v>
      </c>
      <c r="F321" s="119"/>
      <c r="G321" s="28"/>
    </row>
    <row r="322" ht="14.25" hidden="1" customHeight="1" outlineLevel="1">
      <c r="E322" s="263"/>
    </row>
    <row r="323" ht="14.25" hidden="1" customHeight="1" outlineLevel="1" collapsed="1">
      <c r="A323" s="122" t="s">
        <v>675</v>
      </c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3"/>
    </row>
    <row r="324" ht="14.25" hidden="1" customHeight="1" outlineLevel="2">
      <c r="A324" s="70" t="s">
        <v>90</v>
      </c>
      <c r="I324" s="72" t="s">
        <v>91</v>
      </c>
      <c r="J324" s="73"/>
      <c r="K324" s="73"/>
      <c r="L324" s="74"/>
      <c r="N324" s="72" t="s">
        <v>95</v>
      </c>
      <c r="O324" s="73"/>
      <c r="P324" s="73"/>
      <c r="Q324" s="74"/>
    </row>
    <row r="325" ht="14.25" hidden="1" customHeight="1" outlineLevel="2">
      <c r="A325" s="81" t="s">
        <v>6</v>
      </c>
      <c r="B325" s="84" t="s">
        <v>103</v>
      </c>
      <c r="C325" s="81" t="s">
        <v>104</v>
      </c>
      <c r="D325" s="81" t="s">
        <v>107</v>
      </c>
      <c r="E325" s="81" t="s">
        <v>109</v>
      </c>
      <c r="F325" s="84" t="s">
        <v>110</v>
      </c>
      <c r="G325" s="81" t="s">
        <v>13</v>
      </c>
      <c r="I325" s="81" t="s">
        <v>6</v>
      </c>
      <c r="J325" s="84" t="s">
        <v>115</v>
      </c>
      <c r="K325" s="84" t="s">
        <v>9</v>
      </c>
      <c r="L325" s="81" t="s">
        <v>13</v>
      </c>
      <c r="N325" s="81" t="s">
        <v>6</v>
      </c>
      <c r="O325" s="84" t="s">
        <v>115</v>
      </c>
      <c r="P325" s="84" t="s">
        <v>9</v>
      </c>
      <c r="Q325" s="81" t="s">
        <v>13</v>
      </c>
    </row>
    <row r="326" ht="14.25" hidden="1" customHeight="1" outlineLevel="2">
      <c r="A326" s="190">
        <v>45474.0</v>
      </c>
      <c r="B326" s="97">
        <f t="shared" ref="B326:B330" si="55">A326</f>
        <v>45474</v>
      </c>
      <c r="C326" s="179" t="s">
        <v>118</v>
      </c>
      <c r="D326" s="242" t="s">
        <v>119</v>
      </c>
      <c r="E326" s="243">
        <v>26.0</v>
      </c>
      <c r="F326" s="242" t="s">
        <v>516</v>
      </c>
      <c r="G326" s="244"/>
      <c r="I326" s="86">
        <v>45474.0</v>
      </c>
      <c r="J326" s="88">
        <f t="shared" ref="J326:J329" si="56">I326</f>
        <v>45474</v>
      </c>
      <c r="K326" s="93">
        <v>56.75</v>
      </c>
      <c r="L326" s="90"/>
      <c r="N326" s="94"/>
      <c r="O326" s="94"/>
      <c r="P326" s="93"/>
      <c r="Q326" s="91"/>
    </row>
    <row r="327" ht="14.25" hidden="1" customHeight="1" outlineLevel="2">
      <c r="A327" s="190">
        <v>45475.0</v>
      </c>
      <c r="B327" s="97">
        <f t="shared" si="55"/>
        <v>45475</v>
      </c>
      <c r="C327" s="179" t="s">
        <v>118</v>
      </c>
      <c r="D327" s="242" t="s">
        <v>236</v>
      </c>
      <c r="E327" s="243">
        <v>147.0</v>
      </c>
      <c r="F327" s="242" t="s">
        <v>679</v>
      </c>
      <c r="G327" s="244"/>
      <c r="I327" s="86">
        <v>45483.0</v>
      </c>
      <c r="J327" s="88">
        <f t="shared" si="56"/>
        <v>45483</v>
      </c>
      <c r="K327" s="93">
        <v>67.1</v>
      </c>
      <c r="L327" s="90"/>
      <c r="N327" s="94"/>
      <c r="O327" s="94"/>
      <c r="P327" s="93"/>
      <c r="Q327" s="91"/>
    </row>
    <row r="328" ht="14.25" hidden="1" customHeight="1" outlineLevel="2">
      <c r="A328" s="190">
        <v>45476.0</v>
      </c>
      <c r="B328" s="97">
        <f t="shared" si="55"/>
        <v>45476</v>
      </c>
      <c r="C328" s="179" t="s">
        <v>118</v>
      </c>
      <c r="D328" s="242" t="s">
        <v>119</v>
      </c>
      <c r="E328" s="243">
        <v>39.0</v>
      </c>
      <c r="F328" s="242" t="s">
        <v>683</v>
      </c>
      <c r="G328" s="244"/>
      <c r="I328" s="86">
        <v>45489.0</v>
      </c>
      <c r="J328" s="88">
        <f t="shared" si="56"/>
        <v>45489</v>
      </c>
      <c r="K328" s="93">
        <v>53.05</v>
      </c>
      <c r="L328" s="90"/>
      <c r="N328" s="165" t="s">
        <v>195</v>
      </c>
      <c r="O328" s="165"/>
      <c r="P328" s="113">
        <f>SUM(P326:P327)</f>
        <v>0</v>
      </c>
      <c r="Q328" s="114"/>
    </row>
    <row r="329" ht="14.25" hidden="1" customHeight="1" outlineLevel="2">
      <c r="A329" s="190">
        <v>45477.0</v>
      </c>
      <c r="B329" s="97">
        <f t="shared" si="55"/>
        <v>45477</v>
      </c>
      <c r="C329" s="179" t="s">
        <v>118</v>
      </c>
      <c r="D329" s="242" t="s">
        <v>119</v>
      </c>
      <c r="E329" s="243">
        <v>75.0</v>
      </c>
      <c r="F329" s="242" t="s">
        <v>205</v>
      </c>
      <c r="G329" s="244"/>
      <c r="I329" s="86">
        <v>45498.0</v>
      </c>
      <c r="J329" s="88">
        <f t="shared" si="56"/>
        <v>45498</v>
      </c>
      <c r="K329" s="93">
        <v>75.8</v>
      </c>
      <c r="L329" s="90"/>
      <c r="N329" s="166"/>
      <c r="O329" s="167"/>
      <c r="P329" s="168"/>
      <c r="Q329" s="51"/>
    </row>
    <row r="330" ht="14.25" hidden="1" customHeight="1" outlineLevel="2">
      <c r="A330" s="190">
        <v>45478.0</v>
      </c>
      <c r="B330" s="97">
        <f t="shared" si="55"/>
        <v>45478</v>
      </c>
      <c r="C330" s="179" t="s">
        <v>118</v>
      </c>
      <c r="D330" s="242" t="s">
        <v>236</v>
      </c>
      <c r="E330" s="243">
        <v>145.0</v>
      </c>
      <c r="F330" s="242" t="s">
        <v>134</v>
      </c>
      <c r="G330" s="244"/>
      <c r="I330" s="86"/>
      <c r="J330" s="88"/>
      <c r="K330" s="93"/>
      <c r="L330" s="90"/>
      <c r="N330" s="235" t="s">
        <v>344</v>
      </c>
      <c r="O330" s="27"/>
      <c r="P330" s="27"/>
      <c r="Q330" s="28"/>
    </row>
    <row r="331" ht="14.25" hidden="1" customHeight="1" outlineLevel="2">
      <c r="A331" s="191"/>
      <c r="B331" s="58"/>
      <c r="C331" s="179" t="s">
        <v>136</v>
      </c>
      <c r="D331" s="242" t="s">
        <v>490</v>
      </c>
      <c r="E331" s="243">
        <v>134.0</v>
      </c>
      <c r="F331" s="242" t="s">
        <v>219</v>
      </c>
      <c r="G331" s="242" t="s">
        <v>65</v>
      </c>
      <c r="I331" s="86"/>
      <c r="J331" s="88"/>
      <c r="K331" s="92"/>
      <c r="L331" s="90"/>
      <c r="N331" s="81" t="s">
        <v>6</v>
      </c>
      <c r="O331" s="84" t="s">
        <v>115</v>
      </c>
      <c r="P331" s="84" t="s">
        <v>9</v>
      </c>
      <c r="Q331" s="81" t="s">
        <v>13</v>
      </c>
    </row>
    <row r="332" ht="14.25" hidden="1" customHeight="1" outlineLevel="2">
      <c r="A332" s="190">
        <v>45479.0</v>
      </c>
      <c r="B332" s="97">
        <f t="shared" ref="B332:B333" si="57">A332</f>
        <v>45479</v>
      </c>
      <c r="C332" s="179" t="s">
        <v>118</v>
      </c>
      <c r="D332" s="242" t="s">
        <v>119</v>
      </c>
      <c r="E332" s="243">
        <v>43.0</v>
      </c>
      <c r="F332" s="242" t="s">
        <v>129</v>
      </c>
      <c r="G332" s="242"/>
      <c r="I332" s="86"/>
      <c r="J332" s="88"/>
      <c r="K332" s="92"/>
      <c r="L332" s="90"/>
      <c r="N332" s="86"/>
      <c r="O332" s="88" t="str">
        <f>N332</f>
        <v/>
      </c>
      <c r="P332" s="93"/>
      <c r="Q332" s="90"/>
    </row>
    <row r="333" ht="14.25" hidden="1" customHeight="1" outlineLevel="2">
      <c r="A333" s="190">
        <v>45480.0</v>
      </c>
      <c r="B333" s="97">
        <f t="shared" si="57"/>
        <v>45480</v>
      </c>
      <c r="C333" s="179" t="s">
        <v>118</v>
      </c>
      <c r="D333" s="242" t="s">
        <v>413</v>
      </c>
      <c r="E333" s="243">
        <v>436.0</v>
      </c>
      <c r="F333" s="242" t="s">
        <v>300</v>
      </c>
      <c r="G333" s="242"/>
      <c r="I333" s="86"/>
      <c r="J333" s="88"/>
      <c r="K333" s="92"/>
      <c r="L333" s="90"/>
      <c r="N333" s="86"/>
      <c r="O333" s="88"/>
      <c r="P333" s="92"/>
      <c r="Q333" s="90"/>
    </row>
    <row r="334" ht="14.25" hidden="1" customHeight="1" outlineLevel="2">
      <c r="A334" s="191"/>
      <c r="B334" s="58"/>
      <c r="C334" s="179" t="s">
        <v>136</v>
      </c>
      <c r="D334" s="242" t="s">
        <v>413</v>
      </c>
      <c r="E334" s="243">
        <v>674.0</v>
      </c>
      <c r="F334" s="242" t="s">
        <v>129</v>
      </c>
      <c r="G334" s="244"/>
      <c r="I334" s="86"/>
      <c r="J334" s="88"/>
      <c r="K334" s="92"/>
      <c r="L334" s="90"/>
      <c r="N334" s="86"/>
      <c r="O334" s="88"/>
      <c r="P334" s="92"/>
      <c r="Q334" s="90"/>
    </row>
    <row r="335" ht="14.25" hidden="1" customHeight="1" outlineLevel="2">
      <c r="A335" s="190">
        <v>45481.0</v>
      </c>
      <c r="B335" s="97">
        <f t="shared" ref="B335:B341" si="58">A335</f>
        <v>45481</v>
      </c>
      <c r="C335" s="179" t="s">
        <v>118</v>
      </c>
      <c r="D335" s="242" t="s">
        <v>119</v>
      </c>
      <c r="E335" s="243">
        <v>130.0</v>
      </c>
      <c r="F335" s="242" t="s">
        <v>181</v>
      </c>
      <c r="G335" s="244"/>
      <c r="I335" s="86"/>
      <c r="J335" s="88"/>
      <c r="K335" s="92"/>
      <c r="L335" s="90"/>
      <c r="N335" s="86"/>
      <c r="O335" s="88"/>
      <c r="P335" s="92"/>
      <c r="Q335" s="90"/>
    </row>
    <row r="336" ht="14.25" hidden="1" customHeight="1" outlineLevel="2">
      <c r="A336" s="190">
        <v>45482.0</v>
      </c>
      <c r="B336" s="97">
        <f t="shared" si="58"/>
        <v>45482</v>
      </c>
      <c r="C336" s="179" t="s">
        <v>118</v>
      </c>
      <c r="D336" s="242" t="s">
        <v>236</v>
      </c>
      <c r="E336" s="243">
        <v>78.0</v>
      </c>
      <c r="F336" s="242" t="s">
        <v>689</v>
      </c>
      <c r="G336" s="244"/>
      <c r="I336" s="108" t="s">
        <v>195</v>
      </c>
      <c r="J336" s="109"/>
      <c r="K336" s="113">
        <f>SUM(K326:K335)</f>
        <v>252.7</v>
      </c>
      <c r="L336" s="114"/>
      <c r="N336" s="165" t="s">
        <v>195</v>
      </c>
      <c r="O336" s="165"/>
      <c r="P336" s="113">
        <f>SUM(P332:P335)</f>
        <v>0</v>
      </c>
      <c r="Q336" s="114"/>
    </row>
    <row r="337" ht="14.25" hidden="1" customHeight="1" outlineLevel="2">
      <c r="A337" s="190">
        <v>45483.0</v>
      </c>
      <c r="B337" s="97">
        <f t="shared" si="58"/>
        <v>45483</v>
      </c>
      <c r="C337" s="179" t="s">
        <v>118</v>
      </c>
      <c r="D337" s="242" t="s">
        <v>119</v>
      </c>
      <c r="E337" s="243">
        <v>100.0</v>
      </c>
      <c r="F337" s="242" t="s">
        <v>691</v>
      </c>
      <c r="G337" s="244"/>
    </row>
    <row r="338" ht="14.25" hidden="1" customHeight="1" outlineLevel="2">
      <c r="A338" s="190">
        <v>45484.0</v>
      </c>
      <c r="B338" s="97">
        <f t="shared" si="58"/>
        <v>45484</v>
      </c>
      <c r="C338" s="179" t="s">
        <v>118</v>
      </c>
      <c r="D338" s="242" t="s">
        <v>119</v>
      </c>
      <c r="E338" s="243">
        <v>69.0</v>
      </c>
      <c r="F338" s="242" t="s">
        <v>692</v>
      </c>
      <c r="G338" s="244"/>
    </row>
    <row r="339" ht="14.25" hidden="1" customHeight="1" outlineLevel="2">
      <c r="A339" s="190">
        <v>45485.0</v>
      </c>
      <c r="B339" s="97">
        <f t="shared" si="58"/>
        <v>45485</v>
      </c>
      <c r="C339" s="179" t="s">
        <v>118</v>
      </c>
      <c r="D339" s="242" t="s">
        <v>236</v>
      </c>
      <c r="E339" s="243">
        <v>100.0</v>
      </c>
      <c r="F339" s="242" t="s">
        <v>693</v>
      </c>
      <c r="G339" s="244"/>
    </row>
    <row r="340" ht="14.25" hidden="1" customHeight="1" outlineLevel="2">
      <c r="A340" s="190">
        <v>45486.0</v>
      </c>
      <c r="B340" s="97">
        <f t="shared" si="58"/>
        <v>45486</v>
      </c>
      <c r="C340" s="179" t="s">
        <v>118</v>
      </c>
      <c r="D340" s="242" t="s">
        <v>119</v>
      </c>
      <c r="E340" s="243">
        <v>170.0</v>
      </c>
      <c r="F340" s="242" t="s">
        <v>579</v>
      </c>
      <c r="G340" s="244"/>
    </row>
    <row r="341" ht="14.25" hidden="1" customHeight="1" outlineLevel="2">
      <c r="A341" s="190">
        <v>45487.0</v>
      </c>
      <c r="B341" s="97">
        <f t="shared" si="58"/>
        <v>45487</v>
      </c>
      <c r="C341" s="179" t="s">
        <v>118</v>
      </c>
      <c r="D341" s="242" t="s">
        <v>272</v>
      </c>
      <c r="E341" s="243">
        <v>519.0</v>
      </c>
      <c r="F341" s="242" t="s">
        <v>298</v>
      </c>
      <c r="G341" s="244"/>
    </row>
    <row r="342" ht="14.25" hidden="1" customHeight="1" outlineLevel="2">
      <c r="A342" s="191"/>
      <c r="B342" s="58"/>
      <c r="C342" s="179" t="s">
        <v>136</v>
      </c>
      <c r="D342" s="242" t="s">
        <v>342</v>
      </c>
      <c r="E342" s="243">
        <v>496.0</v>
      </c>
      <c r="F342" s="242" t="s">
        <v>288</v>
      </c>
      <c r="G342" s="244"/>
    </row>
    <row r="343" ht="14.25" hidden="1" customHeight="1" outlineLevel="2">
      <c r="A343" s="190">
        <v>45488.0</v>
      </c>
      <c r="B343" s="97">
        <f t="shared" ref="B343:B349" si="59">A343</f>
        <v>45488</v>
      </c>
      <c r="C343" s="179" t="s">
        <v>118</v>
      </c>
      <c r="D343" s="242" t="s">
        <v>119</v>
      </c>
      <c r="E343" s="243">
        <v>77.0</v>
      </c>
      <c r="F343" s="242" t="s">
        <v>181</v>
      </c>
      <c r="G343" s="244"/>
    </row>
    <row r="344" ht="14.25" hidden="1" customHeight="1" outlineLevel="2">
      <c r="A344" s="190">
        <v>45489.0</v>
      </c>
      <c r="B344" s="97">
        <f t="shared" si="59"/>
        <v>45489</v>
      </c>
      <c r="C344" s="179" t="s">
        <v>118</v>
      </c>
      <c r="D344" s="242" t="s">
        <v>296</v>
      </c>
      <c r="E344" s="243">
        <v>160.0</v>
      </c>
      <c r="F344" s="242" t="s">
        <v>184</v>
      </c>
      <c r="G344" s="244"/>
    </row>
    <row r="345" ht="14.25" hidden="1" customHeight="1" outlineLevel="2">
      <c r="A345" s="190">
        <v>45490.0</v>
      </c>
      <c r="B345" s="97">
        <f t="shared" si="59"/>
        <v>45490</v>
      </c>
      <c r="C345" s="179" t="s">
        <v>118</v>
      </c>
      <c r="D345" s="242" t="s">
        <v>119</v>
      </c>
      <c r="E345" s="243">
        <v>44.0</v>
      </c>
      <c r="F345" s="242" t="s">
        <v>683</v>
      </c>
      <c r="G345" s="244"/>
    </row>
    <row r="346" ht="14.25" hidden="1" customHeight="1" outlineLevel="2">
      <c r="A346" s="190">
        <v>45491.0</v>
      </c>
      <c r="B346" s="97">
        <f t="shared" si="59"/>
        <v>45491</v>
      </c>
      <c r="C346" s="179" t="s">
        <v>118</v>
      </c>
      <c r="D346" s="242" t="s">
        <v>119</v>
      </c>
      <c r="E346" s="243">
        <v>115.0</v>
      </c>
      <c r="F346" s="242" t="s">
        <v>697</v>
      </c>
      <c r="G346" s="244"/>
    </row>
    <row r="347" ht="14.25" hidden="1" customHeight="1" outlineLevel="2">
      <c r="A347" s="190">
        <v>45492.0</v>
      </c>
      <c r="B347" s="97">
        <f t="shared" si="59"/>
        <v>45492</v>
      </c>
      <c r="C347" s="179" t="s">
        <v>118</v>
      </c>
      <c r="D347" s="242" t="s">
        <v>296</v>
      </c>
      <c r="E347" s="243">
        <v>250.0</v>
      </c>
      <c r="F347" s="242" t="s">
        <v>699</v>
      </c>
      <c r="G347" s="244"/>
    </row>
    <row r="348" ht="14.25" hidden="1" customHeight="1" outlineLevel="2">
      <c r="A348" s="190">
        <v>45493.0</v>
      </c>
      <c r="B348" s="97">
        <f t="shared" si="59"/>
        <v>45493</v>
      </c>
      <c r="C348" s="179" t="s">
        <v>118</v>
      </c>
      <c r="D348" s="242" t="s">
        <v>119</v>
      </c>
      <c r="E348" s="243">
        <v>59.0</v>
      </c>
      <c r="F348" s="242" t="s">
        <v>701</v>
      </c>
      <c r="G348" s="244"/>
    </row>
    <row r="349" ht="14.25" hidden="1" customHeight="1" outlineLevel="2">
      <c r="A349" s="190">
        <v>45494.0</v>
      </c>
      <c r="B349" s="97">
        <f t="shared" si="59"/>
        <v>45494</v>
      </c>
      <c r="C349" s="179" t="s">
        <v>118</v>
      </c>
      <c r="D349" s="242" t="s">
        <v>456</v>
      </c>
      <c r="E349" s="243">
        <v>378.0</v>
      </c>
      <c r="F349" s="242" t="s">
        <v>702</v>
      </c>
      <c r="G349" s="244"/>
    </row>
    <row r="350" ht="14.25" hidden="1" customHeight="1" outlineLevel="2">
      <c r="A350" s="191"/>
      <c r="B350" s="58"/>
      <c r="C350" s="179" t="s">
        <v>136</v>
      </c>
      <c r="D350" s="242" t="s">
        <v>413</v>
      </c>
      <c r="E350" s="243">
        <v>410.0</v>
      </c>
      <c r="F350" s="242" t="s">
        <v>703</v>
      </c>
      <c r="G350" s="244"/>
    </row>
    <row r="351" ht="14.25" hidden="1" customHeight="1" outlineLevel="2">
      <c r="A351" s="190">
        <v>45495.0</v>
      </c>
      <c r="B351" s="97">
        <f t="shared" ref="B351:B357" si="60">A351</f>
        <v>45495</v>
      </c>
      <c r="C351" s="179" t="s">
        <v>118</v>
      </c>
      <c r="D351" s="242" t="s">
        <v>119</v>
      </c>
      <c r="E351" s="243">
        <v>41.0</v>
      </c>
      <c r="F351" s="242" t="s">
        <v>432</v>
      </c>
      <c r="G351" s="244"/>
    </row>
    <row r="352" ht="14.25" hidden="1" customHeight="1" outlineLevel="2">
      <c r="A352" s="190">
        <v>45496.0</v>
      </c>
      <c r="B352" s="97">
        <f t="shared" si="60"/>
        <v>45496</v>
      </c>
      <c r="C352" s="179" t="s">
        <v>118</v>
      </c>
      <c r="D352" s="242" t="s">
        <v>296</v>
      </c>
      <c r="E352" s="243">
        <v>50.0</v>
      </c>
      <c r="F352" s="242" t="s">
        <v>150</v>
      </c>
      <c r="G352" s="244"/>
    </row>
    <row r="353" ht="14.25" hidden="1" customHeight="1" outlineLevel="2">
      <c r="A353" s="190">
        <v>45497.0</v>
      </c>
      <c r="B353" s="97">
        <f t="shared" si="60"/>
        <v>45497</v>
      </c>
      <c r="C353" s="179" t="s">
        <v>118</v>
      </c>
      <c r="D353" s="242" t="s">
        <v>119</v>
      </c>
      <c r="E353" s="243">
        <v>55.0</v>
      </c>
      <c r="F353" s="242" t="s">
        <v>705</v>
      </c>
      <c r="G353" s="244"/>
    </row>
    <row r="354" ht="14.25" hidden="1" customHeight="1" outlineLevel="2">
      <c r="A354" s="190">
        <v>45498.0</v>
      </c>
      <c r="B354" s="97">
        <f t="shared" si="60"/>
        <v>45498</v>
      </c>
      <c r="C354" s="179" t="s">
        <v>118</v>
      </c>
      <c r="D354" s="242" t="s">
        <v>119</v>
      </c>
      <c r="E354" s="243">
        <v>70.0</v>
      </c>
      <c r="F354" s="242" t="s">
        <v>706</v>
      </c>
      <c r="G354" s="244"/>
    </row>
    <row r="355" ht="14.25" hidden="1" customHeight="1" outlineLevel="2">
      <c r="A355" s="190">
        <v>45499.0</v>
      </c>
      <c r="B355" s="97">
        <f t="shared" si="60"/>
        <v>45499</v>
      </c>
      <c r="C355" s="179" t="s">
        <v>118</v>
      </c>
      <c r="D355" s="242" t="s">
        <v>296</v>
      </c>
      <c r="E355" s="243">
        <v>90.0</v>
      </c>
      <c r="F355" s="242" t="s">
        <v>659</v>
      </c>
      <c r="G355" s="244"/>
    </row>
    <row r="356" ht="14.25" hidden="1" customHeight="1" outlineLevel="2">
      <c r="A356" s="190">
        <v>45500.0</v>
      </c>
      <c r="B356" s="97">
        <f t="shared" si="60"/>
        <v>45500</v>
      </c>
      <c r="C356" s="179" t="s">
        <v>118</v>
      </c>
      <c r="D356" s="242" t="s">
        <v>119</v>
      </c>
      <c r="E356" s="243">
        <v>160.0</v>
      </c>
      <c r="F356" s="242" t="s">
        <v>683</v>
      </c>
      <c r="G356" s="244"/>
    </row>
    <row r="357" ht="14.25" hidden="1" customHeight="1" outlineLevel="2">
      <c r="A357" s="190">
        <v>45501.0</v>
      </c>
      <c r="B357" s="97">
        <f t="shared" si="60"/>
        <v>45501</v>
      </c>
      <c r="C357" s="129" t="s">
        <v>118</v>
      </c>
      <c r="D357" s="242" t="s">
        <v>619</v>
      </c>
      <c r="E357" s="243">
        <v>587.0</v>
      </c>
      <c r="F357" s="242" t="s">
        <v>707</v>
      </c>
      <c r="G357" s="244"/>
    </row>
    <row r="358" ht="14.25" hidden="1" customHeight="1" outlineLevel="2">
      <c r="A358" s="191"/>
      <c r="B358" s="10"/>
      <c r="C358" s="129" t="s">
        <v>136</v>
      </c>
      <c r="D358" s="242" t="s">
        <v>119</v>
      </c>
      <c r="E358" s="243">
        <v>550.0</v>
      </c>
      <c r="F358" s="242" t="s">
        <v>580</v>
      </c>
      <c r="G358" s="244"/>
    </row>
    <row r="359" ht="14.25" hidden="1" customHeight="1" outlineLevel="2">
      <c r="A359" s="190">
        <v>45502.0</v>
      </c>
      <c r="B359" s="97">
        <f t="shared" ref="B359:B361" si="61">A359</f>
        <v>45502</v>
      </c>
      <c r="C359" s="179" t="s">
        <v>118</v>
      </c>
      <c r="D359" s="242" t="s">
        <v>119</v>
      </c>
      <c r="E359" s="268">
        <v>60.0</v>
      </c>
      <c r="F359" s="210" t="s">
        <v>432</v>
      </c>
      <c r="G359" s="211"/>
    </row>
    <row r="360" ht="14.25" hidden="1" customHeight="1" outlineLevel="2">
      <c r="A360" s="190">
        <v>45503.0</v>
      </c>
      <c r="B360" s="97">
        <f t="shared" si="61"/>
        <v>45503</v>
      </c>
      <c r="C360" s="179" t="s">
        <v>118</v>
      </c>
      <c r="D360" s="242" t="s">
        <v>296</v>
      </c>
      <c r="E360" s="268">
        <v>50.0</v>
      </c>
      <c r="F360" s="210" t="s">
        <v>218</v>
      </c>
      <c r="G360" s="211"/>
    </row>
    <row r="361" ht="14.25" hidden="1" customHeight="1" outlineLevel="2">
      <c r="A361" s="190">
        <v>45504.0</v>
      </c>
      <c r="B361" s="97">
        <f t="shared" si="61"/>
        <v>45504</v>
      </c>
      <c r="C361" s="179" t="s">
        <v>118</v>
      </c>
      <c r="D361" s="242" t="s">
        <v>119</v>
      </c>
      <c r="E361" s="268">
        <v>90.0</v>
      </c>
      <c r="F361" s="210" t="s">
        <v>659</v>
      </c>
      <c r="G361" s="211"/>
    </row>
    <row r="362" ht="14.25" hidden="1" customHeight="1" outlineLevel="1">
      <c r="A362" s="117" t="s">
        <v>195</v>
      </c>
      <c r="B362" s="27"/>
      <c r="C362" s="27"/>
      <c r="D362" s="28"/>
      <c r="E362" s="262">
        <f>SUM(E326:E361)</f>
        <v>6677</v>
      </c>
      <c r="F362" s="119"/>
      <c r="G362" s="28"/>
    </row>
    <row r="363" ht="14.25" hidden="1" customHeight="1" outlineLevel="1"/>
    <row r="364" ht="14.25" hidden="1" customHeight="1" outlineLevel="1" collapsed="1">
      <c r="A364" s="122" t="s">
        <v>711</v>
      </c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3"/>
    </row>
    <row r="365" ht="14.25" hidden="1" customHeight="1" outlineLevel="2">
      <c r="A365" s="70" t="s">
        <v>90</v>
      </c>
      <c r="I365" s="72" t="s">
        <v>91</v>
      </c>
      <c r="J365" s="73"/>
      <c r="K365" s="73"/>
      <c r="L365" s="74"/>
      <c r="N365" s="72" t="s">
        <v>95</v>
      </c>
      <c r="O365" s="73"/>
      <c r="P365" s="73"/>
      <c r="Q365" s="74"/>
    </row>
    <row r="366" ht="14.25" hidden="1" customHeight="1" outlineLevel="2">
      <c r="A366" s="81" t="s">
        <v>6</v>
      </c>
      <c r="B366" s="84" t="s">
        <v>103</v>
      </c>
      <c r="C366" s="81" t="s">
        <v>104</v>
      </c>
      <c r="D366" s="81" t="s">
        <v>107</v>
      </c>
      <c r="E366" s="81" t="s">
        <v>109</v>
      </c>
      <c r="F366" s="84" t="s">
        <v>110</v>
      </c>
      <c r="G366" s="81" t="s">
        <v>13</v>
      </c>
      <c r="I366" s="81" t="s">
        <v>6</v>
      </c>
      <c r="J366" s="84" t="s">
        <v>115</v>
      </c>
      <c r="K366" s="84" t="s">
        <v>9</v>
      </c>
      <c r="L366" s="81" t="s">
        <v>13</v>
      </c>
      <c r="N366" s="81" t="s">
        <v>6</v>
      </c>
      <c r="O366" s="84" t="s">
        <v>115</v>
      </c>
      <c r="P366" s="84" t="s">
        <v>9</v>
      </c>
      <c r="Q366" s="81" t="s">
        <v>13</v>
      </c>
    </row>
    <row r="367" ht="14.25" hidden="1" customHeight="1" outlineLevel="2">
      <c r="A367" s="190">
        <v>45505.0</v>
      </c>
      <c r="B367" s="97">
        <f t="shared" ref="B367:B368" si="62">A367</f>
        <v>45505</v>
      </c>
      <c r="C367" s="179" t="s">
        <v>118</v>
      </c>
      <c r="D367" s="242" t="s">
        <v>119</v>
      </c>
      <c r="E367" s="243">
        <v>27.0</v>
      </c>
      <c r="F367" s="242" t="s">
        <v>717</v>
      </c>
      <c r="G367" s="244"/>
      <c r="I367" s="86">
        <v>45508.0</v>
      </c>
      <c r="J367" s="88">
        <f t="shared" ref="J367:J370" si="63">I367</f>
        <v>45508</v>
      </c>
      <c r="K367" s="93">
        <v>96.7</v>
      </c>
      <c r="L367" s="90"/>
      <c r="N367" s="94"/>
      <c r="O367" s="94"/>
      <c r="P367" s="93"/>
      <c r="Q367" s="91"/>
    </row>
    <row r="368" ht="14.25" hidden="1" customHeight="1" outlineLevel="2">
      <c r="A368" s="190">
        <v>45506.0</v>
      </c>
      <c r="B368" s="97">
        <f t="shared" si="62"/>
        <v>45506</v>
      </c>
      <c r="C368" s="179" t="s">
        <v>118</v>
      </c>
      <c r="D368" s="242" t="s">
        <v>296</v>
      </c>
      <c r="E368" s="243">
        <v>117.0</v>
      </c>
      <c r="F368" s="242" t="s">
        <v>654</v>
      </c>
      <c r="G368" s="244"/>
      <c r="I368" s="86">
        <v>45513.0</v>
      </c>
      <c r="J368" s="88">
        <f t="shared" si="63"/>
        <v>45513</v>
      </c>
      <c r="K368" s="93">
        <v>50.55</v>
      </c>
      <c r="L368" s="90"/>
      <c r="N368" s="94"/>
      <c r="O368" s="94"/>
      <c r="P368" s="93"/>
      <c r="Q368" s="91"/>
    </row>
    <row r="369" ht="14.25" hidden="1" customHeight="1" outlineLevel="2">
      <c r="A369" s="191"/>
      <c r="B369" s="58"/>
      <c r="C369" s="179" t="s">
        <v>136</v>
      </c>
      <c r="D369" s="242" t="s">
        <v>720</v>
      </c>
      <c r="E369" s="243">
        <v>148.0</v>
      </c>
      <c r="F369" s="242" t="s">
        <v>721</v>
      </c>
      <c r="G369" s="242" t="s">
        <v>139</v>
      </c>
      <c r="I369" s="86">
        <v>45517.0</v>
      </c>
      <c r="J369" s="88">
        <f t="shared" si="63"/>
        <v>45517</v>
      </c>
      <c r="K369" s="93">
        <v>33.55</v>
      </c>
      <c r="L369" s="90"/>
      <c r="N369" s="165" t="s">
        <v>195</v>
      </c>
      <c r="O369" s="165"/>
      <c r="P369" s="113">
        <f>SUM(P367:P368)</f>
        <v>0</v>
      </c>
      <c r="Q369" s="114"/>
    </row>
    <row r="370" ht="14.25" hidden="1" customHeight="1" outlineLevel="2">
      <c r="A370" s="190">
        <v>45507.0</v>
      </c>
      <c r="B370" s="97">
        <f t="shared" ref="B370:B371" si="64">A370</f>
        <v>45507</v>
      </c>
      <c r="C370" s="179" t="s">
        <v>118</v>
      </c>
      <c r="D370" s="242" t="s">
        <v>119</v>
      </c>
      <c r="E370" s="243">
        <v>150.0</v>
      </c>
      <c r="F370" s="242" t="s">
        <v>724</v>
      </c>
      <c r="G370" s="244"/>
      <c r="I370" s="86">
        <v>45523.0</v>
      </c>
      <c r="J370" s="88">
        <f t="shared" si="63"/>
        <v>45523</v>
      </c>
      <c r="K370" s="93">
        <v>71.05</v>
      </c>
      <c r="L370" s="90"/>
      <c r="N370" s="166"/>
      <c r="O370" s="167"/>
      <c r="P370" s="168"/>
      <c r="Q370" s="51"/>
    </row>
    <row r="371" ht="14.25" hidden="1" customHeight="1" outlineLevel="2">
      <c r="A371" s="190">
        <v>45508.0</v>
      </c>
      <c r="B371" s="97">
        <f t="shared" si="64"/>
        <v>45508</v>
      </c>
      <c r="C371" s="179" t="s">
        <v>118</v>
      </c>
      <c r="D371" s="242" t="s">
        <v>490</v>
      </c>
      <c r="E371" s="243">
        <v>582.0</v>
      </c>
      <c r="F371" s="242" t="s">
        <v>219</v>
      </c>
      <c r="G371" s="244"/>
      <c r="I371" s="86"/>
      <c r="J371" s="88"/>
      <c r="K371" s="93"/>
      <c r="L371" s="90"/>
      <c r="N371" s="235" t="s">
        <v>344</v>
      </c>
      <c r="O371" s="27"/>
      <c r="P371" s="27"/>
      <c r="Q371" s="28"/>
    </row>
    <row r="372" ht="14.25" hidden="1" customHeight="1" outlineLevel="2">
      <c r="A372" s="191"/>
      <c r="B372" s="58"/>
      <c r="C372" s="179" t="s">
        <v>136</v>
      </c>
      <c r="D372" s="242" t="s">
        <v>119</v>
      </c>
      <c r="E372" s="243">
        <v>400.0</v>
      </c>
      <c r="F372" s="242" t="s">
        <v>288</v>
      </c>
      <c r="G372" s="242"/>
      <c r="I372" s="86"/>
      <c r="J372" s="88"/>
      <c r="K372" s="92"/>
      <c r="L372" s="90"/>
      <c r="N372" s="81" t="s">
        <v>6</v>
      </c>
      <c r="O372" s="84" t="s">
        <v>115</v>
      </c>
      <c r="P372" s="84" t="s">
        <v>9</v>
      </c>
      <c r="Q372" s="81" t="s">
        <v>13</v>
      </c>
    </row>
    <row r="373" ht="14.25" hidden="1" customHeight="1" outlineLevel="2">
      <c r="A373" s="190">
        <v>45509.0</v>
      </c>
      <c r="B373" s="97">
        <f t="shared" ref="B373:B379" si="65">A373</f>
        <v>45509</v>
      </c>
      <c r="C373" s="179" t="s">
        <v>118</v>
      </c>
      <c r="D373" s="242" t="s">
        <v>119</v>
      </c>
      <c r="E373" s="243">
        <v>90.0</v>
      </c>
      <c r="F373" s="242" t="s">
        <v>727</v>
      </c>
      <c r="G373" s="242"/>
      <c r="I373" s="86"/>
      <c r="J373" s="88"/>
      <c r="K373" s="92"/>
      <c r="L373" s="90"/>
      <c r="N373" s="86"/>
      <c r="O373" s="88" t="str">
        <f>N373</f>
        <v/>
      </c>
      <c r="P373" s="93"/>
      <c r="Q373" s="90"/>
    </row>
    <row r="374" ht="14.25" hidden="1" customHeight="1" outlineLevel="2">
      <c r="A374" s="190">
        <v>45510.0</v>
      </c>
      <c r="B374" s="97">
        <f t="shared" si="65"/>
        <v>45510</v>
      </c>
      <c r="C374" s="179" t="s">
        <v>118</v>
      </c>
      <c r="D374" s="242" t="s">
        <v>296</v>
      </c>
      <c r="E374" s="243">
        <v>110.0</v>
      </c>
      <c r="F374" s="242" t="s">
        <v>150</v>
      </c>
      <c r="G374" s="244"/>
      <c r="I374" s="86"/>
      <c r="J374" s="88"/>
      <c r="K374" s="92"/>
      <c r="L374" s="90"/>
      <c r="N374" s="86"/>
      <c r="O374" s="88"/>
      <c r="P374" s="92"/>
      <c r="Q374" s="90"/>
    </row>
    <row r="375" ht="14.25" hidden="1" customHeight="1" outlineLevel="2">
      <c r="A375" s="190">
        <v>45511.0</v>
      </c>
      <c r="B375" s="97">
        <f t="shared" si="65"/>
        <v>45511</v>
      </c>
      <c r="C375" s="179" t="s">
        <v>118</v>
      </c>
      <c r="D375" s="242" t="s">
        <v>119</v>
      </c>
      <c r="E375" s="243">
        <v>84.0</v>
      </c>
      <c r="F375" s="242" t="s">
        <v>683</v>
      </c>
      <c r="G375" s="244"/>
      <c r="I375" s="86"/>
      <c r="J375" s="88"/>
      <c r="K375" s="92"/>
      <c r="L375" s="90"/>
      <c r="N375" s="86"/>
      <c r="O375" s="88"/>
      <c r="P375" s="92"/>
      <c r="Q375" s="90"/>
    </row>
    <row r="376" ht="14.25" hidden="1" customHeight="1" outlineLevel="2">
      <c r="A376" s="190">
        <v>45512.0</v>
      </c>
      <c r="B376" s="97">
        <f t="shared" si="65"/>
        <v>45512</v>
      </c>
      <c r="C376" s="179" t="s">
        <v>118</v>
      </c>
      <c r="D376" s="242" t="s">
        <v>119</v>
      </c>
      <c r="E376" s="243">
        <v>145.0</v>
      </c>
      <c r="F376" s="242" t="s">
        <v>426</v>
      </c>
      <c r="G376" s="244"/>
      <c r="I376" s="108" t="s">
        <v>195</v>
      </c>
      <c r="J376" s="109"/>
      <c r="K376" s="113">
        <f>SUM(K367:K375)</f>
        <v>251.85</v>
      </c>
      <c r="L376" s="114"/>
      <c r="N376" s="165" t="s">
        <v>195</v>
      </c>
      <c r="O376" s="165"/>
      <c r="P376" s="113">
        <f>SUM(P373:P375)</f>
        <v>0</v>
      </c>
      <c r="Q376" s="114"/>
    </row>
    <row r="377" ht="14.25" hidden="1" customHeight="1" outlineLevel="2">
      <c r="A377" s="190">
        <v>45513.0</v>
      </c>
      <c r="B377" s="97">
        <f t="shared" si="65"/>
        <v>45513</v>
      </c>
      <c r="C377" s="179" t="s">
        <v>118</v>
      </c>
      <c r="D377" s="242" t="s">
        <v>296</v>
      </c>
      <c r="E377" s="243">
        <v>54.0</v>
      </c>
      <c r="F377" s="242" t="s">
        <v>205</v>
      </c>
      <c r="G377" s="244"/>
    </row>
    <row r="378" ht="14.25" hidden="1" customHeight="1" outlineLevel="2">
      <c r="A378" s="190">
        <v>45514.0</v>
      </c>
      <c r="B378" s="97">
        <f t="shared" si="65"/>
        <v>45514</v>
      </c>
      <c r="C378" s="179" t="s">
        <v>118</v>
      </c>
      <c r="D378" s="242" t="s">
        <v>119</v>
      </c>
      <c r="E378" s="243">
        <v>86.0</v>
      </c>
      <c r="F378" s="242" t="s">
        <v>577</v>
      </c>
      <c r="G378" s="244"/>
    </row>
    <row r="379" ht="14.25" hidden="1" customHeight="1" outlineLevel="2">
      <c r="A379" s="190">
        <v>45515.0</v>
      </c>
      <c r="B379" s="97">
        <f t="shared" si="65"/>
        <v>45515</v>
      </c>
      <c r="C379" s="179" t="s">
        <v>118</v>
      </c>
      <c r="D379" s="242" t="s">
        <v>490</v>
      </c>
      <c r="E379" s="243">
        <v>800.0</v>
      </c>
      <c r="F379" s="242" t="s">
        <v>730</v>
      </c>
      <c r="G379" s="244"/>
    </row>
    <row r="380" ht="14.25" hidden="1" customHeight="1" outlineLevel="2">
      <c r="A380" s="191"/>
      <c r="B380" s="58"/>
      <c r="C380" s="179" t="s">
        <v>136</v>
      </c>
      <c r="D380" s="242" t="s">
        <v>413</v>
      </c>
      <c r="E380" s="243">
        <v>290.0</v>
      </c>
      <c r="F380" s="242" t="s">
        <v>732</v>
      </c>
      <c r="G380" s="244"/>
    </row>
    <row r="381" ht="14.25" hidden="1" customHeight="1" outlineLevel="2">
      <c r="A381" s="190">
        <v>45516.0</v>
      </c>
      <c r="B381" s="97">
        <f t="shared" ref="B381:B387" si="66">A381</f>
        <v>45516</v>
      </c>
      <c r="C381" s="179" t="s">
        <v>118</v>
      </c>
      <c r="D381" s="242" t="s">
        <v>119</v>
      </c>
      <c r="E381" s="243">
        <v>87.0</v>
      </c>
      <c r="F381" s="242" t="s">
        <v>303</v>
      </c>
      <c r="G381" s="244"/>
    </row>
    <row r="382" ht="14.25" hidden="1" customHeight="1" outlineLevel="2">
      <c r="A382" s="190">
        <v>45517.0</v>
      </c>
      <c r="B382" s="97">
        <f t="shared" si="66"/>
        <v>45517</v>
      </c>
      <c r="C382" s="179" t="s">
        <v>118</v>
      </c>
      <c r="D382" s="242" t="s">
        <v>296</v>
      </c>
      <c r="E382" s="243">
        <v>140.0</v>
      </c>
      <c r="F382" s="242" t="s">
        <v>734</v>
      </c>
      <c r="G382" s="244"/>
    </row>
    <row r="383" ht="14.25" hidden="1" customHeight="1" outlineLevel="2">
      <c r="A383" s="190">
        <v>45518.0</v>
      </c>
      <c r="B383" s="97">
        <f t="shared" si="66"/>
        <v>45518</v>
      </c>
      <c r="C383" s="179" t="s">
        <v>118</v>
      </c>
      <c r="D383" s="242" t="s">
        <v>119</v>
      </c>
      <c r="E383" s="243">
        <v>24.0</v>
      </c>
      <c r="F383" s="242" t="s">
        <v>683</v>
      </c>
      <c r="G383" s="244"/>
    </row>
    <row r="384" ht="14.25" hidden="1" customHeight="1" outlineLevel="2">
      <c r="A384" s="190">
        <v>45519.0</v>
      </c>
      <c r="B384" s="97">
        <f t="shared" si="66"/>
        <v>45519</v>
      </c>
      <c r="C384" s="179" t="s">
        <v>118</v>
      </c>
      <c r="D384" s="242" t="s">
        <v>119</v>
      </c>
      <c r="E384" s="243">
        <v>494.0</v>
      </c>
      <c r="F384" s="242" t="s">
        <v>735</v>
      </c>
      <c r="G384" s="244"/>
    </row>
    <row r="385" ht="14.25" hidden="1" customHeight="1" outlineLevel="2">
      <c r="A385" s="190">
        <v>45520.0</v>
      </c>
      <c r="B385" s="97">
        <f t="shared" si="66"/>
        <v>45520</v>
      </c>
      <c r="C385" s="179" t="s">
        <v>118</v>
      </c>
      <c r="D385" s="242" t="s">
        <v>296</v>
      </c>
      <c r="E385" s="243">
        <v>75.0</v>
      </c>
      <c r="F385" s="242" t="s">
        <v>736</v>
      </c>
      <c r="G385" s="244"/>
    </row>
    <row r="386" ht="14.25" hidden="1" customHeight="1" outlineLevel="2">
      <c r="A386" s="190">
        <v>45521.0</v>
      </c>
      <c r="B386" s="97">
        <f t="shared" si="66"/>
        <v>45521</v>
      </c>
      <c r="C386" s="179" t="s">
        <v>118</v>
      </c>
      <c r="D386" s="242" t="s">
        <v>119</v>
      </c>
      <c r="E386" s="243">
        <v>100.0</v>
      </c>
      <c r="F386" s="242" t="s">
        <v>579</v>
      </c>
      <c r="G386" s="244"/>
    </row>
    <row r="387" ht="14.25" hidden="1" customHeight="1" outlineLevel="2">
      <c r="A387" s="190">
        <v>45522.0</v>
      </c>
      <c r="B387" s="97">
        <f t="shared" si="66"/>
        <v>45522</v>
      </c>
      <c r="C387" s="179" t="s">
        <v>118</v>
      </c>
      <c r="D387" s="242" t="s">
        <v>738</v>
      </c>
      <c r="E387" s="243">
        <v>1121.0</v>
      </c>
      <c r="F387" s="242" t="s">
        <v>183</v>
      </c>
      <c r="G387" s="244"/>
    </row>
    <row r="388" ht="14.25" hidden="1" customHeight="1" outlineLevel="2">
      <c r="A388" s="191"/>
      <c r="B388" s="58"/>
      <c r="C388" s="179" t="s">
        <v>136</v>
      </c>
      <c r="D388" s="242" t="s">
        <v>413</v>
      </c>
      <c r="E388" s="243">
        <v>695.0</v>
      </c>
      <c r="F388" s="242" t="s">
        <v>129</v>
      </c>
      <c r="G388" s="244"/>
    </row>
    <row r="389" ht="14.25" hidden="1" customHeight="1" outlineLevel="2">
      <c r="A389" s="190">
        <v>45523.0</v>
      </c>
      <c r="B389" s="97">
        <f t="shared" ref="B389:B395" si="67">A389</f>
        <v>45523</v>
      </c>
      <c r="C389" s="179" t="s">
        <v>118</v>
      </c>
      <c r="D389" s="242" t="s">
        <v>119</v>
      </c>
      <c r="E389" s="243">
        <v>66.0</v>
      </c>
      <c r="F389" s="242" t="s">
        <v>303</v>
      </c>
      <c r="G389" s="244"/>
    </row>
    <row r="390" ht="14.25" hidden="1" customHeight="1" outlineLevel="2">
      <c r="A390" s="190">
        <v>45524.0</v>
      </c>
      <c r="B390" s="97">
        <f t="shared" si="67"/>
        <v>45524</v>
      </c>
      <c r="C390" s="179" t="s">
        <v>118</v>
      </c>
      <c r="D390" s="242" t="s">
        <v>296</v>
      </c>
      <c r="E390" s="243">
        <v>110.0</v>
      </c>
      <c r="F390" s="242" t="s">
        <v>150</v>
      </c>
      <c r="G390" s="244"/>
    </row>
    <row r="391" ht="14.25" hidden="1" customHeight="1" outlineLevel="2">
      <c r="A391" s="190">
        <v>45525.0</v>
      </c>
      <c r="B391" s="97">
        <f t="shared" si="67"/>
        <v>45525</v>
      </c>
      <c r="C391" s="179" t="s">
        <v>118</v>
      </c>
      <c r="D391" s="242" t="s">
        <v>119</v>
      </c>
      <c r="E391" s="243">
        <v>37.0</v>
      </c>
      <c r="F391" s="242" t="s">
        <v>426</v>
      </c>
      <c r="G391" s="244"/>
    </row>
    <row r="392" ht="14.25" hidden="1" customHeight="1" outlineLevel="2">
      <c r="A392" s="190">
        <v>45526.0</v>
      </c>
      <c r="B392" s="97">
        <f t="shared" si="67"/>
        <v>45526</v>
      </c>
      <c r="C392" s="179" t="s">
        <v>118</v>
      </c>
      <c r="D392" s="242" t="s">
        <v>119</v>
      </c>
      <c r="E392" s="243">
        <v>102.0</v>
      </c>
      <c r="F392" s="242" t="s">
        <v>494</v>
      </c>
      <c r="G392" s="244"/>
    </row>
    <row r="393" ht="14.25" hidden="1" customHeight="1" outlineLevel="2">
      <c r="A393" s="190">
        <v>45527.0</v>
      </c>
      <c r="B393" s="97">
        <f t="shared" si="67"/>
        <v>45527</v>
      </c>
      <c r="C393" s="129" t="s">
        <v>118</v>
      </c>
      <c r="D393" s="242" t="s">
        <v>296</v>
      </c>
      <c r="E393" s="243">
        <v>64.0</v>
      </c>
      <c r="F393" s="242" t="s">
        <v>742</v>
      </c>
      <c r="G393" s="244"/>
    </row>
    <row r="394" ht="14.25" hidden="1" customHeight="1" outlineLevel="2">
      <c r="A394" s="190">
        <v>45528.0</v>
      </c>
      <c r="B394" s="97">
        <f t="shared" si="67"/>
        <v>45528</v>
      </c>
      <c r="C394" s="179" t="s">
        <v>118</v>
      </c>
      <c r="D394" s="242" t="s">
        <v>119</v>
      </c>
      <c r="E394" s="243">
        <v>136.0</v>
      </c>
      <c r="F394" s="219" t="s">
        <v>129</v>
      </c>
      <c r="G394" s="211"/>
    </row>
    <row r="395" ht="14.25" hidden="1" customHeight="1" outlineLevel="2">
      <c r="A395" s="190">
        <v>45529.0</v>
      </c>
      <c r="B395" s="97">
        <f t="shared" si="67"/>
        <v>45529</v>
      </c>
      <c r="C395" s="179" t="s">
        <v>118</v>
      </c>
      <c r="D395" s="212" t="s">
        <v>413</v>
      </c>
      <c r="E395" s="243">
        <v>630.0</v>
      </c>
      <c r="F395" s="219" t="s">
        <v>743</v>
      </c>
      <c r="G395" s="273"/>
    </row>
    <row r="396" ht="14.25" hidden="1" customHeight="1" outlineLevel="2">
      <c r="A396" s="191"/>
      <c r="B396" s="58"/>
      <c r="C396" s="179" t="s">
        <v>136</v>
      </c>
      <c r="D396" s="212" t="s">
        <v>413</v>
      </c>
      <c r="E396" s="243">
        <v>450.0</v>
      </c>
      <c r="F396" s="219" t="s">
        <v>137</v>
      </c>
      <c r="G396" s="273"/>
    </row>
    <row r="397" ht="14.25" hidden="1" customHeight="1" outlineLevel="2">
      <c r="A397" s="190">
        <v>45530.0</v>
      </c>
      <c r="B397" s="97">
        <f t="shared" ref="B397:B402" si="68">A397</f>
        <v>45530</v>
      </c>
      <c r="C397" s="179" t="s">
        <v>118</v>
      </c>
      <c r="D397" s="242" t="s">
        <v>119</v>
      </c>
      <c r="E397" s="243">
        <v>134.0</v>
      </c>
      <c r="F397" s="219" t="s">
        <v>744</v>
      </c>
      <c r="G397" s="273"/>
    </row>
    <row r="398" ht="14.25" hidden="1" customHeight="1" outlineLevel="2">
      <c r="A398" s="190">
        <v>45531.0</v>
      </c>
      <c r="B398" s="97">
        <f t="shared" si="68"/>
        <v>45531</v>
      </c>
      <c r="C398" s="179" t="s">
        <v>118</v>
      </c>
      <c r="D398" s="212" t="s">
        <v>413</v>
      </c>
      <c r="E398" s="243">
        <v>92.0</v>
      </c>
      <c r="F398" s="219" t="s">
        <v>683</v>
      </c>
      <c r="G398" s="273"/>
    </row>
    <row r="399" ht="14.25" hidden="1" customHeight="1" outlineLevel="2">
      <c r="A399" s="190">
        <v>45532.0</v>
      </c>
      <c r="B399" s="97">
        <f t="shared" si="68"/>
        <v>45532</v>
      </c>
      <c r="C399" s="179" t="s">
        <v>118</v>
      </c>
      <c r="D399" s="242" t="s">
        <v>119</v>
      </c>
      <c r="E399" s="243">
        <v>206.0</v>
      </c>
      <c r="F399" s="219" t="s">
        <v>745</v>
      </c>
      <c r="G399" s="273"/>
    </row>
    <row r="400" ht="14.25" hidden="1" customHeight="1" outlineLevel="2">
      <c r="A400" s="190">
        <v>45533.0</v>
      </c>
      <c r="B400" s="97">
        <f t="shared" si="68"/>
        <v>45533</v>
      </c>
      <c r="C400" s="179" t="s">
        <v>118</v>
      </c>
      <c r="D400" s="242" t="s">
        <v>119</v>
      </c>
      <c r="E400" s="243">
        <v>45.0</v>
      </c>
      <c r="F400" s="219" t="s">
        <v>257</v>
      </c>
      <c r="G400" s="273"/>
    </row>
    <row r="401" ht="14.25" hidden="1" customHeight="1" outlineLevel="2">
      <c r="A401" s="190">
        <v>45534.0</v>
      </c>
      <c r="B401" s="97">
        <f t="shared" si="68"/>
        <v>45534</v>
      </c>
      <c r="C401" s="179" t="s">
        <v>118</v>
      </c>
      <c r="D401" s="242" t="s">
        <v>296</v>
      </c>
      <c r="E401" s="243">
        <v>24.0</v>
      </c>
      <c r="F401" s="219" t="s">
        <v>673</v>
      </c>
      <c r="G401" s="273"/>
    </row>
    <row r="402" ht="14.25" hidden="1" customHeight="1" outlineLevel="2">
      <c r="A402" s="190">
        <v>45535.0</v>
      </c>
      <c r="B402" s="97">
        <f t="shared" si="68"/>
        <v>45535</v>
      </c>
      <c r="C402" s="179" t="s">
        <v>118</v>
      </c>
      <c r="D402" s="242" t="s">
        <v>119</v>
      </c>
      <c r="E402" s="243">
        <v>40.0</v>
      </c>
      <c r="F402" s="219" t="s">
        <v>683</v>
      </c>
      <c r="G402" s="273"/>
    </row>
    <row r="403" ht="14.25" hidden="1" customHeight="1" outlineLevel="1">
      <c r="A403" s="117" t="s">
        <v>195</v>
      </c>
      <c r="B403" s="27"/>
      <c r="C403" s="27"/>
      <c r="D403" s="28"/>
      <c r="E403" s="262">
        <f>SUM(E367:E402)</f>
        <v>7955</v>
      </c>
      <c r="F403" s="119"/>
      <c r="G403" s="28"/>
    </row>
    <row r="404" ht="14.25" hidden="1" customHeight="1" outlineLevel="1">
      <c r="A404" s="274"/>
      <c r="B404" s="274"/>
      <c r="C404" s="274"/>
      <c r="D404" s="274"/>
      <c r="E404" s="274"/>
      <c r="F404" s="274"/>
      <c r="G404" s="274"/>
      <c r="H404" s="274"/>
      <c r="I404" s="274"/>
      <c r="J404" s="274"/>
      <c r="K404" s="274"/>
      <c r="L404" s="274"/>
      <c r="M404" s="274"/>
      <c r="N404" s="274"/>
      <c r="O404" s="274"/>
      <c r="P404" s="274"/>
      <c r="Q404" s="274"/>
    </row>
    <row r="405" ht="14.25" hidden="1" customHeight="1" outlineLevel="1" collapsed="1">
      <c r="A405" s="122" t="s">
        <v>747</v>
      </c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3"/>
    </row>
    <row r="406" ht="14.25" hidden="1" customHeight="1" outlineLevel="2">
      <c r="A406" s="70" t="s">
        <v>90</v>
      </c>
      <c r="I406" s="72" t="s">
        <v>91</v>
      </c>
      <c r="J406" s="73"/>
      <c r="K406" s="73"/>
      <c r="L406" s="74"/>
      <c r="N406" s="72" t="s">
        <v>95</v>
      </c>
      <c r="O406" s="73"/>
      <c r="P406" s="73"/>
      <c r="Q406" s="74"/>
    </row>
    <row r="407" ht="14.25" hidden="1" customHeight="1" outlineLevel="2">
      <c r="A407" s="81" t="s">
        <v>6</v>
      </c>
      <c r="B407" s="84" t="s">
        <v>103</v>
      </c>
      <c r="C407" s="81" t="s">
        <v>104</v>
      </c>
      <c r="D407" s="81" t="s">
        <v>107</v>
      </c>
      <c r="E407" s="81" t="s">
        <v>109</v>
      </c>
      <c r="F407" s="84" t="s">
        <v>110</v>
      </c>
      <c r="G407" s="81" t="s">
        <v>13</v>
      </c>
      <c r="I407" s="81" t="s">
        <v>6</v>
      </c>
      <c r="J407" s="84" t="s">
        <v>115</v>
      </c>
      <c r="K407" s="84" t="s">
        <v>9</v>
      </c>
      <c r="L407" s="81" t="s">
        <v>13</v>
      </c>
      <c r="N407" s="81" t="s">
        <v>6</v>
      </c>
      <c r="O407" s="84" t="s">
        <v>115</v>
      </c>
      <c r="P407" s="84" t="s">
        <v>9</v>
      </c>
      <c r="Q407" s="81" t="s">
        <v>13</v>
      </c>
    </row>
    <row r="408" ht="14.25" hidden="1" customHeight="1" outlineLevel="2">
      <c r="A408" s="190">
        <v>45536.0</v>
      </c>
      <c r="B408" s="97">
        <f>A408</f>
        <v>45536</v>
      </c>
      <c r="C408" s="179" t="s">
        <v>118</v>
      </c>
      <c r="D408" s="242" t="s">
        <v>490</v>
      </c>
      <c r="E408" s="275">
        <v>493.0</v>
      </c>
      <c r="F408" s="242" t="s">
        <v>620</v>
      </c>
      <c r="G408" s="276"/>
      <c r="I408" s="86">
        <v>45536.0</v>
      </c>
      <c r="J408" s="88">
        <f t="shared" ref="J408:J414" si="69">I408</f>
        <v>45536</v>
      </c>
      <c r="K408" s="93">
        <v>139.25</v>
      </c>
      <c r="L408" s="90"/>
      <c r="N408" s="94"/>
      <c r="O408" s="94"/>
      <c r="P408" s="93"/>
      <c r="Q408" s="91"/>
    </row>
    <row r="409" ht="14.25" hidden="1" customHeight="1" outlineLevel="2">
      <c r="A409" s="191"/>
      <c r="B409" s="58"/>
      <c r="C409" s="179" t="s">
        <v>136</v>
      </c>
      <c r="D409" s="242" t="s">
        <v>342</v>
      </c>
      <c r="E409" s="275">
        <v>1070.0</v>
      </c>
      <c r="F409" s="242" t="s">
        <v>297</v>
      </c>
      <c r="G409" s="276"/>
      <c r="I409" s="86">
        <v>45539.0</v>
      </c>
      <c r="J409" s="88">
        <f t="shared" si="69"/>
        <v>45539</v>
      </c>
      <c r="K409" s="93">
        <v>47.05</v>
      </c>
      <c r="L409" s="90"/>
      <c r="N409" s="94"/>
      <c r="O409" s="94"/>
      <c r="P409" s="93"/>
      <c r="Q409" s="91"/>
    </row>
    <row r="410" ht="14.25" hidden="1" customHeight="1" outlineLevel="2">
      <c r="A410" s="190">
        <v>45537.0</v>
      </c>
      <c r="B410" s="97">
        <f t="shared" ref="B410:B416" si="70">A410</f>
        <v>45537</v>
      </c>
      <c r="C410" s="179" t="s">
        <v>118</v>
      </c>
      <c r="D410" s="242" t="s">
        <v>119</v>
      </c>
      <c r="E410" s="275">
        <v>110.0</v>
      </c>
      <c r="F410" s="242" t="s">
        <v>303</v>
      </c>
      <c r="G410" s="276"/>
      <c r="I410" s="86">
        <v>45547.0</v>
      </c>
      <c r="J410" s="88">
        <f t="shared" si="69"/>
        <v>45547</v>
      </c>
      <c r="K410" s="93">
        <v>77.5</v>
      </c>
      <c r="L410" s="90"/>
      <c r="N410" s="165" t="s">
        <v>195</v>
      </c>
      <c r="O410" s="165"/>
      <c r="P410" s="113">
        <f>SUM(P408:P409)</f>
        <v>0</v>
      </c>
      <c r="Q410" s="114"/>
    </row>
    <row r="411" ht="14.25" hidden="1" customHeight="1" outlineLevel="2">
      <c r="A411" s="190">
        <v>45538.0</v>
      </c>
      <c r="B411" s="97">
        <f t="shared" si="70"/>
        <v>45538</v>
      </c>
      <c r="C411" s="179" t="s">
        <v>118</v>
      </c>
      <c r="D411" s="242" t="s">
        <v>296</v>
      </c>
      <c r="E411" s="275">
        <v>50.0</v>
      </c>
      <c r="F411" s="242" t="s">
        <v>359</v>
      </c>
      <c r="G411" s="276"/>
      <c r="I411" s="86">
        <v>45552.0</v>
      </c>
      <c r="J411" s="88">
        <f t="shared" si="69"/>
        <v>45552</v>
      </c>
      <c r="K411" s="93">
        <v>136.5</v>
      </c>
      <c r="L411" s="90"/>
      <c r="N411" s="166"/>
      <c r="O411" s="167"/>
      <c r="P411" s="168"/>
      <c r="Q411" s="51"/>
    </row>
    <row r="412" ht="14.25" hidden="1" customHeight="1" outlineLevel="2">
      <c r="A412" s="190">
        <v>45539.0</v>
      </c>
      <c r="B412" s="97">
        <f t="shared" si="70"/>
        <v>45539</v>
      </c>
      <c r="C412" s="179" t="s">
        <v>118</v>
      </c>
      <c r="D412" s="242" t="s">
        <v>119</v>
      </c>
      <c r="E412" s="275">
        <v>255.0</v>
      </c>
      <c r="F412" s="242" t="s">
        <v>753</v>
      </c>
      <c r="G412" s="276"/>
      <c r="I412" s="86">
        <v>45556.0</v>
      </c>
      <c r="J412" s="88">
        <f t="shared" si="69"/>
        <v>45556</v>
      </c>
      <c r="K412" s="93">
        <v>118.4</v>
      </c>
      <c r="L412" s="90"/>
      <c r="N412" s="235" t="s">
        <v>344</v>
      </c>
      <c r="O412" s="27"/>
      <c r="P412" s="27"/>
      <c r="Q412" s="28"/>
    </row>
    <row r="413" ht="14.25" hidden="1" customHeight="1" outlineLevel="2">
      <c r="A413" s="190">
        <v>45540.0</v>
      </c>
      <c r="B413" s="97">
        <f t="shared" si="70"/>
        <v>45540</v>
      </c>
      <c r="C413" s="179" t="s">
        <v>118</v>
      </c>
      <c r="D413" s="242" t="s">
        <v>119</v>
      </c>
      <c r="E413" s="275">
        <v>104.0</v>
      </c>
      <c r="F413" s="242" t="s">
        <v>754</v>
      </c>
      <c r="G413" s="276"/>
      <c r="I413" s="86">
        <v>45562.0</v>
      </c>
      <c r="J413" s="88">
        <f t="shared" si="69"/>
        <v>45562</v>
      </c>
      <c r="K413" s="93">
        <v>80.0</v>
      </c>
      <c r="L413" s="90"/>
      <c r="N413" s="81" t="s">
        <v>6</v>
      </c>
      <c r="O413" s="84" t="s">
        <v>115</v>
      </c>
      <c r="P413" s="84" t="s">
        <v>9</v>
      </c>
      <c r="Q413" s="81" t="s">
        <v>13</v>
      </c>
    </row>
    <row r="414" ht="14.25" hidden="1" customHeight="1" outlineLevel="2">
      <c r="A414" s="190">
        <v>45541.0</v>
      </c>
      <c r="B414" s="97">
        <f t="shared" si="70"/>
        <v>45541</v>
      </c>
      <c r="C414" s="179" t="s">
        <v>118</v>
      </c>
      <c r="D414" s="242" t="s">
        <v>296</v>
      </c>
      <c r="E414" s="275">
        <v>290.0</v>
      </c>
      <c r="F414" s="242" t="s">
        <v>288</v>
      </c>
      <c r="G414" s="276"/>
      <c r="I414" s="86">
        <v>45565.0</v>
      </c>
      <c r="J414" s="88">
        <f t="shared" si="69"/>
        <v>45565</v>
      </c>
      <c r="K414" s="93">
        <v>47.55</v>
      </c>
      <c r="L414" s="90"/>
      <c r="N414" s="86"/>
      <c r="O414" s="88" t="str">
        <f>N414</f>
        <v/>
      </c>
      <c r="P414" s="93"/>
      <c r="Q414" s="90"/>
    </row>
    <row r="415" ht="14.25" hidden="1" customHeight="1" outlineLevel="2">
      <c r="A415" s="190">
        <v>45542.0</v>
      </c>
      <c r="B415" s="97">
        <f t="shared" si="70"/>
        <v>45542</v>
      </c>
      <c r="C415" s="179" t="s">
        <v>118</v>
      </c>
      <c r="D415" s="242" t="s">
        <v>119</v>
      </c>
      <c r="E415" s="275">
        <v>140.0</v>
      </c>
      <c r="F415" s="242" t="s">
        <v>683</v>
      </c>
      <c r="G415" s="276"/>
      <c r="I415" s="86"/>
      <c r="J415" s="88"/>
      <c r="K415" s="92"/>
      <c r="L415" s="90"/>
      <c r="N415" s="86"/>
      <c r="O415" s="88"/>
      <c r="P415" s="92"/>
      <c r="Q415" s="90"/>
    </row>
    <row r="416" ht="14.25" hidden="1" customHeight="1" outlineLevel="2">
      <c r="A416" s="190">
        <v>45543.0</v>
      </c>
      <c r="B416" s="97">
        <f t="shared" si="70"/>
        <v>45543</v>
      </c>
      <c r="C416" s="179" t="s">
        <v>118</v>
      </c>
      <c r="D416" s="242" t="s">
        <v>490</v>
      </c>
      <c r="E416" s="275">
        <v>779.0</v>
      </c>
      <c r="F416" s="242" t="s">
        <v>243</v>
      </c>
      <c r="G416" s="276"/>
      <c r="I416" s="108" t="s">
        <v>195</v>
      </c>
      <c r="J416" s="109"/>
      <c r="K416" s="113">
        <f>SUM(K408:K415)</f>
        <v>646.25</v>
      </c>
      <c r="L416" s="114"/>
      <c r="N416" s="165" t="s">
        <v>195</v>
      </c>
      <c r="O416" s="165"/>
      <c r="P416" s="113">
        <f>SUM(P414:P415)</f>
        <v>0</v>
      </c>
      <c r="Q416" s="114"/>
    </row>
    <row r="417" ht="14.25" hidden="1" customHeight="1" outlineLevel="2">
      <c r="A417" s="191"/>
      <c r="B417" s="58"/>
      <c r="C417" s="179" t="s">
        <v>136</v>
      </c>
      <c r="D417" s="242" t="s">
        <v>413</v>
      </c>
      <c r="E417" s="275">
        <v>655.0</v>
      </c>
      <c r="F417" s="242" t="s">
        <v>375</v>
      </c>
      <c r="G417" s="276"/>
    </row>
    <row r="418" ht="14.25" hidden="1" customHeight="1" outlineLevel="2">
      <c r="A418" s="190">
        <v>45544.0</v>
      </c>
      <c r="B418" s="97">
        <f t="shared" ref="B418:B424" si="71">A418</f>
        <v>45544</v>
      </c>
      <c r="C418" s="179" t="s">
        <v>118</v>
      </c>
      <c r="D418" s="242" t="s">
        <v>119</v>
      </c>
      <c r="E418" s="275">
        <v>95.0</v>
      </c>
      <c r="F418" s="242" t="s">
        <v>758</v>
      </c>
      <c r="G418" s="276"/>
    </row>
    <row r="419" ht="14.25" hidden="1" customHeight="1" outlineLevel="2">
      <c r="A419" s="190">
        <v>45545.0</v>
      </c>
      <c r="B419" s="97">
        <f t="shared" si="71"/>
        <v>45545</v>
      </c>
      <c r="C419" s="179" t="s">
        <v>118</v>
      </c>
      <c r="D419" s="242" t="s">
        <v>296</v>
      </c>
      <c r="E419" s="275">
        <v>97.0</v>
      </c>
      <c r="F419" s="242" t="s">
        <v>759</v>
      </c>
      <c r="G419" s="276"/>
    </row>
    <row r="420" ht="14.25" hidden="1" customHeight="1" outlineLevel="2">
      <c r="A420" s="190">
        <v>45546.0</v>
      </c>
      <c r="B420" s="97">
        <f t="shared" si="71"/>
        <v>45546</v>
      </c>
      <c r="C420" s="179" t="s">
        <v>118</v>
      </c>
      <c r="D420" s="242" t="s">
        <v>119</v>
      </c>
      <c r="E420" s="275">
        <v>48.0</v>
      </c>
      <c r="F420" s="242" t="s">
        <v>533</v>
      </c>
      <c r="G420" s="276"/>
    </row>
    <row r="421" ht="14.25" hidden="1" customHeight="1" outlineLevel="2">
      <c r="A421" s="190">
        <v>45547.0</v>
      </c>
      <c r="B421" s="97">
        <f t="shared" si="71"/>
        <v>45547</v>
      </c>
      <c r="C421" s="179" t="s">
        <v>118</v>
      </c>
      <c r="D421" s="242" t="s">
        <v>119</v>
      </c>
      <c r="E421" s="275">
        <v>95.0</v>
      </c>
      <c r="F421" s="242" t="s">
        <v>295</v>
      </c>
      <c r="G421" s="276"/>
    </row>
    <row r="422" ht="14.25" hidden="1" customHeight="1" outlineLevel="2">
      <c r="A422" s="190">
        <v>45548.0</v>
      </c>
      <c r="B422" s="97">
        <f t="shared" si="71"/>
        <v>45548</v>
      </c>
      <c r="C422" s="179" t="s">
        <v>118</v>
      </c>
      <c r="D422" s="242" t="s">
        <v>296</v>
      </c>
      <c r="E422" s="275">
        <v>250.0</v>
      </c>
      <c r="F422" s="242" t="s">
        <v>257</v>
      </c>
      <c r="G422" s="276"/>
    </row>
    <row r="423" ht="14.25" hidden="1" customHeight="1" outlineLevel="2">
      <c r="A423" s="190">
        <v>45549.0</v>
      </c>
      <c r="B423" s="97">
        <f t="shared" si="71"/>
        <v>45549</v>
      </c>
      <c r="C423" s="179" t="s">
        <v>118</v>
      </c>
      <c r="D423" s="242" t="s">
        <v>119</v>
      </c>
      <c r="E423" s="275">
        <v>210.0</v>
      </c>
      <c r="F423" s="242" t="s">
        <v>579</v>
      </c>
      <c r="G423" s="276"/>
    </row>
    <row r="424" ht="14.25" hidden="1" customHeight="1" outlineLevel="2">
      <c r="A424" s="190">
        <v>45550.0</v>
      </c>
      <c r="B424" s="97">
        <f t="shared" si="71"/>
        <v>45550</v>
      </c>
      <c r="C424" s="179" t="s">
        <v>118</v>
      </c>
      <c r="D424" s="242" t="s">
        <v>413</v>
      </c>
      <c r="E424" s="275">
        <v>790.0</v>
      </c>
      <c r="F424" s="242" t="s">
        <v>297</v>
      </c>
      <c r="G424" s="276"/>
    </row>
    <row r="425" ht="14.25" hidden="1" customHeight="1" outlineLevel="2">
      <c r="A425" s="191"/>
      <c r="B425" s="58"/>
      <c r="C425" s="179" t="s">
        <v>136</v>
      </c>
      <c r="D425" s="242" t="s">
        <v>342</v>
      </c>
      <c r="E425" s="275">
        <v>544.0</v>
      </c>
      <c r="F425" s="242" t="s">
        <v>129</v>
      </c>
      <c r="G425" s="276"/>
    </row>
    <row r="426" ht="14.25" hidden="1" customHeight="1" outlineLevel="2">
      <c r="A426" s="190">
        <v>45551.0</v>
      </c>
      <c r="B426" s="97">
        <f t="shared" ref="B426:B432" si="72">A426</f>
        <v>45551</v>
      </c>
      <c r="C426" s="179" t="s">
        <v>118</v>
      </c>
      <c r="D426" s="242" t="s">
        <v>119</v>
      </c>
      <c r="E426" s="275">
        <v>115.0</v>
      </c>
      <c r="F426" s="242" t="s">
        <v>758</v>
      </c>
      <c r="G426" s="276"/>
    </row>
    <row r="427" ht="14.25" hidden="1" customHeight="1" outlineLevel="2">
      <c r="A427" s="190">
        <v>45552.0</v>
      </c>
      <c r="B427" s="97">
        <f t="shared" si="72"/>
        <v>45552</v>
      </c>
      <c r="C427" s="179" t="s">
        <v>118</v>
      </c>
      <c r="D427" s="242" t="s">
        <v>296</v>
      </c>
      <c r="E427" s="275">
        <v>48.0</v>
      </c>
      <c r="F427" s="242" t="s">
        <v>359</v>
      </c>
      <c r="G427" s="276"/>
    </row>
    <row r="428" ht="14.25" hidden="1" customHeight="1" outlineLevel="2">
      <c r="A428" s="190">
        <v>45553.0</v>
      </c>
      <c r="B428" s="97">
        <f t="shared" si="72"/>
        <v>45553</v>
      </c>
      <c r="C428" s="179" t="s">
        <v>118</v>
      </c>
      <c r="D428" s="242" t="s">
        <v>119</v>
      </c>
      <c r="E428" s="275">
        <v>62.0</v>
      </c>
      <c r="F428" s="242" t="s">
        <v>762</v>
      </c>
      <c r="G428" s="276"/>
    </row>
    <row r="429" ht="14.25" hidden="1" customHeight="1" outlineLevel="2">
      <c r="A429" s="190">
        <v>45554.0</v>
      </c>
      <c r="B429" s="97">
        <f t="shared" si="72"/>
        <v>45554</v>
      </c>
      <c r="C429" s="179" t="s">
        <v>118</v>
      </c>
      <c r="D429" s="242" t="s">
        <v>119</v>
      </c>
      <c r="E429" s="275">
        <v>55.0</v>
      </c>
      <c r="F429" s="242" t="s">
        <v>205</v>
      </c>
      <c r="G429" s="276"/>
    </row>
    <row r="430" ht="14.25" hidden="1" customHeight="1" outlineLevel="2">
      <c r="A430" s="190">
        <v>45555.0</v>
      </c>
      <c r="B430" s="97">
        <f t="shared" si="72"/>
        <v>45555</v>
      </c>
      <c r="C430" s="179" t="s">
        <v>118</v>
      </c>
      <c r="D430" s="242" t="s">
        <v>296</v>
      </c>
      <c r="E430" s="275">
        <v>180.0</v>
      </c>
      <c r="F430" s="242" t="s">
        <v>766</v>
      </c>
      <c r="G430" s="276"/>
    </row>
    <row r="431" ht="14.25" hidden="1" customHeight="1" outlineLevel="2">
      <c r="A431" s="190">
        <v>45556.0</v>
      </c>
      <c r="B431" s="97">
        <f t="shared" si="72"/>
        <v>45556</v>
      </c>
      <c r="C431" s="179" t="s">
        <v>118</v>
      </c>
      <c r="D431" s="242" t="s">
        <v>119</v>
      </c>
      <c r="E431" s="275">
        <v>50.0</v>
      </c>
      <c r="F431" s="242" t="s">
        <v>767</v>
      </c>
      <c r="G431" s="276"/>
    </row>
    <row r="432" ht="14.25" hidden="1" customHeight="1" outlineLevel="2">
      <c r="A432" s="190">
        <v>45557.0</v>
      </c>
      <c r="B432" s="97">
        <f t="shared" si="72"/>
        <v>45557</v>
      </c>
      <c r="C432" s="179" t="s">
        <v>118</v>
      </c>
      <c r="D432" s="242" t="s">
        <v>768</v>
      </c>
      <c r="E432" s="275">
        <v>651.0</v>
      </c>
      <c r="F432" s="242" t="s">
        <v>243</v>
      </c>
      <c r="G432" s="276"/>
    </row>
    <row r="433" ht="14.25" hidden="1" customHeight="1" outlineLevel="2">
      <c r="A433" s="191"/>
      <c r="B433" s="58"/>
      <c r="C433" s="179" t="s">
        <v>136</v>
      </c>
      <c r="D433" s="242" t="s">
        <v>413</v>
      </c>
      <c r="E433" s="275">
        <v>470.0</v>
      </c>
      <c r="F433" s="242" t="s">
        <v>129</v>
      </c>
      <c r="G433" s="276"/>
    </row>
    <row r="434" ht="14.25" hidden="1" customHeight="1" outlineLevel="2">
      <c r="A434" s="190">
        <v>45558.0</v>
      </c>
      <c r="B434" s="97">
        <f t="shared" ref="B434:B440" si="73">A434</f>
        <v>45558</v>
      </c>
      <c r="C434" s="179" t="s">
        <v>118</v>
      </c>
      <c r="D434" s="242" t="s">
        <v>119</v>
      </c>
      <c r="E434" s="275">
        <v>250.0</v>
      </c>
      <c r="F434" s="242" t="s">
        <v>438</v>
      </c>
      <c r="G434" s="276"/>
    </row>
    <row r="435" ht="14.25" hidden="1" customHeight="1" outlineLevel="2">
      <c r="A435" s="190">
        <v>45559.0</v>
      </c>
      <c r="B435" s="97">
        <f t="shared" si="73"/>
        <v>45559</v>
      </c>
      <c r="C435" s="179" t="s">
        <v>118</v>
      </c>
      <c r="D435" s="242" t="s">
        <v>296</v>
      </c>
      <c r="E435" s="275">
        <v>51.0</v>
      </c>
      <c r="F435" s="242" t="s">
        <v>770</v>
      </c>
      <c r="G435" s="276"/>
    </row>
    <row r="436" ht="14.25" hidden="1" customHeight="1" outlineLevel="2">
      <c r="A436" s="190">
        <v>45560.0</v>
      </c>
      <c r="B436" s="97">
        <f t="shared" si="73"/>
        <v>45560</v>
      </c>
      <c r="C436" s="179" t="s">
        <v>118</v>
      </c>
      <c r="D436" s="242" t="s">
        <v>119</v>
      </c>
      <c r="E436" s="275">
        <v>75.0</v>
      </c>
      <c r="F436" s="242" t="s">
        <v>219</v>
      </c>
      <c r="G436" s="276"/>
    </row>
    <row r="437" ht="14.25" hidden="1" customHeight="1" outlineLevel="2">
      <c r="A437" s="190">
        <v>45561.0</v>
      </c>
      <c r="B437" s="97">
        <f t="shared" si="73"/>
        <v>45561</v>
      </c>
      <c r="C437" s="179" t="s">
        <v>118</v>
      </c>
      <c r="D437" s="242" t="s">
        <v>119</v>
      </c>
      <c r="E437" s="275">
        <v>188.0</v>
      </c>
      <c r="F437" s="242" t="s">
        <v>205</v>
      </c>
      <c r="G437" s="276"/>
    </row>
    <row r="438" ht="14.25" hidden="1" customHeight="1" outlineLevel="2">
      <c r="A438" s="190">
        <v>45562.0</v>
      </c>
      <c r="B438" s="97">
        <f t="shared" si="73"/>
        <v>45562</v>
      </c>
      <c r="C438" s="179" t="s">
        <v>118</v>
      </c>
      <c r="D438" s="242" t="s">
        <v>296</v>
      </c>
      <c r="E438" s="275">
        <v>144.0</v>
      </c>
      <c r="F438" s="242" t="s">
        <v>771</v>
      </c>
      <c r="G438" s="276"/>
    </row>
    <row r="439" ht="14.25" hidden="1" customHeight="1" outlineLevel="2">
      <c r="A439" s="190">
        <v>45563.0</v>
      </c>
      <c r="B439" s="97">
        <f t="shared" si="73"/>
        <v>45563</v>
      </c>
      <c r="C439" s="179" t="s">
        <v>118</v>
      </c>
      <c r="D439" s="242" t="s">
        <v>119</v>
      </c>
      <c r="E439" s="275">
        <v>40.0</v>
      </c>
      <c r="F439" s="242" t="s">
        <v>772</v>
      </c>
      <c r="G439" s="276"/>
    </row>
    <row r="440" ht="14.25" hidden="1" customHeight="1" outlineLevel="2">
      <c r="A440" s="190">
        <v>45564.0</v>
      </c>
      <c r="B440" s="97">
        <f t="shared" si="73"/>
        <v>45564</v>
      </c>
      <c r="C440" s="179" t="s">
        <v>118</v>
      </c>
      <c r="D440" s="242" t="s">
        <v>490</v>
      </c>
      <c r="E440" s="275">
        <v>477.0</v>
      </c>
      <c r="F440" s="242" t="s">
        <v>183</v>
      </c>
      <c r="G440" s="276"/>
    </row>
    <row r="441" ht="14.25" hidden="1" customHeight="1" outlineLevel="2">
      <c r="A441" s="191"/>
      <c r="B441" s="58"/>
      <c r="C441" s="179" t="s">
        <v>136</v>
      </c>
      <c r="D441" s="242" t="s">
        <v>413</v>
      </c>
      <c r="E441" s="275">
        <v>600.0</v>
      </c>
      <c r="F441" s="242" t="s">
        <v>85</v>
      </c>
      <c r="G441" s="277" t="s">
        <v>85</v>
      </c>
    </row>
    <row r="442" ht="14.25" hidden="1" customHeight="1" outlineLevel="2">
      <c r="A442" s="190">
        <v>45565.0</v>
      </c>
      <c r="B442" s="97">
        <f>A442</f>
        <v>45565</v>
      </c>
      <c r="C442" s="179" t="s">
        <v>118</v>
      </c>
      <c r="D442" s="242" t="s">
        <v>119</v>
      </c>
      <c r="E442" s="275">
        <v>134.0</v>
      </c>
      <c r="F442" s="242" t="s">
        <v>773</v>
      </c>
      <c r="G442" s="276"/>
    </row>
    <row r="443" ht="14.25" hidden="1" customHeight="1" outlineLevel="1">
      <c r="A443" s="117" t="s">
        <v>195</v>
      </c>
      <c r="B443" s="27"/>
      <c r="C443" s="27"/>
      <c r="D443" s="28"/>
      <c r="E443" s="262">
        <f>SUM(E408:E442)</f>
        <v>9665</v>
      </c>
      <c r="F443" s="119"/>
      <c r="G443" s="28"/>
    </row>
    <row r="444" ht="14.25" hidden="1" customHeight="1" outlineLevel="1"/>
    <row r="445" ht="14.25" hidden="1" customHeight="1" outlineLevel="1" collapsed="1">
      <c r="A445" s="122" t="s">
        <v>774</v>
      </c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3"/>
    </row>
    <row r="446" ht="14.25" hidden="1" customHeight="1" outlineLevel="2">
      <c r="A446" s="70" t="s">
        <v>90</v>
      </c>
      <c r="I446" s="72" t="s">
        <v>91</v>
      </c>
      <c r="J446" s="73"/>
      <c r="K446" s="73"/>
      <c r="L446" s="74"/>
      <c r="N446" s="72" t="s">
        <v>95</v>
      </c>
      <c r="O446" s="73"/>
      <c r="P446" s="73"/>
      <c r="Q446" s="74"/>
    </row>
    <row r="447" ht="14.25" hidden="1" customHeight="1" outlineLevel="2">
      <c r="A447" s="81" t="s">
        <v>6</v>
      </c>
      <c r="B447" s="84" t="s">
        <v>103</v>
      </c>
      <c r="C447" s="81" t="s">
        <v>104</v>
      </c>
      <c r="D447" s="81" t="s">
        <v>107</v>
      </c>
      <c r="E447" s="81" t="s">
        <v>109</v>
      </c>
      <c r="F447" s="84" t="s">
        <v>110</v>
      </c>
      <c r="G447" s="81" t="s">
        <v>13</v>
      </c>
      <c r="I447" s="81" t="s">
        <v>6</v>
      </c>
      <c r="J447" s="84" t="s">
        <v>115</v>
      </c>
      <c r="K447" s="84" t="s">
        <v>9</v>
      </c>
      <c r="L447" s="81" t="s">
        <v>13</v>
      </c>
      <c r="N447" s="81" t="s">
        <v>6</v>
      </c>
      <c r="O447" s="84" t="s">
        <v>115</v>
      </c>
      <c r="P447" s="84" t="s">
        <v>9</v>
      </c>
      <c r="Q447" s="81" t="s">
        <v>13</v>
      </c>
    </row>
    <row r="448" ht="14.25" hidden="1" customHeight="1" outlineLevel="2">
      <c r="A448" s="102">
        <v>45566.0</v>
      </c>
      <c r="B448" s="97">
        <f>A448</f>
        <v>45566</v>
      </c>
      <c r="C448" s="129" t="s">
        <v>118</v>
      </c>
      <c r="D448" s="242" t="s">
        <v>296</v>
      </c>
      <c r="E448" s="275">
        <v>48.0</v>
      </c>
      <c r="F448" s="242" t="s">
        <v>775</v>
      </c>
      <c r="G448" s="244"/>
      <c r="I448" s="86">
        <v>45568.0</v>
      </c>
      <c r="J448" s="88">
        <f t="shared" ref="J448:J451" si="74">I448</f>
        <v>45568</v>
      </c>
      <c r="K448" s="93">
        <v>78.85</v>
      </c>
      <c r="L448" s="90"/>
      <c r="N448" s="94"/>
      <c r="O448" s="94"/>
      <c r="P448" s="93"/>
      <c r="Q448" s="91"/>
    </row>
    <row r="449" ht="14.25" hidden="1" customHeight="1" outlineLevel="2">
      <c r="A449" s="10"/>
      <c r="B449" s="10"/>
      <c r="C449" s="129" t="s">
        <v>136</v>
      </c>
      <c r="D449" s="242" t="s">
        <v>777</v>
      </c>
      <c r="E449" s="275">
        <v>602.0</v>
      </c>
      <c r="F449" s="242" t="s">
        <v>300</v>
      </c>
      <c r="G449" s="244"/>
      <c r="I449" s="86">
        <v>45576.0</v>
      </c>
      <c r="J449" s="88">
        <f t="shared" si="74"/>
        <v>45576</v>
      </c>
      <c r="K449" s="93">
        <v>55.4</v>
      </c>
      <c r="L449" s="90"/>
      <c r="N449" s="94"/>
      <c r="O449" s="94"/>
      <c r="P449" s="93"/>
      <c r="Q449" s="91"/>
    </row>
    <row r="450" ht="14.25" hidden="1" customHeight="1" outlineLevel="2">
      <c r="A450" s="125">
        <v>45567.0</v>
      </c>
      <c r="B450" s="126">
        <f t="shared" ref="B450:B452" si="75">A450</f>
        <v>45567</v>
      </c>
      <c r="C450" s="129" t="s">
        <v>118</v>
      </c>
      <c r="D450" s="242" t="s">
        <v>119</v>
      </c>
      <c r="E450" s="275">
        <v>82.0</v>
      </c>
      <c r="F450" s="242" t="s">
        <v>683</v>
      </c>
      <c r="G450" s="244"/>
      <c r="I450" s="86">
        <v>45580.0</v>
      </c>
      <c r="J450" s="88">
        <f t="shared" si="74"/>
        <v>45580</v>
      </c>
      <c r="K450" s="93">
        <v>50.05</v>
      </c>
      <c r="L450" s="90"/>
      <c r="N450" s="165" t="s">
        <v>195</v>
      </c>
      <c r="O450" s="165"/>
      <c r="P450" s="113">
        <f>SUM(P448:P449)</f>
        <v>0</v>
      </c>
      <c r="Q450" s="114"/>
    </row>
    <row r="451" ht="14.25" hidden="1" customHeight="1" outlineLevel="2">
      <c r="A451" s="125">
        <v>45568.0</v>
      </c>
      <c r="B451" s="126">
        <f t="shared" si="75"/>
        <v>45568</v>
      </c>
      <c r="C451" s="129" t="s">
        <v>118</v>
      </c>
      <c r="D451" s="242" t="s">
        <v>119</v>
      </c>
      <c r="E451" s="275">
        <v>74.0</v>
      </c>
      <c r="F451" s="242" t="s">
        <v>205</v>
      </c>
      <c r="G451" s="244"/>
      <c r="I451" s="86">
        <v>45593.0</v>
      </c>
      <c r="J451" s="88">
        <f t="shared" si="74"/>
        <v>45593</v>
      </c>
      <c r="K451" s="93">
        <v>72.75</v>
      </c>
      <c r="L451" s="90"/>
      <c r="N451" s="166"/>
      <c r="O451" s="167"/>
      <c r="P451" s="168"/>
      <c r="Q451" s="51"/>
    </row>
    <row r="452" ht="14.25" hidden="1" customHeight="1" outlineLevel="2">
      <c r="A452" s="102">
        <v>45569.0</v>
      </c>
      <c r="B452" s="97">
        <f t="shared" si="75"/>
        <v>45569</v>
      </c>
      <c r="C452" s="129" t="s">
        <v>118</v>
      </c>
      <c r="D452" s="242" t="s">
        <v>296</v>
      </c>
      <c r="E452" s="275">
        <v>150.0</v>
      </c>
      <c r="F452" s="242" t="s">
        <v>654</v>
      </c>
      <c r="G452" s="244"/>
      <c r="I452" s="86"/>
      <c r="J452" s="88"/>
      <c r="L452" s="90"/>
      <c r="N452" s="235" t="s">
        <v>344</v>
      </c>
      <c r="O452" s="27"/>
      <c r="P452" s="27"/>
      <c r="Q452" s="28"/>
    </row>
    <row r="453" ht="14.25" hidden="1" customHeight="1" outlineLevel="2">
      <c r="A453" s="10"/>
      <c r="B453" s="10"/>
      <c r="C453" s="129" t="s">
        <v>136</v>
      </c>
      <c r="D453" s="242" t="s">
        <v>777</v>
      </c>
      <c r="E453" s="275">
        <v>265.0</v>
      </c>
      <c r="F453" s="242" t="s">
        <v>782</v>
      </c>
      <c r="G453" s="244"/>
      <c r="I453" s="86"/>
      <c r="J453" s="88"/>
      <c r="K453" s="92"/>
      <c r="L453" s="90"/>
      <c r="N453" s="81" t="s">
        <v>6</v>
      </c>
      <c r="O453" s="84" t="s">
        <v>115</v>
      </c>
      <c r="P453" s="84" t="s">
        <v>9</v>
      </c>
      <c r="Q453" s="81" t="s">
        <v>13</v>
      </c>
    </row>
    <row r="454" ht="14.25" hidden="1" customHeight="1" outlineLevel="2">
      <c r="A454" s="125">
        <v>45570.0</v>
      </c>
      <c r="B454" s="126">
        <f t="shared" ref="B454:B455" si="76">A454</f>
        <v>45570</v>
      </c>
      <c r="C454" s="129" t="s">
        <v>118</v>
      </c>
      <c r="D454" s="242" t="s">
        <v>119</v>
      </c>
      <c r="E454" s="275">
        <v>75.0</v>
      </c>
      <c r="F454" s="242" t="s">
        <v>783</v>
      </c>
      <c r="G454" s="244"/>
      <c r="I454" s="86"/>
      <c r="J454" s="88"/>
      <c r="K454" s="92"/>
      <c r="L454" s="90"/>
      <c r="N454" s="86"/>
      <c r="O454" s="88" t="str">
        <f>N454</f>
        <v/>
      </c>
      <c r="P454" s="93"/>
      <c r="Q454" s="90"/>
    </row>
    <row r="455" ht="14.25" hidden="1" customHeight="1" outlineLevel="2">
      <c r="A455" s="102">
        <v>45571.0</v>
      </c>
      <c r="B455" s="97">
        <f t="shared" si="76"/>
        <v>45571</v>
      </c>
      <c r="C455" s="129" t="s">
        <v>118</v>
      </c>
      <c r="D455" s="242" t="s">
        <v>490</v>
      </c>
      <c r="E455" s="275">
        <v>600.0</v>
      </c>
      <c r="F455" s="242" t="s">
        <v>288</v>
      </c>
      <c r="G455" s="244"/>
      <c r="I455" s="86"/>
      <c r="J455" s="88"/>
      <c r="K455" s="92"/>
      <c r="L455" s="90"/>
      <c r="N455" s="86"/>
      <c r="O455" s="88"/>
      <c r="P455" s="92"/>
      <c r="Q455" s="90"/>
    </row>
    <row r="456" ht="14.25" hidden="1" customHeight="1" outlineLevel="2">
      <c r="A456" s="10"/>
      <c r="B456" s="10"/>
      <c r="C456" s="129" t="s">
        <v>136</v>
      </c>
      <c r="D456" s="242" t="s">
        <v>355</v>
      </c>
      <c r="E456" s="275">
        <v>340.0</v>
      </c>
      <c r="F456" s="242" t="s">
        <v>785</v>
      </c>
      <c r="G456" s="244"/>
      <c r="I456" s="108" t="s">
        <v>195</v>
      </c>
      <c r="J456" s="109"/>
      <c r="K456" s="113">
        <f>SUM(K448:K455)</f>
        <v>257.05</v>
      </c>
      <c r="L456" s="114"/>
      <c r="N456" s="165" t="s">
        <v>195</v>
      </c>
      <c r="O456" s="165"/>
      <c r="P456" s="113">
        <f>SUM(P454:P455)</f>
        <v>0</v>
      </c>
      <c r="Q456" s="114"/>
    </row>
    <row r="457" ht="14.25" hidden="1" customHeight="1" outlineLevel="2">
      <c r="A457" s="125">
        <v>45572.0</v>
      </c>
      <c r="B457" s="126">
        <f t="shared" ref="B457:B463" si="77">A457</f>
        <v>45572</v>
      </c>
      <c r="C457" s="129" t="s">
        <v>118</v>
      </c>
      <c r="D457" s="242" t="s">
        <v>119</v>
      </c>
      <c r="E457" s="275">
        <v>91.0</v>
      </c>
      <c r="F457" s="242" t="s">
        <v>303</v>
      </c>
      <c r="G457" s="244"/>
    </row>
    <row r="458" ht="14.25" hidden="1" customHeight="1" outlineLevel="2">
      <c r="A458" s="125">
        <v>45573.0</v>
      </c>
      <c r="B458" s="126">
        <f t="shared" si="77"/>
        <v>45573</v>
      </c>
      <c r="C458" s="129" t="s">
        <v>118</v>
      </c>
      <c r="D458" s="242" t="s">
        <v>296</v>
      </c>
      <c r="E458" s="275">
        <v>36.0</v>
      </c>
      <c r="F458" s="242" t="s">
        <v>786</v>
      </c>
      <c r="G458" s="244"/>
    </row>
    <row r="459" ht="14.25" hidden="1" customHeight="1" outlineLevel="2">
      <c r="A459" s="125">
        <v>45574.0</v>
      </c>
      <c r="B459" s="126">
        <f t="shared" si="77"/>
        <v>45574</v>
      </c>
      <c r="C459" s="129" t="s">
        <v>118</v>
      </c>
      <c r="D459" s="242" t="s">
        <v>119</v>
      </c>
      <c r="E459" s="275">
        <v>186.0</v>
      </c>
      <c r="F459" s="242" t="s">
        <v>683</v>
      </c>
      <c r="G459" s="244"/>
    </row>
    <row r="460" ht="14.25" hidden="1" customHeight="1" outlineLevel="2">
      <c r="A460" s="125">
        <v>45575.0</v>
      </c>
      <c r="B460" s="126">
        <f t="shared" si="77"/>
        <v>45575</v>
      </c>
      <c r="C460" s="129" t="s">
        <v>118</v>
      </c>
      <c r="D460" s="242" t="s">
        <v>119</v>
      </c>
      <c r="E460" s="275">
        <v>90.0</v>
      </c>
      <c r="F460" s="242" t="s">
        <v>766</v>
      </c>
      <c r="G460" s="244"/>
    </row>
    <row r="461" ht="14.25" hidden="1" customHeight="1" outlineLevel="2">
      <c r="A461" s="125">
        <v>45576.0</v>
      </c>
      <c r="B461" s="126">
        <f t="shared" si="77"/>
        <v>45576</v>
      </c>
      <c r="C461" s="129" t="s">
        <v>118</v>
      </c>
      <c r="D461" s="242" t="s">
        <v>296</v>
      </c>
      <c r="E461" s="275">
        <v>581.0</v>
      </c>
      <c r="F461" s="242" t="s">
        <v>601</v>
      </c>
      <c r="G461" s="244"/>
    </row>
    <row r="462" ht="14.25" hidden="1" customHeight="1" outlineLevel="2">
      <c r="A462" s="125">
        <v>45577.0</v>
      </c>
      <c r="B462" s="126">
        <f t="shared" si="77"/>
        <v>45577</v>
      </c>
      <c r="C462" s="129" t="s">
        <v>118</v>
      </c>
      <c r="D462" s="242" t="s">
        <v>119</v>
      </c>
      <c r="E462" s="275">
        <v>290.0</v>
      </c>
      <c r="F462" s="242" t="s">
        <v>129</v>
      </c>
      <c r="G462" s="244"/>
    </row>
    <row r="463" ht="14.25" hidden="1" customHeight="1" outlineLevel="2">
      <c r="A463" s="102">
        <v>45578.0</v>
      </c>
      <c r="B463" s="97">
        <f t="shared" si="77"/>
        <v>45578</v>
      </c>
      <c r="C463" s="129" t="s">
        <v>118</v>
      </c>
      <c r="D463" s="242" t="s">
        <v>355</v>
      </c>
      <c r="E463" s="275">
        <v>425.0</v>
      </c>
      <c r="F463" s="242" t="s">
        <v>787</v>
      </c>
      <c r="G463" s="244"/>
    </row>
    <row r="464" ht="14.25" hidden="1" customHeight="1" outlineLevel="2">
      <c r="A464" s="10"/>
      <c r="B464" s="10"/>
      <c r="C464" s="129" t="s">
        <v>136</v>
      </c>
      <c r="D464" s="242" t="s">
        <v>119</v>
      </c>
      <c r="E464" s="275">
        <v>490.0</v>
      </c>
      <c r="F464" s="242" t="s">
        <v>288</v>
      </c>
      <c r="G464" s="244"/>
    </row>
    <row r="465" ht="14.25" hidden="1" customHeight="1" outlineLevel="2">
      <c r="A465" s="125">
        <v>45579.0</v>
      </c>
      <c r="B465" s="126">
        <f t="shared" ref="B465:B469" si="78">A465</f>
        <v>45579</v>
      </c>
      <c r="C465" s="129" t="s">
        <v>118</v>
      </c>
      <c r="D465" s="242" t="s">
        <v>119</v>
      </c>
      <c r="E465" s="275">
        <v>149.0</v>
      </c>
      <c r="F465" s="242" t="s">
        <v>303</v>
      </c>
      <c r="G465" s="244"/>
    </row>
    <row r="466" ht="14.25" hidden="1" customHeight="1" outlineLevel="2">
      <c r="A466" s="125">
        <v>45580.0</v>
      </c>
      <c r="B466" s="126">
        <f t="shared" si="78"/>
        <v>45580</v>
      </c>
      <c r="C466" s="129" t="s">
        <v>118</v>
      </c>
      <c r="D466" s="242" t="s">
        <v>296</v>
      </c>
      <c r="E466" s="275">
        <v>38.0</v>
      </c>
      <c r="F466" s="242" t="s">
        <v>789</v>
      </c>
      <c r="G466" s="244"/>
    </row>
    <row r="467" ht="14.25" hidden="1" customHeight="1" outlineLevel="2">
      <c r="A467" s="125">
        <v>45581.0</v>
      </c>
      <c r="B467" s="126">
        <f t="shared" si="78"/>
        <v>45581</v>
      </c>
      <c r="C467" s="129" t="s">
        <v>118</v>
      </c>
      <c r="D467" s="242" t="s">
        <v>119</v>
      </c>
      <c r="E467" s="275">
        <v>74.0</v>
      </c>
      <c r="F467" s="242" t="s">
        <v>790</v>
      </c>
      <c r="G467" s="244"/>
    </row>
    <row r="468" ht="14.25" hidden="1" customHeight="1" outlineLevel="2">
      <c r="A468" s="125">
        <v>45582.0</v>
      </c>
      <c r="B468" s="126">
        <f t="shared" si="78"/>
        <v>45582</v>
      </c>
      <c r="C468" s="129" t="s">
        <v>118</v>
      </c>
      <c r="D468" s="242" t="s">
        <v>119</v>
      </c>
      <c r="E468" s="275">
        <v>150.0</v>
      </c>
      <c r="F468" s="242" t="s">
        <v>786</v>
      </c>
      <c r="G468" s="244"/>
    </row>
    <row r="469" ht="14.25" hidden="1" customHeight="1" outlineLevel="2">
      <c r="A469" s="102">
        <v>45583.0</v>
      </c>
      <c r="B469" s="97">
        <f t="shared" si="78"/>
        <v>45583</v>
      </c>
      <c r="C469" s="129" t="s">
        <v>118</v>
      </c>
      <c r="D469" s="242" t="s">
        <v>296</v>
      </c>
      <c r="E469" s="275">
        <v>105.0</v>
      </c>
      <c r="F469" s="242" t="s">
        <v>793</v>
      </c>
      <c r="G469" s="244"/>
    </row>
    <row r="470" ht="14.25" hidden="1" customHeight="1" outlineLevel="2">
      <c r="A470" s="10"/>
      <c r="B470" s="10"/>
      <c r="C470" s="129" t="s">
        <v>136</v>
      </c>
      <c r="D470" s="242" t="s">
        <v>794</v>
      </c>
      <c r="E470" s="275">
        <v>295.0</v>
      </c>
      <c r="F470" s="242" t="s">
        <v>541</v>
      </c>
      <c r="G470" s="244"/>
    </row>
    <row r="471" ht="14.25" hidden="1" customHeight="1" outlineLevel="2">
      <c r="A471" s="125">
        <v>45584.0</v>
      </c>
      <c r="B471" s="126">
        <f t="shared" ref="B471:B472" si="79">A471</f>
        <v>45584</v>
      </c>
      <c r="C471" s="129" t="s">
        <v>118</v>
      </c>
      <c r="D471" s="242" t="s">
        <v>795</v>
      </c>
      <c r="E471" s="275">
        <v>380.0</v>
      </c>
      <c r="F471" s="242" t="s">
        <v>796</v>
      </c>
      <c r="G471" s="244"/>
    </row>
    <row r="472" ht="14.25" hidden="1" customHeight="1" outlineLevel="2">
      <c r="A472" s="102">
        <v>45585.0</v>
      </c>
      <c r="B472" s="97">
        <f t="shared" si="79"/>
        <v>45585</v>
      </c>
      <c r="C472" s="129" t="s">
        <v>118</v>
      </c>
      <c r="D472" s="242" t="s">
        <v>794</v>
      </c>
      <c r="E472" s="275">
        <v>860.0</v>
      </c>
      <c r="F472" s="242" t="s">
        <v>798</v>
      </c>
      <c r="G472" s="244"/>
    </row>
    <row r="473" ht="14.25" hidden="1" customHeight="1" outlineLevel="2">
      <c r="A473" s="10"/>
      <c r="B473" s="10"/>
      <c r="C473" s="129" t="s">
        <v>136</v>
      </c>
      <c r="D473" s="242" t="s">
        <v>413</v>
      </c>
      <c r="E473" s="275">
        <v>445.0</v>
      </c>
      <c r="F473" s="242" t="s">
        <v>800</v>
      </c>
      <c r="G473" s="244"/>
    </row>
    <row r="474" ht="14.25" hidden="1" customHeight="1" outlineLevel="2">
      <c r="A474" s="125">
        <v>45586.0</v>
      </c>
      <c r="B474" s="126">
        <f t="shared" ref="B474:B475" si="80">A474</f>
        <v>45586</v>
      </c>
      <c r="C474" s="129" t="s">
        <v>118</v>
      </c>
      <c r="D474" s="242" t="s">
        <v>119</v>
      </c>
      <c r="E474" s="275">
        <v>104.0</v>
      </c>
      <c r="F474" s="242" t="s">
        <v>303</v>
      </c>
      <c r="G474" s="244"/>
    </row>
    <row r="475" ht="14.25" hidden="1" customHeight="1" outlineLevel="2">
      <c r="A475" s="102">
        <v>45587.0</v>
      </c>
      <c r="B475" s="97">
        <f t="shared" si="80"/>
        <v>45587</v>
      </c>
      <c r="C475" s="129" t="s">
        <v>118</v>
      </c>
      <c r="D475" s="242" t="s">
        <v>413</v>
      </c>
      <c r="E475" s="275">
        <v>145.0</v>
      </c>
      <c r="F475" s="242" t="s">
        <v>786</v>
      </c>
      <c r="G475" s="244"/>
    </row>
    <row r="476" ht="14.25" hidden="1" customHeight="1" outlineLevel="2">
      <c r="A476" s="10"/>
      <c r="B476" s="10"/>
      <c r="C476" s="129" t="s">
        <v>136</v>
      </c>
      <c r="D476" s="242" t="s">
        <v>801</v>
      </c>
      <c r="E476" s="275">
        <v>237.0</v>
      </c>
      <c r="F476" s="242" t="s">
        <v>219</v>
      </c>
      <c r="G476" s="244"/>
    </row>
    <row r="477" ht="14.25" hidden="1" customHeight="1" outlineLevel="2">
      <c r="A477" s="125">
        <v>45588.0</v>
      </c>
      <c r="B477" s="126">
        <f t="shared" ref="B477:B481" si="81">A477</f>
        <v>45588</v>
      </c>
      <c r="C477" s="129" t="s">
        <v>118</v>
      </c>
      <c r="D477" s="242" t="s">
        <v>119</v>
      </c>
      <c r="E477" s="275">
        <v>83.0</v>
      </c>
      <c r="F477" s="242" t="s">
        <v>659</v>
      </c>
      <c r="G477" s="244"/>
    </row>
    <row r="478" ht="14.25" hidden="1" customHeight="1" outlineLevel="2">
      <c r="A478" s="125">
        <v>45589.0</v>
      </c>
      <c r="B478" s="126">
        <f t="shared" si="81"/>
        <v>45589</v>
      </c>
      <c r="C478" s="129" t="s">
        <v>118</v>
      </c>
      <c r="D478" s="242" t="s">
        <v>119</v>
      </c>
      <c r="E478" s="275">
        <v>142.0</v>
      </c>
      <c r="F478" s="242" t="s">
        <v>426</v>
      </c>
      <c r="G478" s="244"/>
    </row>
    <row r="479" ht="14.25" hidden="1" customHeight="1" outlineLevel="2">
      <c r="A479" s="125">
        <v>45590.0</v>
      </c>
      <c r="B479" s="126">
        <f t="shared" si="81"/>
        <v>45590</v>
      </c>
      <c r="C479" s="129" t="s">
        <v>118</v>
      </c>
      <c r="D479" s="242" t="s">
        <v>413</v>
      </c>
      <c r="E479" s="275">
        <v>299.0</v>
      </c>
      <c r="F479" s="242" t="s">
        <v>560</v>
      </c>
      <c r="G479" s="244"/>
    </row>
    <row r="480" ht="14.25" hidden="1" customHeight="1" outlineLevel="2">
      <c r="A480" s="125">
        <v>45591.0</v>
      </c>
      <c r="B480" s="126">
        <f t="shared" si="81"/>
        <v>45591</v>
      </c>
      <c r="C480" s="129" t="s">
        <v>118</v>
      </c>
      <c r="D480" s="242" t="s">
        <v>119</v>
      </c>
      <c r="E480" s="275">
        <v>60.0</v>
      </c>
      <c r="F480" s="242" t="s">
        <v>802</v>
      </c>
      <c r="G480" s="244"/>
    </row>
    <row r="481" ht="14.25" hidden="1" customHeight="1" outlineLevel="2">
      <c r="A481" s="102">
        <v>45592.0</v>
      </c>
      <c r="B481" s="97">
        <f t="shared" si="81"/>
        <v>45592</v>
      </c>
      <c r="C481" s="129" t="s">
        <v>118</v>
      </c>
      <c r="D481" s="242" t="s">
        <v>490</v>
      </c>
      <c r="E481" s="275">
        <v>784.0</v>
      </c>
      <c r="F481" s="242" t="s">
        <v>243</v>
      </c>
      <c r="G481" s="244"/>
    </row>
    <row r="482" ht="14.25" hidden="1" customHeight="1" outlineLevel="2">
      <c r="A482" s="10"/>
      <c r="B482" s="10"/>
      <c r="C482" s="129" t="s">
        <v>136</v>
      </c>
      <c r="D482" s="242" t="s">
        <v>803</v>
      </c>
      <c r="E482" s="275">
        <v>310.0</v>
      </c>
      <c r="F482" s="242" t="s">
        <v>804</v>
      </c>
      <c r="G482" s="244"/>
    </row>
    <row r="483" ht="14.25" hidden="1" customHeight="1" outlineLevel="2">
      <c r="A483" s="125">
        <v>45593.0</v>
      </c>
      <c r="B483" s="126">
        <f t="shared" ref="B483:B486" si="82">A483</f>
        <v>45593</v>
      </c>
      <c r="C483" s="129" t="s">
        <v>118</v>
      </c>
      <c r="D483" s="242" t="s">
        <v>119</v>
      </c>
      <c r="E483" s="275">
        <v>165.0</v>
      </c>
      <c r="F483" s="242" t="s">
        <v>303</v>
      </c>
      <c r="G483" s="244"/>
    </row>
    <row r="484" ht="14.25" hidden="1" customHeight="1" outlineLevel="2">
      <c r="A484" s="125">
        <v>45594.0</v>
      </c>
      <c r="B484" s="126">
        <f t="shared" si="82"/>
        <v>45594</v>
      </c>
      <c r="C484" s="129" t="s">
        <v>118</v>
      </c>
      <c r="D484" s="242" t="s">
        <v>236</v>
      </c>
      <c r="E484" s="275">
        <v>47.0</v>
      </c>
      <c r="F484" s="242" t="s">
        <v>770</v>
      </c>
      <c r="G484" s="244"/>
    </row>
    <row r="485" ht="14.25" hidden="1" customHeight="1" outlineLevel="2">
      <c r="A485" s="125">
        <v>45595.0</v>
      </c>
      <c r="B485" s="126">
        <f t="shared" si="82"/>
        <v>45595</v>
      </c>
      <c r="C485" s="129" t="s">
        <v>118</v>
      </c>
      <c r="D485" s="242" t="s">
        <v>119</v>
      </c>
      <c r="E485" s="275">
        <v>109.0</v>
      </c>
      <c r="F485" s="242" t="s">
        <v>219</v>
      </c>
      <c r="G485" s="244"/>
    </row>
    <row r="486" ht="14.25" hidden="1" customHeight="1" outlineLevel="2">
      <c r="A486" s="125">
        <v>45596.0</v>
      </c>
      <c r="B486" s="126">
        <f t="shared" si="82"/>
        <v>45596</v>
      </c>
      <c r="C486" s="129" t="s">
        <v>118</v>
      </c>
      <c r="D486" s="242" t="s">
        <v>119</v>
      </c>
      <c r="E486" s="275">
        <v>41.0</v>
      </c>
      <c r="F486" s="242" t="s">
        <v>805</v>
      </c>
      <c r="G486" s="244"/>
    </row>
    <row r="487" ht="14.25" hidden="1" customHeight="1" outlineLevel="1">
      <c r="A487" s="117" t="s">
        <v>195</v>
      </c>
      <c r="B487" s="27"/>
      <c r="C487" s="27"/>
      <c r="D487" s="28"/>
      <c r="E487" s="262">
        <f>SUM(E448:E486)</f>
        <v>9447</v>
      </c>
      <c r="F487" s="119"/>
      <c r="G487" s="28"/>
    </row>
    <row r="488" ht="14.25" hidden="1" customHeight="1" outlineLevel="1"/>
    <row r="489" ht="14.25" hidden="1" customHeight="1" outlineLevel="1" collapsed="1">
      <c r="A489" s="122" t="s">
        <v>806</v>
      </c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3"/>
    </row>
    <row r="490" ht="14.25" hidden="1" customHeight="1" outlineLevel="2">
      <c r="A490" s="70" t="s">
        <v>90</v>
      </c>
      <c r="I490" s="72" t="s">
        <v>91</v>
      </c>
      <c r="J490" s="73"/>
      <c r="K490" s="73"/>
      <c r="L490" s="74"/>
      <c r="N490" s="72" t="s">
        <v>95</v>
      </c>
      <c r="O490" s="73"/>
      <c r="P490" s="73"/>
      <c r="Q490" s="74"/>
    </row>
    <row r="491" ht="14.25" hidden="1" customHeight="1" outlineLevel="2">
      <c r="A491" s="81" t="s">
        <v>6</v>
      </c>
      <c r="B491" s="84" t="s">
        <v>103</v>
      </c>
      <c r="C491" s="81" t="s">
        <v>104</v>
      </c>
      <c r="D491" s="81" t="s">
        <v>107</v>
      </c>
      <c r="E491" s="81" t="s">
        <v>109</v>
      </c>
      <c r="F491" s="84" t="s">
        <v>110</v>
      </c>
      <c r="G491" s="81" t="s">
        <v>13</v>
      </c>
      <c r="H491" s="51"/>
      <c r="I491" s="81" t="s">
        <v>6</v>
      </c>
      <c r="J491" s="84" t="s">
        <v>115</v>
      </c>
      <c r="K491" s="84" t="s">
        <v>9</v>
      </c>
      <c r="L491" s="81" t="s">
        <v>13</v>
      </c>
      <c r="M491" s="51"/>
      <c r="N491" s="81" t="s">
        <v>6</v>
      </c>
      <c r="O491" s="84" t="s">
        <v>115</v>
      </c>
      <c r="P491" s="84" t="s">
        <v>9</v>
      </c>
      <c r="Q491" s="81" t="s">
        <v>13</v>
      </c>
    </row>
    <row r="492" ht="14.25" hidden="1" customHeight="1" outlineLevel="2">
      <c r="A492" s="190">
        <v>45597.0</v>
      </c>
      <c r="B492" s="97">
        <f t="shared" ref="B492:B494" si="83">A492</f>
        <v>45597</v>
      </c>
      <c r="C492" s="179" t="s">
        <v>118</v>
      </c>
      <c r="D492" s="91" t="s">
        <v>236</v>
      </c>
      <c r="E492" s="93">
        <v>240.0</v>
      </c>
      <c r="F492" s="91" t="s">
        <v>654</v>
      </c>
      <c r="G492" s="90"/>
      <c r="H492" s="51"/>
      <c r="I492" s="86">
        <v>45599.0</v>
      </c>
      <c r="J492" s="88">
        <f t="shared" ref="J492:J495" si="84">I492</f>
        <v>45599</v>
      </c>
      <c r="K492" s="93">
        <v>151.0</v>
      </c>
      <c r="L492" s="90"/>
      <c r="M492" s="51"/>
      <c r="N492" s="94"/>
      <c r="O492" s="94"/>
      <c r="P492" s="93"/>
      <c r="Q492" s="91"/>
    </row>
    <row r="493" ht="14.25" hidden="1" customHeight="1" outlineLevel="2">
      <c r="A493" s="190">
        <v>45598.0</v>
      </c>
      <c r="B493" s="97">
        <f t="shared" si="83"/>
        <v>45598</v>
      </c>
      <c r="C493" s="179" t="s">
        <v>118</v>
      </c>
      <c r="D493" s="91" t="s">
        <v>119</v>
      </c>
      <c r="E493" s="93">
        <v>336.0</v>
      </c>
      <c r="F493" s="91" t="s">
        <v>808</v>
      </c>
      <c r="G493" s="90"/>
      <c r="H493" s="51"/>
      <c r="I493" s="86">
        <v>45606.0</v>
      </c>
      <c r="J493" s="88">
        <f t="shared" si="84"/>
        <v>45606</v>
      </c>
      <c r="K493" s="93">
        <v>38.95</v>
      </c>
      <c r="L493" s="90"/>
      <c r="M493" s="51"/>
      <c r="N493" s="94"/>
      <c r="O493" s="94"/>
      <c r="P493" s="93"/>
      <c r="Q493" s="91"/>
    </row>
    <row r="494" ht="14.25" hidden="1" customHeight="1" outlineLevel="2">
      <c r="A494" s="190">
        <v>45599.0</v>
      </c>
      <c r="B494" s="97">
        <f t="shared" si="83"/>
        <v>45599</v>
      </c>
      <c r="C494" s="179" t="s">
        <v>118</v>
      </c>
      <c r="D494" s="91" t="s">
        <v>490</v>
      </c>
      <c r="E494" s="93">
        <v>686.0</v>
      </c>
      <c r="F494" s="91" t="s">
        <v>219</v>
      </c>
      <c r="G494" s="90"/>
      <c r="H494" s="51"/>
      <c r="I494" s="86">
        <v>45611.0</v>
      </c>
      <c r="J494" s="88">
        <f t="shared" si="84"/>
        <v>45611</v>
      </c>
      <c r="K494" s="93">
        <v>119.2</v>
      </c>
      <c r="L494" s="90"/>
      <c r="M494" s="51"/>
      <c r="N494" s="165" t="s">
        <v>195</v>
      </c>
      <c r="O494" s="165"/>
      <c r="P494" s="113">
        <f>SUM(P492:P493)</f>
        <v>0</v>
      </c>
      <c r="Q494" s="114"/>
    </row>
    <row r="495" ht="14.25" hidden="1" customHeight="1" outlineLevel="2">
      <c r="A495" s="191"/>
      <c r="B495" s="58"/>
      <c r="C495" s="179" t="s">
        <v>136</v>
      </c>
      <c r="D495" s="91" t="s">
        <v>413</v>
      </c>
      <c r="E495" s="93">
        <v>460.0</v>
      </c>
      <c r="F495" s="91" t="s">
        <v>812</v>
      </c>
      <c r="G495" s="90"/>
      <c r="H495" s="51"/>
      <c r="I495" s="86">
        <v>45621.0</v>
      </c>
      <c r="J495" s="88">
        <f t="shared" si="84"/>
        <v>45621</v>
      </c>
      <c r="K495" s="93">
        <v>109.7</v>
      </c>
      <c r="L495" s="90"/>
      <c r="M495" s="51"/>
      <c r="N495" s="166"/>
      <c r="O495" s="167"/>
      <c r="P495" s="168"/>
      <c r="Q495" s="51"/>
    </row>
    <row r="496" ht="14.25" hidden="1" customHeight="1" outlineLevel="2">
      <c r="A496" s="190">
        <v>45600.0</v>
      </c>
      <c r="B496" s="97">
        <f t="shared" ref="B496:B500" si="85">A496</f>
        <v>45600</v>
      </c>
      <c r="C496" s="179" t="s">
        <v>118</v>
      </c>
      <c r="D496" s="91" t="s">
        <v>119</v>
      </c>
      <c r="E496" s="93">
        <v>130.0</v>
      </c>
      <c r="F496" s="91" t="s">
        <v>303</v>
      </c>
      <c r="G496" s="90"/>
      <c r="H496" s="51"/>
      <c r="I496" s="86"/>
      <c r="J496" s="88"/>
      <c r="K496" s="93"/>
      <c r="L496" s="90"/>
      <c r="M496" s="51"/>
      <c r="N496" s="235" t="s">
        <v>344</v>
      </c>
      <c r="O496" s="27"/>
      <c r="P496" s="27"/>
      <c r="Q496" s="28"/>
    </row>
    <row r="497" ht="14.25" hidden="1" customHeight="1" outlineLevel="2">
      <c r="A497" s="190">
        <v>45601.0</v>
      </c>
      <c r="B497" s="97">
        <f t="shared" si="85"/>
        <v>45601</v>
      </c>
      <c r="C497" s="179" t="s">
        <v>118</v>
      </c>
      <c r="D497" s="91" t="s">
        <v>236</v>
      </c>
      <c r="E497" s="93">
        <v>39.0</v>
      </c>
      <c r="F497" s="91" t="s">
        <v>813</v>
      </c>
      <c r="G497" s="90"/>
      <c r="H497" s="51"/>
      <c r="I497" s="86"/>
      <c r="J497" s="88"/>
      <c r="K497" s="92"/>
      <c r="L497" s="90"/>
      <c r="M497" s="51"/>
      <c r="N497" s="81" t="s">
        <v>6</v>
      </c>
      <c r="O497" s="84" t="s">
        <v>115</v>
      </c>
      <c r="P497" s="84" t="s">
        <v>9</v>
      </c>
      <c r="Q497" s="81" t="s">
        <v>13</v>
      </c>
    </row>
    <row r="498" ht="14.25" hidden="1" customHeight="1" outlineLevel="2">
      <c r="A498" s="190">
        <v>45602.0</v>
      </c>
      <c r="B498" s="97">
        <f t="shared" si="85"/>
        <v>45602</v>
      </c>
      <c r="C498" s="179" t="s">
        <v>118</v>
      </c>
      <c r="D498" s="91" t="s">
        <v>119</v>
      </c>
      <c r="E498" s="93">
        <v>53.0</v>
      </c>
      <c r="F498" s="91" t="s">
        <v>533</v>
      </c>
      <c r="G498" s="90"/>
      <c r="H498" s="51"/>
      <c r="I498" s="86"/>
      <c r="J498" s="88"/>
      <c r="K498" s="92"/>
      <c r="L498" s="90"/>
      <c r="M498" s="51"/>
      <c r="N498" s="86"/>
      <c r="O498" s="88" t="str">
        <f>N498</f>
        <v/>
      </c>
      <c r="P498" s="93"/>
      <c r="Q498" s="90"/>
    </row>
    <row r="499" ht="14.25" hidden="1" customHeight="1" outlineLevel="2">
      <c r="A499" s="190">
        <v>45603.0</v>
      </c>
      <c r="B499" s="97">
        <f t="shared" si="85"/>
        <v>45603</v>
      </c>
      <c r="C499" s="179" t="s">
        <v>118</v>
      </c>
      <c r="D499" s="91" t="s">
        <v>119</v>
      </c>
      <c r="E499" s="93">
        <v>96.0</v>
      </c>
      <c r="F499" s="91" t="s">
        <v>122</v>
      </c>
      <c r="G499" s="90"/>
      <c r="H499" s="51"/>
      <c r="I499" s="86"/>
      <c r="J499" s="88"/>
      <c r="K499" s="92"/>
      <c r="L499" s="90"/>
      <c r="M499" s="51"/>
      <c r="N499" s="86"/>
      <c r="O499" s="88"/>
      <c r="P499" s="92"/>
      <c r="Q499" s="90"/>
    </row>
    <row r="500" ht="14.25" hidden="1" customHeight="1" outlineLevel="2">
      <c r="A500" s="190">
        <v>45604.0</v>
      </c>
      <c r="B500" s="97">
        <f t="shared" si="85"/>
        <v>45604</v>
      </c>
      <c r="C500" s="179" t="s">
        <v>118</v>
      </c>
      <c r="D500" s="91" t="s">
        <v>236</v>
      </c>
      <c r="E500" s="93">
        <v>582.0</v>
      </c>
      <c r="F500" s="91" t="s">
        <v>816</v>
      </c>
      <c r="G500" s="90"/>
      <c r="H500" s="51"/>
      <c r="I500" s="108"/>
      <c r="J500" s="109"/>
      <c r="K500" s="282"/>
      <c r="L500" s="114"/>
      <c r="M500" s="51"/>
      <c r="N500" s="165"/>
      <c r="O500" s="165"/>
      <c r="P500" s="282"/>
      <c r="Q500" s="114"/>
    </row>
    <row r="501" ht="14.25" hidden="1" customHeight="1" outlineLevel="2">
      <c r="A501" s="191"/>
      <c r="B501" s="58"/>
      <c r="C501" s="179" t="s">
        <v>136</v>
      </c>
      <c r="D501" s="91" t="s">
        <v>817</v>
      </c>
      <c r="E501" s="93">
        <v>2289.0</v>
      </c>
      <c r="F501" s="91" t="s">
        <v>141</v>
      </c>
      <c r="G501" s="91" t="s">
        <v>818</v>
      </c>
      <c r="H501" s="51"/>
      <c r="I501" s="108" t="s">
        <v>195</v>
      </c>
      <c r="J501" s="109"/>
      <c r="K501" s="113">
        <f>SUM(K492:K499)</f>
        <v>418.85</v>
      </c>
      <c r="L501" s="114"/>
      <c r="M501" s="51"/>
      <c r="N501" s="165" t="s">
        <v>195</v>
      </c>
      <c r="O501" s="165"/>
      <c r="P501" s="113">
        <f>SUM(P498:P499)</f>
        <v>0</v>
      </c>
      <c r="Q501" s="114"/>
    </row>
    <row r="502" ht="14.25" hidden="1" customHeight="1" outlineLevel="2">
      <c r="A502" s="190">
        <v>45605.0</v>
      </c>
      <c r="B502" s="97">
        <f>A502</f>
        <v>45605</v>
      </c>
      <c r="C502" s="179" t="s">
        <v>118</v>
      </c>
      <c r="D502" s="91" t="s">
        <v>119</v>
      </c>
      <c r="E502" s="93">
        <v>100.0</v>
      </c>
      <c r="F502" s="91" t="s">
        <v>819</v>
      </c>
      <c r="G502" s="90"/>
      <c r="H502" s="51"/>
      <c r="I502" s="51"/>
      <c r="J502" s="51"/>
      <c r="K502" s="51"/>
      <c r="L502" s="51"/>
      <c r="M502" s="51"/>
      <c r="N502" s="51"/>
      <c r="O502" s="51"/>
      <c r="P502" s="51"/>
      <c r="Q502" s="51"/>
    </row>
    <row r="503" ht="14.25" hidden="1" customHeight="1" outlineLevel="2">
      <c r="A503" s="191"/>
      <c r="B503" s="58"/>
      <c r="C503" s="179" t="s">
        <v>136</v>
      </c>
      <c r="D503" s="283" t="s">
        <v>822</v>
      </c>
      <c r="E503" s="284">
        <v>710.0</v>
      </c>
      <c r="F503" s="283" t="s">
        <v>823</v>
      </c>
      <c r="G503" s="91" t="s">
        <v>824</v>
      </c>
      <c r="H503" s="51"/>
      <c r="I503" s="51"/>
      <c r="J503" s="51"/>
      <c r="K503" s="51"/>
      <c r="L503" s="51"/>
      <c r="M503" s="51"/>
      <c r="N503" s="51"/>
      <c r="O503" s="51"/>
      <c r="P503" s="51"/>
      <c r="Q503" s="51"/>
    </row>
    <row r="504" ht="14.25" hidden="1" customHeight="1" outlineLevel="2">
      <c r="A504" s="190">
        <v>45606.0</v>
      </c>
      <c r="B504" s="97">
        <f>A504</f>
        <v>45606</v>
      </c>
      <c r="C504" s="179" t="s">
        <v>118</v>
      </c>
      <c r="D504" s="91" t="s">
        <v>490</v>
      </c>
      <c r="E504" s="93">
        <v>440.0</v>
      </c>
      <c r="F504" s="91" t="s">
        <v>428</v>
      </c>
      <c r="G504" s="90"/>
      <c r="H504" s="51"/>
      <c r="I504" s="51"/>
      <c r="J504" s="51"/>
      <c r="K504" s="51"/>
      <c r="L504" s="51"/>
      <c r="M504" s="51"/>
      <c r="N504" s="51"/>
      <c r="O504" s="51"/>
      <c r="P504" s="51"/>
      <c r="Q504" s="51"/>
    </row>
    <row r="505" ht="14.25" hidden="1" customHeight="1" outlineLevel="2">
      <c r="A505" s="191"/>
      <c r="B505" s="58"/>
      <c r="C505" s="179" t="s">
        <v>136</v>
      </c>
      <c r="D505" s="91" t="s">
        <v>413</v>
      </c>
      <c r="E505" s="93">
        <v>331.0</v>
      </c>
      <c r="F505" s="91" t="s">
        <v>826</v>
      </c>
      <c r="G505" s="90"/>
      <c r="H505" s="51"/>
      <c r="I505" s="51"/>
      <c r="J505" s="51"/>
      <c r="K505" s="51"/>
      <c r="L505" s="51"/>
      <c r="M505" s="51"/>
      <c r="N505" s="51"/>
      <c r="O505" s="51"/>
      <c r="P505" s="51"/>
      <c r="Q505" s="51"/>
    </row>
    <row r="506" ht="14.25" hidden="1" customHeight="1" outlineLevel="2">
      <c r="A506" s="190">
        <v>45607.0</v>
      </c>
      <c r="B506" s="97">
        <f t="shared" ref="B506:B512" si="86">A506</f>
        <v>45607</v>
      </c>
      <c r="C506" s="179" t="s">
        <v>118</v>
      </c>
      <c r="D506" s="91" t="s">
        <v>119</v>
      </c>
      <c r="E506" s="93">
        <v>150.0</v>
      </c>
      <c r="F506" s="91" t="s">
        <v>829</v>
      </c>
      <c r="G506" s="90"/>
      <c r="H506" s="51"/>
      <c r="I506" s="51"/>
      <c r="J506" s="51"/>
      <c r="K506" s="51"/>
      <c r="L506" s="51"/>
      <c r="M506" s="51"/>
      <c r="N506" s="51"/>
      <c r="O506" s="51"/>
      <c r="P506" s="51"/>
      <c r="Q506" s="51"/>
    </row>
    <row r="507" ht="14.25" hidden="1" customHeight="1" outlineLevel="2">
      <c r="A507" s="190">
        <v>45608.0</v>
      </c>
      <c r="B507" s="97">
        <f t="shared" si="86"/>
        <v>45608</v>
      </c>
      <c r="C507" s="179" t="s">
        <v>118</v>
      </c>
      <c r="D507" s="91" t="s">
        <v>236</v>
      </c>
      <c r="E507" s="93">
        <v>50.0</v>
      </c>
      <c r="F507" s="91" t="s">
        <v>830</v>
      </c>
      <c r="G507" s="90"/>
      <c r="H507" s="51"/>
      <c r="I507" s="51"/>
      <c r="J507" s="51"/>
      <c r="K507" s="51"/>
      <c r="L507" s="51"/>
      <c r="M507" s="51"/>
      <c r="N507" s="51"/>
      <c r="O507" s="51"/>
      <c r="P507" s="51"/>
      <c r="Q507" s="51"/>
    </row>
    <row r="508" ht="14.25" hidden="1" customHeight="1" outlineLevel="2">
      <c r="A508" s="190">
        <v>45609.0</v>
      </c>
      <c r="B508" s="97">
        <f t="shared" si="86"/>
        <v>45609</v>
      </c>
      <c r="C508" s="179" t="s">
        <v>118</v>
      </c>
      <c r="D508" s="91" t="s">
        <v>119</v>
      </c>
      <c r="E508" s="93">
        <v>108.0</v>
      </c>
      <c r="F508" s="91" t="s">
        <v>219</v>
      </c>
      <c r="G508" s="90"/>
      <c r="H508" s="51"/>
      <c r="I508" s="51"/>
      <c r="J508" s="51"/>
      <c r="K508" s="51"/>
      <c r="L508" s="51"/>
      <c r="M508" s="51"/>
      <c r="N508" s="51"/>
      <c r="O508" s="51"/>
      <c r="P508" s="51"/>
      <c r="Q508" s="51"/>
    </row>
    <row r="509" ht="14.25" hidden="1" customHeight="1" outlineLevel="2">
      <c r="A509" s="190">
        <v>45610.0</v>
      </c>
      <c r="B509" s="97">
        <f t="shared" si="86"/>
        <v>45610</v>
      </c>
      <c r="C509" s="179" t="s">
        <v>118</v>
      </c>
      <c r="D509" s="91" t="s">
        <v>119</v>
      </c>
      <c r="E509" s="93">
        <v>78.0</v>
      </c>
      <c r="F509" s="91" t="s">
        <v>257</v>
      </c>
      <c r="G509" s="90"/>
      <c r="H509" s="51"/>
      <c r="I509" s="51"/>
      <c r="J509" s="51"/>
      <c r="K509" s="51"/>
      <c r="L509" s="51"/>
      <c r="M509" s="51"/>
      <c r="N509" s="51"/>
      <c r="O509" s="51"/>
      <c r="P509" s="51"/>
      <c r="Q509" s="51"/>
    </row>
    <row r="510" ht="14.25" hidden="1" customHeight="1" outlineLevel="2">
      <c r="A510" s="190">
        <v>45611.0</v>
      </c>
      <c r="B510" s="97">
        <f t="shared" si="86"/>
        <v>45611</v>
      </c>
      <c r="C510" s="179" t="s">
        <v>118</v>
      </c>
      <c r="D510" s="91" t="s">
        <v>437</v>
      </c>
      <c r="E510" s="93">
        <v>450.0</v>
      </c>
      <c r="F510" s="91" t="s">
        <v>832</v>
      </c>
      <c r="G510" s="91" t="s">
        <v>833</v>
      </c>
      <c r="H510" s="51"/>
      <c r="I510" s="51"/>
      <c r="J510" s="51"/>
      <c r="K510" s="51"/>
      <c r="L510" s="51"/>
      <c r="M510" s="51"/>
      <c r="N510" s="51"/>
      <c r="O510" s="51"/>
      <c r="P510" s="51"/>
      <c r="Q510" s="51"/>
    </row>
    <row r="511" ht="14.25" hidden="1" customHeight="1" outlineLevel="2">
      <c r="A511" s="190">
        <v>45612.0</v>
      </c>
      <c r="B511" s="97">
        <f t="shared" si="86"/>
        <v>45612</v>
      </c>
      <c r="C511" s="179" t="s">
        <v>118</v>
      </c>
      <c r="D511" s="91" t="s">
        <v>119</v>
      </c>
      <c r="E511" s="93">
        <v>236.0</v>
      </c>
      <c r="F511" s="91" t="s">
        <v>617</v>
      </c>
      <c r="G511" s="90"/>
      <c r="H511" s="51"/>
      <c r="I511" s="51"/>
      <c r="J511" s="51"/>
      <c r="K511" s="51"/>
      <c r="L511" s="51"/>
      <c r="M511" s="51"/>
      <c r="N511" s="51"/>
      <c r="O511" s="51"/>
      <c r="P511" s="51"/>
      <c r="Q511" s="51"/>
    </row>
    <row r="512" ht="14.25" hidden="1" customHeight="1" outlineLevel="2">
      <c r="A512" s="190">
        <v>45613.0</v>
      </c>
      <c r="B512" s="97">
        <f t="shared" si="86"/>
        <v>45613</v>
      </c>
      <c r="C512" s="179" t="s">
        <v>118</v>
      </c>
      <c r="D512" s="91" t="s">
        <v>490</v>
      </c>
      <c r="E512" s="93">
        <v>500.0</v>
      </c>
      <c r="F512" s="91" t="s">
        <v>835</v>
      </c>
      <c r="G512" s="90"/>
      <c r="H512" s="51"/>
      <c r="I512" s="51"/>
      <c r="J512" s="51"/>
      <c r="K512" s="51"/>
      <c r="L512" s="51"/>
      <c r="M512" s="51"/>
      <c r="N512" s="51"/>
      <c r="O512" s="51"/>
      <c r="P512" s="51"/>
      <c r="Q512" s="51"/>
    </row>
    <row r="513" ht="14.25" hidden="1" customHeight="1" outlineLevel="2">
      <c r="A513" s="191"/>
      <c r="B513" s="58"/>
      <c r="C513" s="179" t="s">
        <v>836</v>
      </c>
      <c r="D513" s="91" t="s">
        <v>822</v>
      </c>
      <c r="E513" s="93">
        <v>211.0</v>
      </c>
      <c r="F513" s="91" t="s">
        <v>837</v>
      </c>
      <c r="G513" s="91" t="s">
        <v>838</v>
      </c>
      <c r="H513" s="51"/>
      <c r="I513" s="51"/>
      <c r="J513" s="51"/>
      <c r="K513" s="51"/>
      <c r="L513" s="51"/>
      <c r="M513" s="51"/>
      <c r="N513" s="51"/>
      <c r="O513" s="51"/>
      <c r="P513" s="51"/>
      <c r="Q513" s="51"/>
    </row>
    <row r="514" ht="14.25" hidden="1" customHeight="1" outlineLevel="2">
      <c r="A514" s="191"/>
      <c r="B514" s="58"/>
      <c r="C514" s="179" t="s">
        <v>136</v>
      </c>
      <c r="D514" s="91" t="s">
        <v>413</v>
      </c>
      <c r="E514" s="93">
        <v>650.0</v>
      </c>
      <c r="F514" s="91" t="s">
        <v>607</v>
      </c>
      <c r="G514" s="90"/>
      <c r="H514" s="51"/>
      <c r="I514" s="51"/>
      <c r="J514" s="51"/>
      <c r="K514" s="51"/>
      <c r="L514" s="51"/>
      <c r="M514" s="51"/>
      <c r="N514" s="51"/>
      <c r="O514" s="51"/>
      <c r="P514" s="51"/>
      <c r="Q514" s="51"/>
    </row>
    <row r="515" ht="14.25" hidden="1" customHeight="1" outlineLevel="2">
      <c r="A515" s="190">
        <v>45614.0</v>
      </c>
      <c r="B515" s="97">
        <f t="shared" ref="B515:B521" si="87">A515</f>
        <v>45614</v>
      </c>
      <c r="C515" s="179" t="s">
        <v>118</v>
      </c>
      <c r="D515" s="91" t="s">
        <v>119</v>
      </c>
      <c r="E515" s="93">
        <v>100.0</v>
      </c>
      <c r="F515" s="91" t="s">
        <v>303</v>
      </c>
      <c r="G515" s="90"/>
      <c r="H515" s="51"/>
      <c r="I515" s="51"/>
      <c r="J515" s="51"/>
      <c r="K515" s="51"/>
      <c r="L515" s="51"/>
      <c r="M515" s="51"/>
      <c r="N515" s="51"/>
      <c r="O515" s="51"/>
      <c r="P515" s="51"/>
      <c r="Q515" s="51"/>
    </row>
    <row r="516" ht="14.25" hidden="1" customHeight="1" outlineLevel="2">
      <c r="A516" s="190">
        <v>45615.0</v>
      </c>
      <c r="B516" s="97">
        <f t="shared" si="87"/>
        <v>45615</v>
      </c>
      <c r="C516" s="179" t="s">
        <v>118</v>
      </c>
      <c r="D516" s="91" t="s">
        <v>236</v>
      </c>
      <c r="E516" s="93">
        <v>80.0</v>
      </c>
      <c r="F516" s="91" t="s">
        <v>839</v>
      </c>
      <c r="G516" s="90"/>
      <c r="H516" s="51"/>
      <c r="I516" s="51"/>
      <c r="J516" s="51"/>
      <c r="K516" s="51"/>
      <c r="L516" s="51"/>
      <c r="M516" s="51"/>
      <c r="N516" s="51"/>
      <c r="O516" s="51"/>
      <c r="P516" s="51"/>
      <c r="Q516" s="51"/>
    </row>
    <row r="517" ht="14.25" hidden="1" customHeight="1" outlineLevel="2">
      <c r="A517" s="190">
        <v>45616.0</v>
      </c>
      <c r="B517" s="97">
        <f t="shared" si="87"/>
        <v>45616</v>
      </c>
      <c r="C517" s="179" t="s">
        <v>118</v>
      </c>
      <c r="D517" s="91" t="s">
        <v>119</v>
      </c>
      <c r="E517" s="93">
        <v>79.0</v>
      </c>
      <c r="F517" s="91" t="s">
        <v>533</v>
      </c>
      <c r="G517" s="90"/>
      <c r="H517" s="51"/>
      <c r="I517" s="51"/>
      <c r="J517" s="51"/>
      <c r="K517" s="51"/>
      <c r="L517" s="51"/>
      <c r="M517" s="51"/>
      <c r="N517" s="51"/>
      <c r="O517" s="51"/>
      <c r="P517" s="51"/>
      <c r="Q517" s="51"/>
    </row>
    <row r="518" ht="14.25" hidden="1" customHeight="1" outlineLevel="2">
      <c r="A518" s="190">
        <v>45617.0</v>
      </c>
      <c r="B518" s="97">
        <f t="shared" si="87"/>
        <v>45617</v>
      </c>
      <c r="C518" s="179" t="s">
        <v>118</v>
      </c>
      <c r="D518" s="91" t="s">
        <v>119</v>
      </c>
      <c r="E518" s="93">
        <v>75.0</v>
      </c>
      <c r="F518" s="91" t="s">
        <v>842</v>
      </c>
      <c r="G518" s="90"/>
      <c r="H518" s="51"/>
      <c r="I518" s="51"/>
      <c r="J518" s="51"/>
      <c r="K518" s="51"/>
      <c r="L518" s="51"/>
      <c r="M518" s="51"/>
      <c r="N518" s="51"/>
      <c r="O518" s="51"/>
      <c r="P518" s="51"/>
      <c r="Q518" s="51"/>
    </row>
    <row r="519" ht="14.25" hidden="1" customHeight="1" outlineLevel="2">
      <c r="A519" s="190">
        <v>45618.0</v>
      </c>
      <c r="B519" s="97">
        <f t="shared" si="87"/>
        <v>45618</v>
      </c>
      <c r="C519" s="179" t="s">
        <v>118</v>
      </c>
      <c r="D519" s="91" t="s">
        <v>236</v>
      </c>
      <c r="E519" s="93">
        <v>116.0</v>
      </c>
      <c r="F519" s="91" t="s">
        <v>560</v>
      </c>
      <c r="G519" s="90"/>
      <c r="H519" s="51"/>
      <c r="I519" s="51"/>
      <c r="J519" s="51"/>
      <c r="K519" s="51"/>
      <c r="L519" s="51"/>
      <c r="M519" s="51"/>
      <c r="N519" s="51"/>
      <c r="O519" s="51"/>
      <c r="P519" s="51"/>
      <c r="Q519" s="51"/>
    </row>
    <row r="520" ht="14.25" hidden="1" customHeight="1" outlineLevel="2">
      <c r="A520" s="190">
        <v>45619.0</v>
      </c>
      <c r="B520" s="97">
        <f t="shared" si="87"/>
        <v>45619</v>
      </c>
      <c r="C520" s="179" t="s">
        <v>118</v>
      </c>
      <c r="D520" s="91" t="s">
        <v>119</v>
      </c>
      <c r="E520" s="93">
        <v>70.0</v>
      </c>
      <c r="F520" s="91" t="s">
        <v>129</v>
      </c>
      <c r="G520" s="90"/>
      <c r="H520" s="51"/>
      <c r="I520" s="51"/>
      <c r="J520" s="51"/>
      <c r="K520" s="51"/>
      <c r="L520" s="51"/>
      <c r="M520" s="51"/>
      <c r="N520" s="51"/>
      <c r="O520" s="51"/>
      <c r="P520" s="51"/>
      <c r="Q520" s="51"/>
    </row>
    <row r="521" ht="14.25" hidden="1" customHeight="1" outlineLevel="2">
      <c r="A521" s="190">
        <v>45620.0</v>
      </c>
      <c r="B521" s="97">
        <f t="shared" si="87"/>
        <v>45620</v>
      </c>
      <c r="C521" s="179" t="s">
        <v>118</v>
      </c>
      <c r="D521" s="91" t="s">
        <v>490</v>
      </c>
      <c r="E521" s="93">
        <v>810.0</v>
      </c>
      <c r="F521" s="91" t="s">
        <v>845</v>
      </c>
      <c r="G521" s="90"/>
      <c r="H521" s="51"/>
      <c r="I521" s="51"/>
      <c r="J521" s="51"/>
      <c r="K521" s="51"/>
      <c r="L521" s="51"/>
      <c r="M521" s="51"/>
      <c r="N521" s="51"/>
      <c r="O521" s="51"/>
      <c r="P521" s="51"/>
      <c r="Q521" s="51"/>
    </row>
    <row r="522" ht="14.25" hidden="1" customHeight="1" outlineLevel="2">
      <c r="A522" s="191"/>
      <c r="B522" s="58"/>
      <c r="C522" s="179" t="s">
        <v>136</v>
      </c>
      <c r="D522" s="91" t="s">
        <v>820</v>
      </c>
      <c r="E522" s="93">
        <v>190.0</v>
      </c>
      <c r="F522" s="91" t="s">
        <v>846</v>
      </c>
      <c r="G522" s="90"/>
      <c r="H522" s="51"/>
      <c r="I522" s="51"/>
      <c r="J522" s="51"/>
      <c r="K522" s="51"/>
      <c r="L522" s="51"/>
      <c r="M522" s="51"/>
      <c r="N522" s="51"/>
      <c r="O522" s="51"/>
      <c r="P522" s="51"/>
      <c r="Q522" s="51"/>
    </row>
    <row r="523" ht="14.25" hidden="1" customHeight="1" outlineLevel="2">
      <c r="A523" s="190">
        <v>45621.0</v>
      </c>
      <c r="B523" s="97">
        <f t="shared" ref="B523:B528" si="88">A523</f>
        <v>45621</v>
      </c>
      <c r="C523" s="179" t="s">
        <v>118</v>
      </c>
      <c r="D523" s="91" t="s">
        <v>119</v>
      </c>
      <c r="E523" s="93">
        <v>100.0</v>
      </c>
      <c r="F523" s="91" t="s">
        <v>744</v>
      </c>
      <c r="G523" s="90"/>
      <c r="H523" s="51"/>
      <c r="I523" s="51"/>
      <c r="J523" s="51"/>
      <c r="K523" s="51"/>
      <c r="L523" s="51"/>
      <c r="M523" s="51"/>
      <c r="N523" s="51"/>
      <c r="O523" s="51"/>
      <c r="P523" s="51"/>
      <c r="Q523" s="51"/>
    </row>
    <row r="524" ht="14.25" hidden="1" customHeight="1" outlineLevel="2">
      <c r="A524" s="190">
        <v>45622.0</v>
      </c>
      <c r="B524" s="97">
        <f t="shared" si="88"/>
        <v>45622</v>
      </c>
      <c r="C524" s="179" t="s">
        <v>118</v>
      </c>
      <c r="D524" s="91" t="s">
        <v>119</v>
      </c>
      <c r="E524" s="93">
        <v>215.0</v>
      </c>
      <c r="F524" s="91" t="s">
        <v>847</v>
      </c>
      <c r="G524" s="90"/>
      <c r="H524" s="51"/>
      <c r="I524" s="51"/>
      <c r="J524" s="51"/>
      <c r="K524" s="51"/>
      <c r="L524" s="51"/>
      <c r="M524" s="51"/>
      <c r="N524" s="51"/>
      <c r="O524" s="51"/>
      <c r="P524" s="51"/>
      <c r="Q524" s="51"/>
    </row>
    <row r="525" ht="14.25" hidden="1" customHeight="1" outlineLevel="2">
      <c r="A525" s="190">
        <v>45623.0</v>
      </c>
      <c r="B525" s="97">
        <f t="shared" si="88"/>
        <v>45623</v>
      </c>
      <c r="C525" s="179" t="s">
        <v>118</v>
      </c>
      <c r="D525" s="91" t="s">
        <v>119</v>
      </c>
      <c r="E525" s="93">
        <v>109.0</v>
      </c>
      <c r="F525" s="91" t="s">
        <v>790</v>
      </c>
      <c r="G525" s="90"/>
      <c r="H525" s="51"/>
      <c r="I525" s="51"/>
      <c r="J525" s="51"/>
      <c r="K525" s="51"/>
      <c r="L525" s="51"/>
      <c r="M525" s="51"/>
      <c r="N525" s="51"/>
      <c r="O525" s="51"/>
      <c r="P525" s="51"/>
      <c r="Q525" s="51"/>
    </row>
    <row r="526" ht="14.25" hidden="1" customHeight="1" outlineLevel="2">
      <c r="A526" s="190">
        <v>45624.0</v>
      </c>
      <c r="B526" s="97">
        <f t="shared" si="88"/>
        <v>45624</v>
      </c>
      <c r="C526" s="179" t="s">
        <v>118</v>
      </c>
      <c r="D526" s="91" t="s">
        <v>119</v>
      </c>
      <c r="E526" s="93">
        <v>52.0</v>
      </c>
      <c r="F526" s="91" t="s">
        <v>205</v>
      </c>
      <c r="G526" s="90"/>
      <c r="H526" s="51"/>
      <c r="I526" s="51"/>
      <c r="J526" s="51"/>
      <c r="K526" s="51"/>
      <c r="L526" s="51"/>
      <c r="M526" s="51"/>
      <c r="N526" s="51"/>
      <c r="O526" s="51"/>
      <c r="P526" s="51"/>
      <c r="Q526" s="51"/>
    </row>
    <row r="527" ht="14.25" hidden="1" customHeight="1" outlineLevel="2">
      <c r="A527" s="190">
        <v>45625.0</v>
      </c>
      <c r="B527" s="97">
        <f t="shared" si="88"/>
        <v>45625</v>
      </c>
      <c r="C527" s="179" t="s">
        <v>118</v>
      </c>
      <c r="D527" s="91" t="s">
        <v>236</v>
      </c>
      <c r="E527" s="93">
        <v>74.0</v>
      </c>
      <c r="F527" s="91" t="s">
        <v>736</v>
      </c>
      <c r="G527" s="90"/>
      <c r="H527" s="51"/>
      <c r="I527" s="51"/>
      <c r="J527" s="51"/>
      <c r="K527" s="51"/>
      <c r="L527" s="51"/>
      <c r="M527" s="51"/>
      <c r="N527" s="51"/>
      <c r="O527" s="51"/>
      <c r="P527" s="51"/>
      <c r="Q527" s="51"/>
    </row>
    <row r="528" ht="14.25" hidden="1" customHeight="1" outlineLevel="2">
      <c r="A528" s="190">
        <v>45626.0</v>
      </c>
      <c r="B528" s="97">
        <f t="shared" si="88"/>
        <v>45626</v>
      </c>
      <c r="C528" s="179" t="s">
        <v>118</v>
      </c>
      <c r="D528" s="91" t="s">
        <v>119</v>
      </c>
      <c r="E528" s="93">
        <v>80.0</v>
      </c>
      <c r="F528" s="91" t="s">
        <v>683</v>
      </c>
      <c r="G528" s="90"/>
      <c r="H528" s="51"/>
      <c r="I528" s="51"/>
      <c r="J528" s="51"/>
      <c r="K528" s="51"/>
      <c r="L528" s="51"/>
      <c r="M528" s="51"/>
      <c r="N528" s="51"/>
      <c r="O528" s="51"/>
      <c r="P528" s="51"/>
      <c r="Q528" s="51"/>
    </row>
    <row r="529" ht="14.25" hidden="1" customHeight="1" outlineLevel="1">
      <c r="A529" s="117" t="s">
        <v>195</v>
      </c>
      <c r="B529" s="27"/>
      <c r="C529" s="27"/>
      <c r="D529" s="28"/>
      <c r="E529" s="262">
        <f>SUM(E492:E528)</f>
        <v>11075</v>
      </c>
      <c r="F529" s="119"/>
      <c r="G529" s="28"/>
      <c r="H529" s="51"/>
      <c r="I529" s="51"/>
      <c r="J529" s="51"/>
      <c r="K529" s="51"/>
      <c r="L529" s="51"/>
      <c r="M529" s="51"/>
      <c r="N529" s="51"/>
      <c r="O529" s="51"/>
      <c r="P529" s="51"/>
      <c r="Q529" s="51"/>
    </row>
    <row r="530" ht="14.25" hidden="1" customHeight="1" outlineLevel="1">
      <c r="A530" s="51"/>
      <c r="B530" s="51"/>
      <c r="C530" s="51"/>
      <c r="D530" s="51"/>
      <c r="E530" s="237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</row>
    <row r="531" ht="14.25" hidden="1" customHeight="1" outlineLevel="1" collapsed="1">
      <c r="A531" s="122" t="s">
        <v>849</v>
      </c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3"/>
    </row>
    <row r="532" ht="14.25" hidden="1" customHeight="1" outlineLevel="2">
      <c r="A532" s="70" t="s">
        <v>90</v>
      </c>
      <c r="I532" s="72" t="s">
        <v>91</v>
      </c>
      <c r="J532" s="73"/>
      <c r="K532" s="73"/>
      <c r="L532" s="74"/>
      <c r="N532" s="72" t="s">
        <v>95</v>
      </c>
      <c r="O532" s="73"/>
      <c r="P532" s="73"/>
      <c r="Q532" s="74"/>
    </row>
    <row r="533" ht="14.25" hidden="1" customHeight="1" outlineLevel="2">
      <c r="A533" s="81" t="s">
        <v>6</v>
      </c>
      <c r="B533" s="84" t="s">
        <v>103</v>
      </c>
      <c r="C533" s="81" t="s">
        <v>104</v>
      </c>
      <c r="D533" s="81" t="s">
        <v>107</v>
      </c>
      <c r="E533" s="81" t="s">
        <v>109</v>
      </c>
      <c r="F533" s="84" t="s">
        <v>110</v>
      </c>
      <c r="G533" s="81" t="s">
        <v>13</v>
      </c>
      <c r="H533" s="51"/>
      <c r="I533" s="81" t="s">
        <v>6</v>
      </c>
      <c r="J533" s="84" t="s">
        <v>115</v>
      </c>
      <c r="K533" s="84" t="s">
        <v>9</v>
      </c>
      <c r="L533" s="81" t="s">
        <v>13</v>
      </c>
      <c r="M533" s="51"/>
      <c r="N533" s="81" t="s">
        <v>6</v>
      </c>
      <c r="O533" s="84" t="s">
        <v>115</v>
      </c>
      <c r="P533" s="84" t="s">
        <v>9</v>
      </c>
      <c r="Q533" s="81" t="s">
        <v>13</v>
      </c>
    </row>
    <row r="534" ht="14.25" hidden="1" customHeight="1" outlineLevel="2">
      <c r="A534" s="102">
        <v>45627.0</v>
      </c>
      <c r="B534" s="97">
        <f>A534</f>
        <v>45627</v>
      </c>
      <c r="C534" s="129" t="s">
        <v>118</v>
      </c>
      <c r="D534" s="91" t="s">
        <v>490</v>
      </c>
      <c r="E534" s="93">
        <v>510.0</v>
      </c>
      <c r="F534" s="91" t="s">
        <v>141</v>
      </c>
      <c r="G534" s="90"/>
      <c r="H534" s="51"/>
      <c r="I534" s="86">
        <v>45627.0</v>
      </c>
      <c r="J534" s="88">
        <f t="shared" ref="J534:J537" si="89">I534</f>
        <v>45627</v>
      </c>
      <c r="K534" s="93">
        <v>43.4</v>
      </c>
      <c r="L534" s="90"/>
      <c r="M534" s="51"/>
      <c r="N534" s="94"/>
      <c r="O534" s="94"/>
      <c r="P534" s="93"/>
      <c r="Q534" s="91"/>
    </row>
    <row r="535" ht="14.25" hidden="1" customHeight="1" outlineLevel="2">
      <c r="A535" s="10"/>
      <c r="B535" s="10"/>
      <c r="C535" s="129" t="s">
        <v>136</v>
      </c>
      <c r="D535" s="91" t="s">
        <v>413</v>
      </c>
      <c r="E535" s="93">
        <v>420.0</v>
      </c>
      <c r="F535" s="91" t="s">
        <v>375</v>
      </c>
      <c r="G535" s="90"/>
      <c r="H535" s="51"/>
      <c r="I535" s="86">
        <v>45634.0</v>
      </c>
      <c r="J535" s="88">
        <f t="shared" si="89"/>
        <v>45634</v>
      </c>
      <c r="K535" s="93">
        <v>62.75</v>
      </c>
      <c r="L535" s="90"/>
      <c r="M535" s="51"/>
      <c r="N535" s="94"/>
      <c r="O535" s="94"/>
      <c r="P535" s="93"/>
      <c r="Q535" s="91"/>
    </row>
    <row r="536" ht="14.25" hidden="1" customHeight="1" outlineLevel="2">
      <c r="A536" s="125">
        <v>45628.0</v>
      </c>
      <c r="B536" s="126">
        <f t="shared" ref="B536:B542" si="90">A536</f>
        <v>45628</v>
      </c>
      <c r="C536" s="129" t="s">
        <v>118</v>
      </c>
      <c r="D536" s="91" t="s">
        <v>119</v>
      </c>
      <c r="E536" s="93">
        <v>40.0</v>
      </c>
      <c r="F536" s="91" t="s">
        <v>856</v>
      </c>
      <c r="G536" s="90"/>
      <c r="H536" s="51"/>
      <c r="I536" s="86">
        <v>45651.0</v>
      </c>
      <c r="J536" s="88">
        <f t="shared" si="89"/>
        <v>45651</v>
      </c>
      <c r="K536" s="93">
        <v>114.7</v>
      </c>
      <c r="L536" s="90"/>
      <c r="M536" s="51"/>
      <c r="N536" s="165" t="s">
        <v>195</v>
      </c>
      <c r="O536" s="165"/>
      <c r="P536" s="291">
        <f>SUM(P534:P535)</f>
        <v>0</v>
      </c>
      <c r="Q536" s="114"/>
    </row>
    <row r="537" ht="14.25" hidden="1" customHeight="1" outlineLevel="2">
      <c r="A537" s="125">
        <v>45629.0</v>
      </c>
      <c r="B537" s="126">
        <f t="shared" si="90"/>
        <v>45629</v>
      </c>
      <c r="C537" s="129" t="s">
        <v>118</v>
      </c>
      <c r="D537" s="91" t="s">
        <v>119</v>
      </c>
      <c r="E537" s="93">
        <v>50.0</v>
      </c>
      <c r="F537" s="91" t="s">
        <v>830</v>
      </c>
      <c r="G537" s="90"/>
      <c r="H537" s="51"/>
      <c r="I537" s="86">
        <v>45656.0</v>
      </c>
      <c r="J537" s="88">
        <f t="shared" si="89"/>
        <v>45656</v>
      </c>
      <c r="K537" s="93">
        <v>34.5</v>
      </c>
      <c r="L537" s="90"/>
      <c r="M537" s="51"/>
      <c r="N537" s="166"/>
      <c r="O537" s="167"/>
      <c r="P537" s="168"/>
      <c r="Q537" s="51"/>
    </row>
    <row r="538" ht="14.25" hidden="1" customHeight="1" outlineLevel="2">
      <c r="A538" s="125">
        <v>45630.0</v>
      </c>
      <c r="B538" s="126">
        <f t="shared" si="90"/>
        <v>45630</v>
      </c>
      <c r="C538" s="129" t="s">
        <v>118</v>
      </c>
      <c r="D538" s="242" t="s">
        <v>236</v>
      </c>
      <c r="E538" s="93">
        <v>42.0</v>
      </c>
      <c r="F538" s="242" t="s">
        <v>219</v>
      </c>
      <c r="G538" s="276"/>
      <c r="I538" s="86"/>
      <c r="J538" s="88"/>
      <c r="K538" s="93"/>
      <c r="L538" s="90"/>
      <c r="M538" s="51"/>
      <c r="N538" s="235" t="s">
        <v>344</v>
      </c>
      <c r="O538" s="27"/>
      <c r="P538" s="27"/>
      <c r="Q538" s="28"/>
    </row>
    <row r="539" ht="14.25" hidden="1" customHeight="1" outlineLevel="2">
      <c r="A539" s="125">
        <v>45631.0</v>
      </c>
      <c r="B539" s="126">
        <f t="shared" si="90"/>
        <v>45631</v>
      </c>
      <c r="C539" s="129" t="s">
        <v>118</v>
      </c>
      <c r="D539" s="91" t="s">
        <v>119</v>
      </c>
      <c r="E539" s="243">
        <v>50.0</v>
      </c>
      <c r="F539" s="242" t="s">
        <v>861</v>
      </c>
      <c r="G539" s="276"/>
      <c r="I539" s="86"/>
      <c r="J539" s="88"/>
      <c r="K539" s="92"/>
      <c r="L539" s="90"/>
      <c r="M539" s="51"/>
      <c r="N539" s="81" t="s">
        <v>6</v>
      </c>
      <c r="O539" s="84" t="s">
        <v>115</v>
      </c>
      <c r="P539" s="84" t="s">
        <v>9</v>
      </c>
      <c r="Q539" s="81" t="s">
        <v>13</v>
      </c>
    </row>
    <row r="540" ht="14.25" hidden="1" customHeight="1" outlineLevel="2">
      <c r="A540" s="125">
        <v>45632.0</v>
      </c>
      <c r="B540" s="126">
        <f t="shared" si="90"/>
        <v>45632</v>
      </c>
      <c r="C540" s="129" t="s">
        <v>118</v>
      </c>
      <c r="D540" s="242" t="s">
        <v>296</v>
      </c>
      <c r="E540" s="243">
        <v>164.0</v>
      </c>
      <c r="F540" s="242" t="s">
        <v>862</v>
      </c>
      <c r="G540" s="276"/>
      <c r="I540" s="86"/>
      <c r="J540" s="88"/>
      <c r="K540" s="92"/>
      <c r="L540" s="90"/>
      <c r="M540" s="51"/>
      <c r="N540" s="86"/>
      <c r="O540" s="88" t="str">
        <f>N540</f>
        <v/>
      </c>
      <c r="P540" s="93"/>
      <c r="Q540" s="90"/>
    </row>
    <row r="541" ht="14.25" hidden="1" customHeight="1" outlineLevel="2">
      <c r="A541" s="125">
        <v>45633.0</v>
      </c>
      <c r="B541" s="126">
        <f t="shared" si="90"/>
        <v>45633</v>
      </c>
      <c r="C541" s="129" t="s">
        <v>118</v>
      </c>
      <c r="D541" s="91" t="s">
        <v>119</v>
      </c>
      <c r="E541" s="243">
        <v>120.0</v>
      </c>
      <c r="F541" s="242" t="s">
        <v>580</v>
      </c>
      <c r="G541" s="276"/>
      <c r="I541" s="86"/>
      <c r="J541" s="88"/>
      <c r="K541" s="92"/>
      <c r="L541" s="90"/>
      <c r="M541" s="51"/>
      <c r="N541" s="86"/>
      <c r="O541" s="88"/>
      <c r="P541" s="92"/>
      <c r="Q541" s="90"/>
    </row>
    <row r="542" ht="14.25" hidden="1" customHeight="1" outlineLevel="2">
      <c r="A542" s="102">
        <v>45634.0</v>
      </c>
      <c r="B542" s="97">
        <f t="shared" si="90"/>
        <v>45634</v>
      </c>
      <c r="C542" s="179" t="s">
        <v>118</v>
      </c>
      <c r="D542" s="242" t="s">
        <v>863</v>
      </c>
      <c r="E542" s="243">
        <v>477.0</v>
      </c>
      <c r="F542" s="242" t="s">
        <v>428</v>
      </c>
      <c r="G542" s="276"/>
      <c r="I542" s="292"/>
      <c r="J542" s="293"/>
      <c r="K542" s="294"/>
      <c r="L542" s="90"/>
      <c r="M542" s="51"/>
      <c r="N542" s="94"/>
      <c r="O542" s="94"/>
      <c r="P542" s="294"/>
      <c r="Q542" s="90"/>
    </row>
    <row r="543" ht="14.25" hidden="1" customHeight="1" outlineLevel="2">
      <c r="A543" s="10"/>
      <c r="B543" s="10"/>
      <c r="C543" s="10"/>
      <c r="D543" s="242" t="s">
        <v>119</v>
      </c>
      <c r="E543" s="243">
        <v>455.0</v>
      </c>
      <c r="F543" s="242" t="s">
        <v>865</v>
      </c>
      <c r="G543" s="276"/>
      <c r="I543" s="108" t="s">
        <v>195</v>
      </c>
      <c r="J543" s="109"/>
      <c r="K543" s="113">
        <f>SUM(K534:K541)</f>
        <v>255.35</v>
      </c>
      <c r="L543" s="114"/>
      <c r="M543" s="51"/>
      <c r="N543" s="165" t="s">
        <v>195</v>
      </c>
      <c r="O543" s="165"/>
      <c r="P543" s="113">
        <f>SUM(P540:P541)</f>
        <v>0</v>
      </c>
      <c r="Q543" s="114"/>
    </row>
    <row r="544" ht="14.25" hidden="1" customHeight="1" outlineLevel="2">
      <c r="A544" s="125">
        <v>45635.0</v>
      </c>
      <c r="B544" s="126">
        <f t="shared" ref="B544:B546" si="91">A544</f>
        <v>45635</v>
      </c>
      <c r="C544" s="129" t="s">
        <v>118</v>
      </c>
      <c r="D544" s="242" t="s">
        <v>119</v>
      </c>
      <c r="E544" s="243">
        <v>34.0</v>
      </c>
      <c r="F544" s="242" t="s">
        <v>303</v>
      </c>
      <c r="G544" s="276"/>
    </row>
    <row r="545" ht="14.25" hidden="1" customHeight="1" outlineLevel="2">
      <c r="A545" s="125">
        <v>45636.0</v>
      </c>
      <c r="B545" s="126">
        <f t="shared" si="91"/>
        <v>45636</v>
      </c>
      <c r="C545" s="129" t="s">
        <v>118</v>
      </c>
      <c r="D545" s="242" t="s">
        <v>236</v>
      </c>
      <c r="E545" s="243">
        <v>25.0</v>
      </c>
      <c r="F545" s="242" t="s">
        <v>839</v>
      </c>
      <c r="G545" s="276"/>
    </row>
    <row r="546" ht="14.25" hidden="1" customHeight="1" outlineLevel="2">
      <c r="A546" s="102">
        <v>45637.0</v>
      </c>
      <c r="B546" s="97">
        <f t="shared" si="91"/>
        <v>45637</v>
      </c>
      <c r="C546" s="129" t="s">
        <v>118</v>
      </c>
      <c r="D546" s="242" t="s">
        <v>119</v>
      </c>
      <c r="E546" s="243">
        <v>140.0</v>
      </c>
      <c r="F546" s="242" t="s">
        <v>219</v>
      </c>
      <c r="G546" s="276"/>
    </row>
    <row r="547" ht="14.25" hidden="1" customHeight="1" outlineLevel="2">
      <c r="A547" s="10"/>
      <c r="B547" s="10"/>
      <c r="C547" s="129" t="s">
        <v>136</v>
      </c>
      <c r="D547" s="242" t="s">
        <v>413</v>
      </c>
      <c r="E547" s="243">
        <v>440.0</v>
      </c>
      <c r="F547" s="242" t="s">
        <v>580</v>
      </c>
      <c r="G547" s="276"/>
    </row>
    <row r="548" ht="14.25" hidden="1" customHeight="1" outlineLevel="2">
      <c r="A548" s="125">
        <v>45638.0</v>
      </c>
      <c r="B548" s="126">
        <f t="shared" ref="B548:B551" si="92">A548</f>
        <v>45638</v>
      </c>
      <c r="C548" s="129" t="s">
        <v>118</v>
      </c>
      <c r="D548" s="242" t="s">
        <v>210</v>
      </c>
      <c r="E548" s="243">
        <v>66.0</v>
      </c>
      <c r="F548" s="242" t="s">
        <v>295</v>
      </c>
      <c r="G548" s="276"/>
    </row>
    <row r="549" ht="14.25" hidden="1" customHeight="1" outlineLevel="2">
      <c r="A549" s="125">
        <v>45639.0</v>
      </c>
      <c r="B549" s="126">
        <f t="shared" si="92"/>
        <v>45639</v>
      </c>
      <c r="C549" s="129" t="s">
        <v>118</v>
      </c>
      <c r="D549" s="242" t="s">
        <v>236</v>
      </c>
      <c r="E549" s="243">
        <v>131.0</v>
      </c>
      <c r="F549" s="242" t="s">
        <v>257</v>
      </c>
      <c r="G549" s="276"/>
    </row>
    <row r="550" ht="14.25" hidden="1" customHeight="1" outlineLevel="2">
      <c r="A550" s="125">
        <v>45640.0</v>
      </c>
      <c r="B550" s="126">
        <f t="shared" si="92"/>
        <v>45640</v>
      </c>
      <c r="C550" s="129" t="s">
        <v>118</v>
      </c>
      <c r="D550" s="242" t="s">
        <v>119</v>
      </c>
      <c r="E550" s="243">
        <v>125.0</v>
      </c>
      <c r="F550" s="242" t="s">
        <v>871</v>
      </c>
      <c r="G550" s="276"/>
    </row>
    <row r="551" ht="14.25" hidden="1" customHeight="1" outlineLevel="2">
      <c r="A551" s="102">
        <v>45641.0</v>
      </c>
      <c r="B551" s="97">
        <f t="shared" si="92"/>
        <v>45641</v>
      </c>
      <c r="C551" s="179" t="s">
        <v>118</v>
      </c>
      <c r="D551" s="242" t="s">
        <v>210</v>
      </c>
      <c r="E551" s="243">
        <v>400.0</v>
      </c>
      <c r="F551" s="242" t="s">
        <v>560</v>
      </c>
      <c r="G551" s="242" t="s">
        <v>872</v>
      </c>
    </row>
    <row r="552" ht="14.25" hidden="1" customHeight="1" outlineLevel="2">
      <c r="A552" s="10"/>
      <c r="B552" s="10"/>
      <c r="C552" s="10"/>
      <c r="D552" s="242" t="s">
        <v>413</v>
      </c>
      <c r="E552" s="243">
        <v>622.0</v>
      </c>
      <c r="F552" s="242" t="s">
        <v>873</v>
      </c>
      <c r="G552" s="242" t="s">
        <v>872</v>
      </c>
    </row>
    <row r="553" ht="14.25" hidden="1" customHeight="1" outlineLevel="2">
      <c r="A553" s="125">
        <v>45642.0</v>
      </c>
      <c r="B553" s="126">
        <f t="shared" ref="B553:B559" si="93">A553</f>
        <v>45642</v>
      </c>
      <c r="C553" s="129" t="s">
        <v>118</v>
      </c>
      <c r="D553" s="242" t="s">
        <v>119</v>
      </c>
      <c r="E553" s="243">
        <v>44.0</v>
      </c>
      <c r="F553" s="242" t="s">
        <v>758</v>
      </c>
      <c r="G553" s="276"/>
    </row>
    <row r="554" ht="14.25" hidden="1" customHeight="1" outlineLevel="2">
      <c r="A554" s="125">
        <v>45643.0</v>
      </c>
      <c r="B554" s="126">
        <f t="shared" si="93"/>
        <v>45643</v>
      </c>
      <c r="C554" s="129" t="s">
        <v>118</v>
      </c>
      <c r="D554" s="242" t="s">
        <v>296</v>
      </c>
      <c r="E554" s="243">
        <v>80.0</v>
      </c>
      <c r="F554" s="242" t="s">
        <v>874</v>
      </c>
      <c r="G554" s="276"/>
    </row>
    <row r="555" ht="14.25" hidden="1" customHeight="1" outlineLevel="2">
      <c r="A555" s="125">
        <v>45644.0</v>
      </c>
      <c r="B555" s="126">
        <f t="shared" si="93"/>
        <v>45644</v>
      </c>
      <c r="C555" s="129" t="s">
        <v>118</v>
      </c>
      <c r="D555" s="242" t="s">
        <v>119</v>
      </c>
      <c r="E555" s="243">
        <v>85.0</v>
      </c>
      <c r="F555" s="242" t="s">
        <v>875</v>
      </c>
      <c r="G555" s="276"/>
    </row>
    <row r="556" ht="14.25" hidden="1" customHeight="1" outlineLevel="2">
      <c r="A556" s="125">
        <v>45645.0</v>
      </c>
      <c r="B556" s="126">
        <f t="shared" si="93"/>
        <v>45645</v>
      </c>
      <c r="C556" s="129" t="s">
        <v>118</v>
      </c>
      <c r="D556" s="242" t="s">
        <v>119</v>
      </c>
      <c r="E556" s="243">
        <v>178.0</v>
      </c>
      <c r="F556" s="242" t="s">
        <v>805</v>
      </c>
      <c r="G556" s="276"/>
    </row>
    <row r="557" ht="14.25" hidden="1" customHeight="1" outlineLevel="2">
      <c r="A557" s="125">
        <v>45646.0</v>
      </c>
      <c r="B557" s="126">
        <f t="shared" si="93"/>
        <v>45646</v>
      </c>
      <c r="C557" s="129" t="s">
        <v>118</v>
      </c>
      <c r="D557" s="242" t="s">
        <v>236</v>
      </c>
      <c r="E557" s="243">
        <v>54.0</v>
      </c>
      <c r="F557" s="242" t="s">
        <v>560</v>
      </c>
      <c r="G557" s="276"/>
    </row>
    <row r="558" ht="14.25" hidden="1" customHeight="1" outlineLevel="2">
      <c r="A558" s="125">
        <v>45647.0</v>
      </c>
      <c r="B558" s="126">
        <f t="shared" si="93"/>
        <v>45647</v>
      </c>
      <c r="C558" s="129" t="s">
        <v>118</v>
      </c>
      <c r="D558" s="242" t="s">
        <v>210</v>
      </c>
      <c r="E558" s="243">
        <v>79.0</v>
      </c>
      <c r="F558" s="242" t="s">
        <v>129</v>
      </c>
      <c r="G558" s="276"/>
    </row>
    <row r="559" ht="14.25" hidden="1" customHeight="1" outlineLevel="2">
      <c r="A559" s="102">
        <v>45648.0</v>
      </c>
      <c r="B559" s="97">
        <f t="shared" si="93"/>
        <v>45648</v>
      </c>
      <c r="C559" s="179" t="s">
        <v>118</v>
      </c>
      <c r="D559" s="242" t="s">
        <v>210</v>
      </c>
      <c r="E559" s="243">
        <v>515.0</v>
      </c>
      <c r="F559" s="242" t="s">
        <v>428</v>
      </c>
      <c r="G559" s="276"/>
    </row>
    <row r="560" ht="14.25" hidden="1" customHeight="1" outlineLevel="2">
      <c r="A560" s="10"/>
      <c r="B560" s="10"/>
      <c r="C560" s="10"/>
      <c r="D560" s="242" t="s">
        <v>342</v>
      </c>
      <c r="E560" s="243">
        <v>580.0</v>
      </c>
      <c r="F560" s="242" t="s">
        <v>579</v>
      </c>
      <c r="G560" s="276"/>
    </row>
    <row r="561" ht="14.25" hidden="1" customHeight="1" outlineLevel="2">
      <c r="A561" s="125">
        <v>45649.0</v>
      </c>
      <c r="B561" s="126">
        <f t="shared" ref="B561:B567" si="94">A561</f>
        <v>45649</v>
      </c>
      <c r="C561" s="129" t="s">
        <v>118</v>
      </c>
      <c r="D561" s="242" t="s">
        <v>119</v>
      </c>
      <c r="E561" s="243">
        <v>106.0</v>
      </c>
      <c r="F561" s="242" t="s">
        <v>842</v>
      </c>
      <c r="G561" s="276"/>
    </row>
    <row r="562" ht="14.25" hidden="1" customHeight="1" outlineLevel="2">
      <c r="A562" s="125">
        <v>45650.0</v>
      </c>
      <c r="B562" s="126">
        <f t="shared" si="94"/>
        <v>45650</v>
      </c>
      <c r="C562" s="129" t="s">
        <v>136</v>
      </c>
      <c r="D562" s="242" t="s">
        <v>490</v>
      </c>
      <c r="E562" s="243">
        <v>750.0</v>
      </c>
      <c r="F562" s="242" t="s">
        <v>674</v>
      </c>
      <c r="G562" s="242" t="s">
        <v>876</v>
      </c>
    </row>
    <row r="563" ht="14.25" hidden="1" customHeight="1" outlineLevel="2">
      <c r="A563" s="125">
        <v>45651.0</v>
      </c>
      <c r="B563" s="126">
        <f t="shared" si="94"/>
        <v>45651</v>
      </c>
      <c r="C563" s="129" t="s">
        <v>118</v>
      </c>
      <c r="D563" s="242" t="s">
        <v>490</v>
      </c>
      <c r="E563" s="243">
        <v>546.0</v>
      </c>
      <c r="F563" s="242" t="s">
        <v>683</v>
      </c>
      <c r="G563" s="242" t="s">
        <v>878</v>
      </c>
    </row>
    <row r="564" ht="14.25" hidden="1" customHeight="1" outlineLevel="2">
      <c r="A564" s="125">
        <v>45652.0</v>
      </c>
      <c r="B564" s="126">
        <f t="shared" si="94"/>
        <v>45652</v>
      </c>
      <c r="C564" s="129" t="s">
        <v>118</v>
      </c>
      <c r="D564" s="242" t="s">
        <v>119</v>
      </c>
      <c r="E564" s="243">
        <v>43.0</v>
      </c>
      <c r="F564" s="242" t="s">
        <v>879</v>
      </c>
      <c r="G564" s="276"/>
    </row>
    <row r="565" ht="14.25" hidden="1" customHeight="1" outlineLevel="2">
      <c r="A565" s="125">
        <v>45653.0</v>
      </c>
      <c r="B565" s="126">
        <f t="shared" si="94"/>
        <v>45653</v>
      </c>
      <c r="C565" s="129" t="s">
        <v>118</v>
      </c>
      <c r="D565" s="242" t="s">
        <v>236</v>
      </c>
      <c r="E565" s="243">
        <v>548.0</v>
      </c>
      <c r="F565" s="242" t="s">
        <v>880</v>
      </c>
      <c r="G565" s="276"/>
    </row>
    <row r="566" ht="14.25" hidden="1" customHeight="1" outlineLevel="2">
      <c r="A566" s="125">
        <v>45654.0</v>
      </c>
      <c r="B566" s="126">
        <f t="shared" si="94"/>
        <v>45654</v>
      </c>
      <c r="C566" s="129" t="s">
        <v>118</v>
      </c>
      <c r="D566" s="242" t="s">
        <v>119</v>
      </c>
      <c r="E566" s="243">
        <v>75.0</v>
      </c>
      <c r="F566" s="242" t="s">
        <v>881</v>
      </c>
      <c r="G566" s="276"/>
    </row>
    <row r="567" ht="14.25" hidden="1" customHeight="1" outlineLevel="2">
      <c r="A567" s="102">
        <v>45655.0</v>
      </c>
      <c r="B567" s="97">
        <f t="shared" si="94"/>
        <v>45655</v>
      </c>
      <c r="C567" s="129" t="s">
        <v>118</v>
      </c>
      <c r="D567" s="244"/>
      <c r="E567" s="243">
        <v>0.0</v>
      </c>
      <c r="F567" s="242" t="s">
        <v>883</v>
      </c>
      <c r="G567" s="277" t="s">
        <v>884</v>
      </c>
    </row>
    <row r="568" ht="14.25" hidden="1" customHeight="1" outlineLevel="2">
      <c r="A568" s="10"/>
      <c r="B568" s="10"/>
      <c r="C568" s="129" t="s">
        <v>118</v>
      </c>
      <c r="D568" s="242" t="s">
        <v>342</v>
      </c>
      <c r="E568" s="243">
        <v>510.0</v>
      </c>
      <c r="F568" s="242" t="s">
        <v>554</v>
      </c>
      <c r="G568" s="277"/>
    </row>
    <row r="569" ht="14.25" hidden="1" customHeight="1" outlineLevel="2">
      <c r="A569" s="125">
        <v>45656.0</v>
      </c>
      <c r="B569" s="126">
        <f t="shared" ref="B569:B570" si="95">A569</f>
        <v>45656</v>
      </c>
      <c r="C569" s="129" t="s">
        <v>118</v>
      </c>
      <c r="D569" s="242" t="s">
        <v>119</v>
      </c>
      <c r="E569" s="243">
        <v>55.0</v>
      </c>
      <c r="F569" s="242" t="s">
        <v>885</v>
      </c>
      <c r="G569" s="276"/>
    </row>
    <row r="570" ht="14.25" hidden="1" customHeight="1" outlineLevel="2">
      <c r="A570" s="125">
        <v>45657.0</v>
      </c>
      <c r="B570" s="126">
        <f t="shared" si="95"/>
        <v>45657</v>
      </c>
      <c r="C570" s="129" t="s">
        <v>118</v>
      </c>
      <c r="D570" s="242" t="s">
        <v>236</v>
      </c>
      <c r="E570" s="243">
        <v>86.0</v>
      </c>
      <c r="F570" s="242" t="s">
        <v>886</v>
      </c>
      <c r="G570" s="276"/>
    </row>
    <row r="571" ht="14.25" hidden="1" customHeight="1" outlineLevel="1">
      <c r="A571" s="117" t="s">
        <v>195</v>
      </c>
      <c r="B571" s="27"/>
      <c r="C571" s="27"/>
      <c r="D571" s="28"/>
      <c r="E571" s="262">
        <f>SUM(E534:E570)</f>
        <v>8645</v>
      </c>
      <c r="F571" s="119"/>
      <c r="G571" s="28"/>
    </row>
    <row r="572" ht="14.25" customHeight="1"/>
    <row r="573" ht="14.25" customHeight="1" collapsed="1">
      <c r="A573" s="122" t="s">
        <v>888</v>
      </c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3"/>
    </row>
    <row r="574" ht="14.25" hidden="1" customHeight="1" outlineLevel="2">
      <c r="A574" s="70" t="s">
        <v>90</v>
      </c>
      <c r="I574" s="72" t="s">
        <v>91</v>
      </c>
      <c r="J574" s="73"/>
      <c r="K574" s="73"/>
      <c r="L574" s="74"/>
      <c r="N574" s="72" t="s">
        <v>95</v>
      </c>
      <c r="O574" s="73"/>
      <c r="P574" s="73"/>
      <c r="Q574" s="74"/>
    </row>
    <row r="575" ht="14.25" hidden="1" customHeight="1" outlineLevel="2">
      <c r="A575" s="81" t="s">
        <v>6</v>
      </c>
      <c r="B575" s="84" t="s">
        <v>103</v>
      </c>
      <c r="C575" s="81" t="s">
        <v>104</v>
      </c>
      <c r="D575" s="81" t="s">
        <v>107</v>
      </c>
      <c r="E575" s="81" t="s">
        <v>109</v>
      </c>
      <c r="F575" s="84" t="s">
        <v>110</v>
      </c>
      <c r="G575" s="81" t="s">
        <v>13</v>
      </c>
      <c r="H575" s="51"/>
      <c r="I575" s="81" t="s">
        <v>6</v>
      </c>
      <c r="J575" s="84" t="s">
        <v>115</v>
      </c>
      <c r="K575" s="84" t="s">
        <v>9</v>
      </c>
      <c r="L575" s="81" t="s">
        <v>13</v>
      </c>
      <c r="M575" s="51"/>
      <c r="N575" s="81" t="s">
        <v>6</v>
      </c>
      <c r="O575" s="84" t="s">
        <v>115</v>
      </c>
      <c r="P575" s="84" t="s">
        <v>9</v>
      </c>
      <c r="Q575" s="81" t="s">
        <v>13</v>
      </c>
    </row>
    <row r="576" ht="14.25" hidden="1" customHeight="1" outlineLevel="2">
      <c r="A576" s="125">
        <v>45658.0</v>
      </c>
      <c r="B576" s="126">
        <f t="shared" ref="B576:B580" si="96">A576</f>
        <v>45658</v>
      </c>
      <c r="C576" s="129" t="s">
        <v>136</v>
      </c>
      <c r="D576" s="91" t="s">
        <v>490</v>
      </c>
      <c r="E576" s="93">
        <v>370.0</v>
      </c>
      <c r="F576" s="91" t="s">
        <v>505</v>
      </c>
      <c r="G576" s="90"/>
      <c r="H576" s="51"/>
      <c r="I576" s="86">
        <v>45663.0</v>
      </c>
      <c r="J576" s="88">
        <f t="shared" ref="J576:J578" si="97">I576</f>
        <v>45663</v>
      </c>
      <c r="K576" s="93">
        <v>20.85</v>
      </c>
      <c r="L576" s="90"/>
      <c r="M576" s="51"/>
      <c r="N576" s="94"/>
      <c r="O576" s="94"/>
      <c r="P576" s="93"/>
      <c r="Q576" s="91"/>
    </row>
    <row r="577" ht="14.25" hidden="1" customHeight="1" outlineLevel="2">
      <c r="A577" s="125">
        <v>45659.0</v>
      </c>
      <c r="B577" s="126">
        <f t="shared" si="96"/>
        <v>45659</v>
      </c>
      <c r="C577" s="129" t="s">
        <v>118</v>
      </c>
      <c r="D577" s="91" t="s">
        <v>119</v>
      </c>
      <c r="E577" s="93">
        <v>7.0</v>
      </c>
      <c r="F577" s="91" t="s">
        <v>891</v>
      </c>
      <c r="G577" s="90"/>
      <c r="H577" s="51"/>
      <c r="I577" s="86">
        <v>45666.0</v>
      </c>
      <c r="J577" s="88">
        <f t="shared" si="97"/>
        <v>45666</v>
      </c>
      <c r="K577" s="93">
        <v>70.0</v>
      </c>
      <c r="L577" s="90"/>
      <c r="M577" s="51"/>
      <c r="N577" s="165" t="s">
        <v>195</v>
      </c>
      <c r="O577" s="165"/>
      <c r="P577" s="291">
        <f>SUM(P576)</f>
        <v>0</v>
      </c>
      <c r="Q577" s="114"/>
    </row>
    <row r="578" ht="14.25" hidden="1" customHeight="1" outlineLevel="2">
      <c r="A578" s="125">
        <v>45660.0</v>
      </c>
      <c r="B578" s="126">
        <f t="shared" si="96"/>
        <v>45660</v>
      </c>
      <c r="C578" s="129" t="s">
        <v>118</v>
      </c>
      <c r="D578" s="91" t="s">
        <v>296</v>
      </c>
      <c r="E578" s="93">
        <v>126.0</v>
      </c>
      <c r="F578" s="91" t="s">
        <v>894</v>
      </c>
      <c r="G578" s="90"/>
      <c r="H578" s="51"/>
      <c r="I578" s="86">
        <v>45676.0</v>
      </c>
      <c r="J578" s="88">
        <f t="shared" si="97"/>
        <v>45676</v>
      </c>
      <c r="K578" s="93">
        <v>213.35</v>
      </c>
      <c r="L578" s="90"/>
      <c r="M578" s="51"/>
      <c r="N578" s="166"/>
      <c r="O578" s="167"/>
      <c r="P578" s="168"/>
      <c r="Q578" s="51"/>
    </row>
    <row r="579" ht="14.25" hidden="1" customHeight="1" outlineLevel="2">
      <c r="A579" s="125">
        <v>45661.0</v>
      </c>
      <c r="B579" s="126">
        <f t="shared" si="96"/>
        <v>45661</v>
      </c>
      <c r="C579" s="129" t="s">
        <v>118</v>
      </c>
      <c r="D579" s="242" t="s">
        <v>119</v>
      </c>
      <c r="E579" s="93">
        <v>135.0</v>
      </c>
      <c r="F579" s="242" t="s">
        <v>579</v>
      </c>
      <c r="G579" s="276"/>
      <c r="I579" s="86"/>
      <c r="J579" s="88"/>
      <c r="K579" s="93"/>
      <c r="L579" s="90"/>
      <c r="M579" s="51"/>
      <c r="N579" s="235" t="s">
        <v>344</v>
      </c>
      <c r="O579" s="27"/>
      <c r="P579" s="27"/>
      <c r="Q579" s="28"/>
    </row>
    <row r="580" ht="14.25" hidden="1" customHeight="1" outlineLevel="2">
      <c r="A580" s="102">
        <v>45662.0</v>
      </c>
      <c r="B580" s="97">
        <f t="shared" si="96"/>
        <v>45662</v>
      </c>
      <c r="C580" s="129" t="s">
        <v>118</v>
      </c>
      <c r="D580" s="91" t="s">
        <v>490</v>
      </c>
      <c r="E580" s="243">
        <v>385.0</v>
      </c>
      <c r="F580" s="242" t="s">
        <v>897</v>
      </c>
      <c r="G580" s="276"/>
      <c r="I580" s="86"/>
      <c r="J580" s="88"/>
      <c r="K580" s="92"/>
      <c r="L580" s="90"/>
      <c r="M580" s="51"/>
      <c r="N580" s="81" t="s">
        <v>6</v>
      </c>
      <c r="O580" s="84" t="s">
        <v>115</v>
      </c>
      <c r="P580" s="84" t="s">
        <v>9</v>
      </c>
      <c r="Q580" s="81" t="s">
        <v>13</v>
      </c>
    </row>
    <row r="581" ht="14.25" hidden="1" customHeight="1" outlineLevel="2">
      <c r="A581" s="10"/>
      <c r="B581" s="10"/>
      <c r="C581" s="129" t="s">
        <v>136</v>
      </c>
      <c r="D581" s="91" t="s">
        <v>413</v>
      </c>
      <c r="E581" s="243">
        <v>650.0</v>
      </c>
      <c r="F581" s="242" t="s">
        <v>579</v>
      </c>
      <c r="G581" s="276"/>
      <c r="I581" s="86"/>
      <c r="J581" s="88"/>
      <c r="K581" s="92"/>
      <c r="L581" s="90"/>
      <c r="M581" s="51"/>
      <c r="N581" s="86"/>
      <c r="O581" s="88" t="str">
        <f>N581</f>
        <v/>
      </c>
      <c r="P581" s="93"/>
      <c r="Q581" s="90"/>
    </row>
    <row r="582" ht="14.25" hidden="1" customHeight="1" outlineLevel="2">
      <c r="A582" s="125">
        <v>45663.0</v>
      </c>
      <c r="B582" s="126">
        <f t="shared" ref="B582:B585" si="98">A582</f>
        <v>45663</v>
      </c>
      <c r="C582" s="129" t="s">
        <v>118</v>
      </c>
      <c r="D582" s="242" t="s">
        <v>119</v>
      </c>
      <c r="E582" s="243">
        <v>65.0</v>
      </c>
      <c r="F582" s="242" t="s">
        <v>899</v>
      </c>
      <c r="G582" s="276"/>
      <c r="I582" s="86"/>
      <c r="J582" s="88"/>
      <c r="K582" s="92"/>
      <c r="L582" s="90"/>
      <c r="M582" s="51"/>
      <c r="N582" s="86"/>
      <c r="O582" s="88"/>
      <c r="P582" s="92"/>
      <c r="Q582" s="90"/>
    </row>
    <row r="583" ht="14.25" hidden="1" customHeight="1" outlineLevel="2">
      <c r="A583" s="125">
        <v>45664.0</v>
      </c>
      <c r="B583" s="126">
        <f t="shared" si="98"/>
        <v>45664</v>
      </c>
      <c r="C583" s="129" t="s">
        <v>118</v>
      </c>
      <c r="D583" s="91" t="s">
        <v>236</v>
      </c>
      <c r="E583" s="243">
        <v>53.0</v>
      </c>
      <c r="F583" s="242" t="s">
        <v>830</v>
      </c>
      <c r="G583" s="276"/>
      <c r="I583" s="86"/>
      <c r="J583" s="88"/>
      <c r="K583" s="92"/>
      <c r="L583" s="90"/>
      <c r="M583" s="51"/>
      <c r="N583" s="94"/>
      <c r="O583" s="94"/>
      <c r="P583" s="294"/>
      <c r="Q583" s="90"/>
    </row>
    <row r="584" ht="14.25" hidden="1" customHeight="1" outlineLevel="2">
      <c r="A584" s="125">
        <v>45665.0</v>
      </c>
      <c r="B584" s="126">
        <f t="shared" si="98"/>
        <v>45665</v>
      </c>
      <c r="C584" s="129" t="s">
        <v>118</v>
      </c>
      <c r="D584" s="242" t="s">
        <v>119</v>
      </c>
      <c r="E584" s="243">
        <v>29.0</v>
      </c>
      <c r="F584" s="242" t="s">
        <v>219</v>
      </c>
      <c r="G584" s="276"/>
      <c r="I584" s="108" t="s">
        <v>195</v>
      </c>
      <c r="J584" s="109"/>
      <c r="K584" s="113">
        <f>SUM(K576:K583)</f>
        <v>304.2</v>
      </c>
      <c r="L584" s="114"/>
      <c r="M584" s="51"/>
      <c r="N584" s="165" t="s">
        <v>195</v>
      </c>
      <c r="O584" s="165"/>
      <c r="P584" s="113">
        <f>SUM(P581:P582)</f>
        <v>0</v>
      </c>
      <c r="Q584" s="114"/>
    </row>
    <row r="585" ht="14.25" hidden="1" customHeight="1" outlineLevel="2">
      <c r="A585" s="102">
        <v>45666.0</v>
      </c>
      <c r="B585" s="97">
        <f t="shared" si="98"/>
        <v>45666</v>
      </c>
      <c r="C585" s="129" t="s">
        <v>118</v>
      </c>
      <c r="D585" s="242" t="s">
        <v>119</v>
      </c>
      <c r="E585" s="243">
        <v>110.0</v>
      </c>
      <c r="F585" s="242" t="s">
        <v>122</v>
      </c>
      <c r="G585" s="276"/>
      <c r="M585" s="51"/>
    </row>
    <row r="586" ht="14.25" hidden="1" customHeight="1" outlineLevel="2">
      <c r="A586" s="10"/>
      <c r="B586" s="10"/>
      <c r="C586" s="129" t="s">
        <v>136</v>
      </c>
      <c r="D586" s="242" t="s">
        <v>901</v>
      </c>
      <c r="E586" s="243">
        <v>161.0</v>
      </c>
      <c r="F586" s="242" t="s">
        <v>507</v>
      </c>
      <c r="G586" s="242" t="s">
        <v>902</v>
      </c>
    </row>
    <row r="587" ht="14.25" hidden="1" customHeight="1" outlineLevel="2">
      <c r="A587" s="125">
        <v>45667.0</v>
      </c>
      <c r="B587" s="126">
        <f t="shared" ref="B587:B589" si="99">A587</f>
        <v>45667</v>
      </c>
      <c r="C587" s="129" t="s">
        <v>118</v>
      </c>
      <c r="D587" s="242" t="s">
        <v>236</v>
      </c>
      <c r="E587" s="243">
        <v>126.0</v>
      </c>
      <c r="F587" s="242" t="s">
        <v>654</v>
      </c>
      <c r="G587" s="276"/>
    </row>
    <row r="588" ht="14.25" hidden="1" customHeight="1" outlineLevel="2">
      <c r="A588" s="125">
        <v>45668.0</v>
      </c>
      <c r="B588" s="126">
        <f t="shared" si="99"/>
        <v>45668</v>
      </c>
      <c r="C588" s="129" t="s">
        <v>118</v>
      </c>
      <c r="D588" s="242" t="s">
        <v>119</v>
      </c>
      <c r="E588" s="243">
        <v>150.0</v>
      </c>
      <c r="F588" s="242" t="s">
        <v>904</v>
      </c>
      <c r="G588" s="276"/>
    </row>
    <row r="589" ht="14.25" hidden="1" customHeight="1" outlineLevel="2">
      <c r="A589" s="102">
        <v>45669.0</v>
      </c>
      <c r="B589" s="97">
        <f t="shared" si="99"/>
        <v>45669</v>
      </c>
      <c r="C589" s="129" t="s">
        <v>118</v>
      </c>
      <c r="D589" s="242" t="s">
        <v>490</v>
      </c>
      <c r="E589" s="243">
        <v>464.0</v>
      </c>
      <c r="F589" s="242" t="s">
        <v>907</v>
      </c>
      <c r="G589" s="276"/>
    </row>
    <row r="590" ht="14.25" hidden="1" customHeight="1" outlineLevel="2">
      <c r="A590" s="10"/>
      <c r="B590" s="10"/>
      <c r="C590" s="129" t="s">
        <v>136</v>
      </c>
      <c r="D590" s="242" t="s">
        <v>342</v>
      </c>
      <c r="E590" s="243">
        <v>508.0</v>
      </c>
      <c r="F590" s="242" t="s">
        <v>908</v>
      </c>
      <c r="G590" s="276"/>
    </row>
    <row r="591" ht="14.25" hidden="1" customHeight="1" outlineLevel="2">
      <c r="A591" s="125">
        <v>45670.0</v>
      </c>
      <c r="B591" s="126">
        <f t="shared" ref="B591:B597" si="100">A591</f>
        <v>45670</v>
      </c>
      <c r="C591" s="129" t="s">
        <v>118</v>
      </c>
      <c r="D591" s="242" t="s">
        <v>119</v>
      </c>
      <c r="E591" s="243">
        <v>73.0</v>
      </c>
      <c r="F591" s="242" t="s">
        <v>909</v>
      </c>
      <c r="G591" s="276"/>
    </row>
    <row r="592" ht="14.25" hidden="1" customHeight="1" outlineLevel="2">
      <c r="A592" s="125">
        <v>45671.0</v>
      </c>
      <c r="B592" s="126">
        <f t="shared" si="100"/>
        <v>45671</v>
      </c>
      <c r="C592" s="129" t="s">
        <v>118</v>
      </c>
      <c r="D592" s="242" t="s">
        <v>236</v>
      </c>
      <c r="E592" s="243">
        <v>52.0</v>
      </c>
      <c r="F592" s="242" t="s">
        <v>910</v>
      </c>
      <c r="G592" s="276"/>
    </row>
    <row r="593" ht="14.25" hidden="1" customHeight="1" outlineLevel="2">
      <c r="A593" s="125">
        <v>45672.0</v>
      </c>
      <c r="B593" s="126">
        <f t="shared" si="100"/>
        <v>45672</v>
      </c>
      <c r="C593" s="129" t="s">
        <v>118</v>
      </c>
      <c r="D593" s="242" t="s">
        <v>119</v>
      </c>
      <c r="E593" s="243">
        <v>85.0</v>
      </c>
      <c r="F593" s="242" t="s">
        <v>911</v>
      </c>
      <c r="G593" s="276"/>
    </row>
    <row r="594" ht="14.25" hidden="1" customHeight="1" outlineLevel="2">
      <c r="A594" s="125">
        <v>45673.0</v>
      </c>
      <c r="B594" s="126">
        <f t="shared" si="100"/>
        <v>45673</v>
      </c>
      <c r="C594" s="129" t="s">
        <v>118</v>
      </c>
      <c r="D594" s="242" t="s">
        <v>119</v>
      </c>
      <c r="E594" s="243">
        <v>122.0</v>
      </c>
      <c r="F594" s="242"/>
      <c r="G594" s="276"/>
    </row>
    <row r="595" ht="14.25" hidden="1" customHeight="1" outlineLevel="2">
      <c r="A595" s="125">
        <v>45674.0</v>
      </c>
      <c r="B595" s="126">
        <f t="shared" si="100"/>
        <v>45674</v>
      </c>
      <c r="C595" s="129" t="s">
        <v>118</v>
      </c>
      <c r="D595" s="242" t="s">
        <v>236</v>
      </c>
      <c r="E595" s="243">
        <v>165.0</v>
      </c>
      <c r="F595" s="242" t="s">
        <v>699</v>
      </c>
      <c r="G595" s="276"/>
    </row>
    <row r="596" ht="14.25" hidden="1" customHeight="1" outlineLevel="2">
      <c r="A596" s="125">
        <v>45675.0</v>
      </c>
      <c r="B596" s="126">
        <f t="shared" si="100"/>
        <v>45675</v>
      </c>
      <c r="C596" s="129" t="s">
        <v>118</v>
      </c>
      <c r="D596" s="242" t="s">
        <v>263</v>
      </c>
      <c r="E596" s="243">
        <v>165.0</v>
      </c>
      <c r="F596" s="242" t="s">
        <v>129</v>
      </c>
      <c r="G596" s="276"/>
    </row>
    <row r="597" ht="14.25" hidden="1" customHeight="1" outlineLevel="2">
      <c r="A597" s="102">
        <v>45676.0</v>
      </c>
      <c r="B597" s="97">
        <f t="shared" si="100"/>
        <v>45676</v>
      </c>
      <c r="C597" s="129" t="s">
        <v>118</v>
      </c>
      <c r="D597" s="242" t="s">
        <v>490</v>
      </c>
      <c r="E597" s="243">
        <v>273.0</v>
      </c>
      <c r="F597" s="242" t="s">
        <v>913</v>
      </c>
      <c r="G597" s="276"/>
    </row>
    <row r="598" ht="14.25" hidden="1" customHeight="1" outlineLevel="2">
      <c r="A598" s="10"/>
      <c r="B598" s="10"/>
      <c r="C598" s="129" t="s">
        <v>136</v>
      </c>
      <c r="D598" s="242" t="s">
        <v>863</v>
      </c>
      <c r="E598" s="243">
        <v>631.0</v>
      </c>
      <c r="F598" s="242" t="s">
        <v>914</v>
      </c>
      <c r="G598" s="276"/>
    </row>
    <row r="599" ht="14.25" hidden="1" customHeight="1" outlineLevel="2">
      <c r="A599" s="125">
        <v>45677.0</v>
      </c>
      <c r="B599" s="126">
        <f t="shared" ref="B599:B605" si="101">A599</f>
        <v>45677</v>
      </c>
      <c r="C599" s="129" t="s">
        <v>118</v>
      </c>
      <c r="D599" s="242" t="s">
        <v>119</v>
      </c>
      <c r="E599" s="243">
        <v>114.0</v>
      </c>
      <c r="F599" s="242" t="s">
        <v>909</v>
      </c>
      <c r="G599" s="276"/>
    </row>
    <row r="600" ht="14.25" hidden="1" customHeight="1" outlineLevel="2">
      <c r="A600" s="125">
        <v>45678.0</v>
      </c>
      <c r="B600" s="126">
        <f t="shared" si="101"/>
        <v>45678</v>
      </c>
      <c r="C600" s="129" t="s">
        <v>118</v>
      </c>
      <c r="D600" s="242" t="s">
        <v>236</v>
      </c>
      <c r="E600" s="243">
        <v>26.0</v>
      </c>
      <c r="F600" s="242" t="s">
        <v>839</v>
      </c>
      <c r="G600" s="276"/>
    </row>
    <row r="601" ht="14.25" hidden="1" customHeight="1" outlineLevel="2">
      <c r="A601" s="125">
        <v>45679.0</v>
      </c>
      <c r="B601" s="126">
        <f t="shared" si="101"/>
        <v>45679</v>
      </c>
      <c r="C601" s="129" t="s">
        <v>118</v>
      </c>
      <c r="D601" s="242" t="s">
        <v>119</v>
      </c>
      <c r="E601" s="243">
        <v>66.0</v>
      </c>
      <c r="F601" s="242" t="s">
        <v>219</v>
      </c>
      <c r="G601" s="276"/>
    </row>
    <row r="602" ht="14.25" hidden="1" customHeight="1" outlineLevel="2">
      <c r="A602" s="125">
        <v>45680.0</v>
      </c>
      <c r="B602" s="126">
        <f t="shared" si="101"/>
        <v>45680</v>
      </c>
      <c r="C602" s="129" t="s">
        <v>118</v>
      </c>
      <c r="D602" s="242" t="s">
        <v>119</v>
      </c>
      <c r="E602" s="243">
        <v>17.0</v>
      </c>
      <c r="F602" s="242" t="s">
        <v>915</v>
      </c>
      <c r="G602" s="276"/>
    </row>
    <row r="603" ht="14.25" hidden="1" customHeight="1" outlineLevel="2">
      <c r="A603" s="125">
        <v>45681.0</v>
      </c>
      <c r="B603" s="126">
        <f t="shared" si="101"/>
        <v>45681</v>
      </c>
      <c r="C603" s="129" t="s">
        <v>118</v>
      </c>
      <c r="D603" s="242" t="s">
        <v>236</v>
      </c>
      <c r="E603" s="243">
        <v>64.0</v>
      </c>
      <c r="F603" s="242" t="s">
        <v>560</v>
      </c>
      <c r="G603" s="276"/>
    </row>
    <row r="604" ht="14.25" hidden="1" customHeight="1" outlineLevel="2">
      <c r="A604" s="125">
        <v>45682.0</v>
      </c>
      <c r="B604" s="126">
        <f t="shared" si="101"/>
        <v>45682</v>
      </c>
      <c r="C604" s="179" t="s">
        <v>118</v>
      </c>
      <c r="D604" s="242" t="s">
        <v>119</v>
      </c>
      <c r="E604" s="243">
        <v>76.0</v>
      </c>
      <c r="F604" s="242" t="s">
        <v>916</v>
      </c>
      <c r="G604" s="276"/>
    </row>
    <row r="605" ht="14.25" hidden="1" customHeight="1" outlineLevel="2">
      <c r="A605" s="102">
        <v>45683.0</v>
      </c>
      <c r="B605" s="97">
        <f t="shared" si="101"/>
        <v>45683</v>
      </c>
      <c r="C605" s="129" t="s">
        <v>118</v>
      </c>
      <c r="D605" s="242" t="s">
        <v>490</v>
      </c>
      <c r="E605" s="243">
        <v>500.0</v>
      </c>
      <c r="F605" s="242" t="s">
        <v>918</v>
      </c>
      <c r="G605" s="276"/>
    </row>
    <row r="606" ht="14.25" hidden="1" customHeight="1" outlineLevel="2">
      <c r="A606" s="10"/>
      <c r="B606" s="10"/>
      <c r="C606" s="296" t="s">
        <v>136</v>
      </c>
      <c r="D606" s="242" t="s">
        <v>342</v>
      </c>
      <c r="E606" s="243">
        <v>569.0</v>
      </c>
      <c r="F606" s="242" t="s">
        <v>919</v>
      </c>
      <c r="G606" s="276"/>
    </row>
    <row r="607" ht="14.25" hidden="1" customHeight="1" outlineLevel="2">
      <c r="A607" s="125">
        <v>45684.0</v>
      </c>
      <c r="B607" s="126">
        <f t="shared" ref="B607:B612" si="102">A607</f>
        <v>45684</v>
      </c>
      <c r="C607" s="179" t="s">
        <v>118</v>
      </c>
      <c r="D607" s="242" t="s">
        <v>119</v>
      </c>
      <c r="E607" s="243">
        <v>44.0</v>
      </c>
      <c r="F607" s="242" t="s">
        <v>758</v>
      </c>
      <c r="G607" s="276"/>
    </row>
    <row r="608" ht="14.25" hidden="1" customHeight="1" outlineLevel="2">
      <c r="A608" s="125">
        <v>45685.0</v>
      </c>
      <c r="B608" s="126">
        <f t="shared" si="102"/>
        <v>45685</v>
      </c>
      <c r="C608" s="129" t="s">
        <v>118</v>
      </c>
      <c r="D608" s="242" t="s">
        <v>236</v>
      </c>
      <c r="E608" s="243">
        <v>136.0</v>
      </c>
      <c r="F608" s="242" t="s">
        <v>922</v>
      </c>
      <c r="G608" s="276"/>
    </row>
    <row r="609" ht="14.25" hidden="1" customHeight="1" outlineLevel="2">
      <c r="A609" s="125">
        <v>45686.0</v>
      </c>
      <c r="B609" s="126">
        <f t="shared" si="102"/>
        <v>45686</v>
      </c>
      <c r="C609" s="129" t="s">
        <v>118</v>
      </c>
      <c r="D609" s="242" t="s">
        <v>119</v>
      </c>
      <c r="E609" s="243">
        <v>125.0</v>
      </c>
      <c r="F609" s="242" t="s">
        <v>426</v>
      </c>
      <c r="G609" s="276"/>
    </row>
    <row r="610" ht="14.25" hidden="1" customHeight="1" outlineLevel="2">
      <c r="A610" s="125">
        <v>45687.0</v>
      </c>
      <c r="B610" s="126">
        <f t="shared" si="102"/>
        <v>45687</v>
      </c>
      <c r="C610" s="129" t="s">
        <v>118</v>
      </c>
      <c r="D610" s="242" t="s">
        <v>119</v>
      </c>
      <c r="E610" s="243">
        <v>28.0</v>
      </c>
      <c r="F610" s="242" t="s">
        <v>924</v>
      </c>
      <c r="G610" s="276"/>
    </row>
    <row r="611" ht="14.25" hidden="1" customHeight="1" outlineLevel="2">
      <c r="A611" s="125">
        <v>45688.0</v>
      </c>
      <c r="B611" s="126">
        <f t="shared" si="102"/>
        <v>45688</v>
      </c>
      <c r="C611" s="129" t="s">
        <v>118</v>
      </c>
      <c r="D611" s="242" t="s">
        <v>456</v>
      </c>
      <c r="E611" s="243">
        <v>260.0</v>
      </c>
      <c r="F611" s="242" t="s">
        <v>579</v>
      </c>
      <c r="G611" s="276"/>
    </row>
    <row r="612" ht="14.25" hidden="1" customHeight="1" outlineLevel="2">
      <c r="A612" s="125">
        <v>45688.0</v>
      </c>
      <c r="B612" s="126">
        <f t="shared" si="102"/>
        <v>45688</v>
      </c>
      <c r="C612" s="129" t="s">
        <v>118</v>
      </c>
      <c r="D612" s="242" t="s">
        <v>236</v>
      </c>
      <c r="E612" s="243">
        <v>59.0</v>
      </c>
      <c r="F612" s="242" t="s">
        <v>257</v>
      </c>
      <c r="G612" s="276"/>
    </row>
    <row r="613" ht="14.25" customHeight="1" outlineLevel="1">
      <c r="A613" s="117" t="s">
        <v>195</v>
      </c>
      <c r="B613" s="27"/>
      <c r="C613" s="27"/>
      <c r="D613" s="28"/>
      <c r="E613" s="262">
        <f>SUM(E576:E612)</f>
        <v>6989</v>
      </c>
      <c r="F613" s="119"/>
      <c r="G613" s="28"/>
    </row>
    <row r="614" ht="14.25" customHeight="1" outlineLevel="1"/>
    <row r="615" ht="14.25" customHeight="1" outlineLevel="1" collapsed="1">
      <c r="A615" s="122" t="s">
        <v>927</v>
      </c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3"/>
    </row>
    <row r="616" ht="14.25" hidden="1" customHeight="1" outlineLevel="2">
      <c r="A616" s="70" t="s">
        <v>90</v>
      </c>
      <c r="I616" s="72" t="s">
        <v>91</v>
      </c>
      <c r="J616" s="73"/>
      <c r="K616" s="73"/>
      <c r="L616" s="74"/>
      <c r="N616" s="72" t="s">
        <v>95</v>
      </c>
      <c r="O616" s="73"/>
      <c r="P616" s="73"/>
      <c r="Q616" s="74"/>
    </row>
    <row r="617" ht="14.25" hidden="1" customHeight="1" outlineLevel="2">
      <c r="A617" s="81" t="s">
        <v>6</v>
      </c>
      <c r="B617" s="84" t="s">
        <v>103</v>
      </c>
      <c r="C617" s="81" t="s">
        <v>104</v>
      </c>
      <c r="D617" s="81" t="s">
        <v>107</v>
      </c>
      <c r="E617" s="81" t="s">
        <v>109</v>
      </c>
      <c r="F617" s="84" t="s">
        <v>110</v>
      </c>
      <c r="G617" s="81" t="s">
        <v>13</v>
      </c>
      <c r="H617" s="51"/>
      <c r="I617" s="81" t="s">
        <v>6</v>
      </c>
      <c r="J617" s="84" t="s">
        <v>115</v>
      </c>
      <c r="K617" s="84" t="s">
        <v>9</v>
      </c>
      <c r="L617" s="81" t="s">
        <v>13</v>
      </c>
      <c r="M617" s="51"/>
      <c r="N617" s="81" t="s">
        <v>6</v>
      </c>
      <c r="O617" s="84" t="s">
        <v>115</v>
      </c>
      <c r="P617" s="84" t="s">
        <v>9</v>
      </c>
      <c r="Q617" s="81" t="s">
        <v>13</v>
      </c>
    </row>
    <row r="618" ht="14.25" hidden="1" customHeight="1" outlineLevel="2">
      <c r="A618" s="125">
        <v>45689.0</v>
      </c>
      <c r="B618" s="126">
        <f t="shared" ref="B618:B619" si="103">A618</f>
        <v>45689</v>
      </c>
      <c r="C618" s="129" t="s">
        <v>118</v>
      </c>
      <c r="D618" s="277" t="s">
        <v>119</v>
      </c>
      <c r="E618" s="298">
        <v>181.0</v>
      </c>
      <c r="F618" s="277" t="s">
        <v>931</v>
      </c>
      <c r="G618" s="276"/>
      <c r="I618" s="86">
        <v>45689.0</v>
      </c>
      <c r="J618" s="88">
        <f t="shared" ref="J618:J623" si="104">I618</f>
        <v>45689</v>
      </c>
      <c r="K618" s="93">
        <v>22.95</v>
      </c>
      <c r="L618" s="90"/>
      <c r="M618" s="51"/>
      <c r="N618" s="94"/>
      <c r="O618" s="94"/>
      <c r="P618" s="93">
        <v>0.0</v>
      </c>
      <c r="Q618" s="91"/>
    </row>
    <row r="619" ht="14.25" hidden="1" customHeight="1" outlineLevel="2">
      <c r="A619" s="102">
        <v>45690.0</v>
      </c>
      <c r="B619" s="97">
        <f t="shared" si="103"/>
        <v>45690</v>
      </c>
      <c r="C619" s="129" t="s">
        <v>118</v>
      </c>
      <c r="D619" s="277" t="s">
        <v>490</v>
      </c>
      <c r="E619" s="298">
        <v>1080.0</v>
      </c>
      <c r="F619" s="277" t="s">
        <v>913</v>
      </c>
      <c r="G619" s="276"/>
      <c r="I619" s="86">
        <v>45693.0</v>
      </c>
      <c r="J619" s="88">
        <f t="shared" si="104"/>
        <v>45693</v>
      </c>
      <c r="K619" s="93">
        <v>39.65</v>
      </c>
      <c r="L619" s="90"/>
      <c r="M619" s="51"/>
      <c r="N619" s="165" t="s">
        <v>195</v>
      </c>
      <c r="O619" s="165"/>
      <c r="P619" s="291">
        <f>P618</f>
        <v>0</v>
      </c>
      <c r="Q619" s="114"/>
    </row>
    <row r="620" ht="14.25" hidden="1" customHeight="1" outlineLevel="2">
      <c r="A620" s="10"/>
      <c r="B620" s="10"/>
      <c r="C620" s="129" t="s">
        <v>136</v>
      </c>
      <c r="D620" s="277" t="s">
        <v>820</v>
      </c>
      <c r="E620" s="298">
        <v>668.0</v>
      </c>
      <c r="F620" s="277" t="s">
        <v>934</v>
      </c>
      <c r="G620" s="276"/>
      <c r="I620" s="86">
        <v>45698.0</v>
      </c>
      <c r="J620" s="88">
        <f t="shared" si="104"/>
        <v>45698</v>
      </c>
      <c r="K620" s="93">
        <v>21.6</v>
      </c>
      <c r="L620" s="90"/>
      <c r="M620" s="51"/>
      <c r="N620" s="166"/>
      <c r="O620" s="167"/>
      <c r="P620" s="168"/>
      <c r="Q620" s="51"/>
    </row>
    <row r="621" ht="14.25" hidden="1" customHeight="1" outlineLevel="2">
      <c r="A621" s="125">
        <v>45691.0</v>
      </c>
      <c r="B621" s="126">
        <f t="shared" ref="B621:B627" si="105">A621</f>
        <v>45691</v>
      </c>
      <c r="C621" s="129" t="s">
        <v>118</v>
      </c>
      <c r="D621" s="277" t="s">
        <v>119</v>
      </c>
      <c r="E621" s="298">
        <v>60.0</v>
      </c>
      <c r="F621" s="277" t="s">
        <v>303</v>
      </c>
      <c r="G621" s="276"/>
      <c r="I621" s="86">
        <v>45705.0</v>
      </c>
      <c r="J621" s="88">
        <f t="shared" si="104"/>
        <v>45705</v>
      </c>
      <c r="K621" s="93">
        <v>93.85</v>
      </c>
      <c r="L621" s="90"/>
      <c r="M621" s="51"/>
      <c r="N621" s="235" t="s">
        <v>344</v>
      </c>
      <c r="O621" s="27"/>
      <c r="P621" s="27"/>
      <c r="Q621" s="28"/>
    </row>
    <row r="622" ht="14.25" hidden="1" customHeight="1" outlineLevel="2">
      <c r="A622" s="125">
        <v>45692.0</v>
      </c>
      <c r="B622" s="126">
        <f t="shared" si="105"/>
        <v>45692</v>
      </c>
      <c r="C622" s="129" t="s">
        <v>118</v>
      </c>
      <c r="D622" s="277" t="s">
        <v>236</v>
      </c>
      <c r="E622" s="298">
        <v>40.0</v>
      </c>
      <c r="F622" s="277" t="s">
        <v>359</v>
      </c>
      <c r="G622" s="276"/>
      <c r="I622" s="86">
        <v>45711.0</v>
      </c>
      <c r="J622" s="88">
        <f t="shared" si="104"/>
        <v>45711</v>
      </c>
      <c r="K622" s="93">
        <v>64.5</v>
      </c>
      <c r="L622" s="90"/>
      <c r="M622" s="51"/>
      <c r="N622" s="81" t="s">
        <v>6</v>
      </c>
      <c r="O622" s="84" t="s">
        <v>115</v>
      </c>
      <c r="P622" s="84" t="s">
        <v>9</v>
      </c>
      <c r="Q622" s="81" t="s">
        <v>13</v>
      </c>
    </row>
    <row r="623" ht="14.25" hidden="1" customHeight="1" outlineLevel="2">
      <c r="A623" s="125">
        <v>45693.0</v>
      </c>
      <c r="B623" s="126">
        <f t="shared" si="105"/>
        <v>45693</v>
      </c>
      <c r="C623" s="129" t="s">
        <v>118</v>
      </c>
      <c r="D623" s="277" t="s">
        <v>119</v>
      </c>
      <c r="E623" s="298">
        <v>44.0</v>
      </c>
      <c r="F623" s="277" t="s">
        <v>937</v>
      </c>
      <c r="G623" s="276"/>
      <c r="I623" s="86">
        <v>45715.0</v>
      </c>
      <c r="J623" s="88">
        <f t="shared" si="104"/>
        <v>45715</v>
      </c>
      <c r="K623" s="93">
        <v>16.45</v>
      </c>
      <c r="L623" s="90"/>
      <c r="M623" s="51"/>
      <c r="N623" s="86"/>
      <c r="O623" s="88" t="str">
        <f>N623</f>
        <v/>
      </c>
      <c r="P623" s="93"/>
      <c r="Q623" s="90"/>
    </row>
    <row r="624" ht="14.25" hidden="1" customHeight="1" outlineLevel="2">
      <c r="A624" s="125">
        <v>45694.0</v>
      </c>
      <c r="B624" s="126">
        <f t="shared" si="105"/>
        <v>45694</v>
      </c>
      <c r="C624" s="129" t="s">
        <v>118</v>
      </c>
      <c r="D624" s="277" t="s">
        <v>119</v>
      </c>
      <c r="E624" s="298">
        <v>43.0</v>
      </c>
      <c r="F624" s="277" t="s">
        <v>938</v>
      </c>
      <c r="G624" s="276"/>
      <c r="I624" s="86"/>
      <c r="J624" s="88"/>
      <c r="K624" s="92"/>
      <c r="L624" s="90"/>
      <c r="M624" s="51"/>
      <c r="N624" s="86"/>
      <c r="O624" s="88"/>
      <c r="P624" s="92"/>
      <c r="Q624" s="90"/>
    </row>
    <row r="625" ht="14.25" hidden="1" customHeight="1" outlineLevel="2">
      <c r="A625" s="125">
        <v>45695.0</v>
      </c>
      <c r="B625" s="126">
        <f t="shared" si="105"/>
        <v>45695</v>
      </c>
      <c r="C625" s="129" t="s">
        <v>118</v>
      </c>
      <c r="D625" s="277" t="s">
        <v>236</v>
      </c>
      <c r="E625" s="298">
        <v>166.0</v>
      </c>
      <c r="F625" s="277" t="s">
        <v>250</v>
      </c>
      <c r="G625" s="276"/>
      <c r="I625" s="86"/>
      <c r="J625" s="88"/>
      <c r="K625" s="92"/>
      <c r="L625" s="90"/>
      <c r="M625" s="51"/>
      <c r="N625" s="94"/>
      <c r="O625" s="94"/>
      <c r="P625" s="294"/>
      <c r="Q625" s="90"/>
    </row>
    <row r="626" ht="14.25" hidden="1" customHeight="1" outlineLevel="2">
      <c r="A626" s="125">
        <v>45696.0</v>
      </c>
      <c r="B626" s="126">
        <f t="shared" si="105"/>
        <v>45696</v>
      </c>
      <c r="C626" s="129" t="s">
        <v>118</v>
      </c>
      <c r="D626" s="277" t="s">
        <v>119</v>
      </c>
      <c r="E626" s="298">
        <v>125.0</v>
      </c>
      <c r="F626" s="277" t="s">
        <v>940</v>
      </c>
      <c r="G626" s="276"/>
      <c r="I626" s="108" t="s">
        <v>195</v>
      </c>
      <c r="J626" s="109"/>
      <c r="K626" s="113">
        <f>SUM(K618:K625)</f>
        <v>259</v>
      </c>
      <c r="L626" s="114"/>
      <c r="M626" s="51"/>
      <c r="N626" s="165" t="s">
        <v>195</v>
      </c>
      <c r="O626" s="165"/>
      <c r="P626" s="113">
        <f>SUM(P623:P624)</f>
        <v>0</v>
      </c>
      <c r="Q626" s="114"/>
    </row>
    <row r="627" ht="14.25" hidden="1" customHeight="1" outlineLevel="2">
      <c r="A627" s="102">
        <v>45697.0</v>
      </c>
      <c r="B627" s="97">
        <f t="shared" si="105"/>
        <v>45697</v>
      </c>
      <c r="C627" s="129" t="s">
        <v>118</v>
      </c>
      <c r="D627" s="277" t="s">
        <v>490</v>
      </c>
      <c r="E627" s="298">
        <v>715.0</v>
      </c>
      <c r="F627" s="277" t="s">
        <v>428</v>
      </c>
      <c r="G627" s="276"/>
    </row>
    <row r="628" ht="14.25" hidden="1" customHeight="1" outlineLevel="2">
      <c r="A628" s="10"/>
      <c r="B628" s="10"/>
      <c r="C628" s="129" t="s">
        <v>136</v>
      </c>
      <c r="D628" s="277" t="s">
        <v>342</v>
      </c>
      <c r="E628" s="298">
        <v>427.0</v>
      </c>
      <c r="F628" s="277" t="s">
        <v>943</v>
      </c>
      <c r="G628" s="276"/>
    </row>
    <row r="629" ht="14.25" hidden="1" customHeight="1" outlineLevel="2">
      <c r="A629" s="125">
        <v>45698.0</v>
      </c>
      <c r="B629" s="126">
        <f t="shared" ref="B629:B635" si="106">A629</f>
        <v>45698</v>
      </c>
      <c r="C629" s="129" t="s">
        <v>118</v>
      </c>
      <c r="D629" s="277" t="s">
        <v>119</v>
      </c>
      <c r="E629" s="298">
        <v>115.0</v>
      </c>
      <c r="F629" s="277" t="s">
        <v>303</v>
      </c>
      <c r="G629" s="276"/>
    </row>
    <row r="630" ht="14.25" hidden="1" customHeight="1" outlineLevel="2">
      <c r="A630" s="125">
        <v>45699.0</v>
      </c>
      <c r="B630" s="126">
        <f t="shared" si="106"/>
        <v>45699</v>
      </c>
      <c r="C630" s="129" t="s">
        <v>118</v>
      </c>
      <c r="D630" s="277" t="s">
        <v>236</v>
      </c>
      <c r="E630" s="298">
        <v>28.0</v>
      </c>
      <c r="F630" s="277" t="s">
        <v>945</v>
      </c>
      <c r="G630" s="276"/>
    </row>
    <row r="631" ht="14.25" hidden="1" customHeight="1" outlineLevel="2">
      <c r="A631" s="125">
        <v>45700.0</v>
      </c>
      <c r="B631" s="126">
        <f t="shared" si="106"/>
        <v>45700</v>
      </c>
      <c r="C631" s="129" t="s">
        <v>118</v>
      </c>
      <c r="D631" s="277" t="s">
        <v>119</v>
      </c>
      <c r="E631" s="298">
        <v>50.0</v>
      </c>
      <c r="F631" s="277" t="s">
        <v>237</v>
      </c>
      <c r="G631" s="276"/>
    </row>
    <row r="632" ht="14.25" hidden="1" customHeight="1" outlineLevel="2">
      <c r="A632" s="125">
        <v>45701.0</v>
      </c>
      <c r="B632" s="126">
        <f t="shared" si="106"/>
        <v>45701</v>
      </c>
      <c r="C632" s="129" t="s">
        <v>118</v>
      </c>
      <c r="D632" s="277" t="s">
        <v>210</v>
      </c>
      <c r="E632" s="298">
        <v>76.0</v>
      </c>
      <c r="F632" s="277" t="s">
        <v>205</v>
      </c>
      <c r="G632" s="276"/>
    </row>
    <row r="633" ht="14.25" hidden="1" customHeight="1" outlineLevel="2">
      <c r="A633" s="125">
        <v>45702.0</v>
      </c>
      <c r="B633" s="126">
        <f t="shared" si="106"/>
        <v>45702</v>
      </c>
      <c r="C633" s="129" t="s">
        <v>118</v>
      </c>
      <c r="D633" s="277" t="s">
        <v>210</v>
      </c>
      <c r="E633" s="298">
        <v>66.0</v>
      </c>
      <c r="F633" s="277" t="s">
        <v>560</v>
      </c>
      <c r="G633" s="276"/>
    </row>
    <row r="634" ht="14.25" hidden="1" customHeight="1" outlineLevel="2">
      <c r="A634" s="125">
        <v>45703.0</v>
      </c>
      <c r="B634" s="126">
        <f t="shared" si="106"/>
        <v>45703</v>
      </c>
      <c r="C634" s="129" t="s">
        <v>118</v>
      </c>
      <c r="D634" s="277" t="s">
        <v>210</v>
      </c>
      <c r="E634" s="298">
        <v>290.0</v>
      </c>
      <c r="F634" s="277" t="s">
        <v>946</v>
      </c>
      <c r="G634" s="276"/>
    </row>
    <row r="635" ht="14.25" hidden="1" customHeight="1" outlineLevel="2">
      <c r="A635" s="102">
        <v>45704.0</v>
      </c>
      <c r="B635" s="97">
        <f t="shared" si="106"/>
        <v>45704</v>
      </c>
      <c r="C635" s="129" t="s">
        <v>118</v>
      </c>
      <c r="D635" s="277" t="s">
        <v>210</v>
      </c>
      <c r="E635" s="298">
        <v>1005.0</v>
      </c>
      <c r="F635" s="277" t="s">
        <v>438</v>
      </c>
      <c r="G635" s="276"/>
    </row>
    <row r="636" ht="14.25" hidden="1" customHeight="1" outlineLevel="2">
      <c r="A636" s="10"/>
      <c r="B636" s="10"/>
      <c r="C636" s="129" t="s">
        <v>136</v>
      </c>
      <c r="D636" s="277" t="s">
        <v>342</v>
      </c>
      <c r="E636" s="298">
        <v>310.0</v>
      </c>
      <c r="F636" s="277" t="s">
        <v>947</v>
      </c>
      <c r="G636" s="276"/>
    </row>
    <row r="637" ht="14.25" hidden="1" customHeight="1" outlineLevel="2">
      <c r="A637" s="125">
        <v>45705.0</v>
      </c>
      <c r="B637" s="126">
        <f t="shared" ref="B637:B643" si="107">A637</f>
        <v>45705</v>
      </c>
      <c r="C637" s="129" t="s">
        <v>118</v>
      </c>
      <c r="D637" s="277" t="s">
        <v>119</v>
      </c>
      <c r="E637" s="298">
        <v>21.0</v>
      </c>
      <c r="F637" s="277" t="s">
        <v>948</v>
      </c>
      <c r="G637" s="276"/>
    </row>
    <row r="638" ht="14.25" hidden="1" customHeight="1" outlineLevel="2">
      <c r="A638" s="125">
        <v>45706.0</v>
      </c>
      <c r="B638" s="126">
        <f t="shared" si="107"/>
        <v>45706</v>
      </c>
      <c r="C638" s="129" t="s">
        <v>118</v>
      </c>
      <c r="D638" s="277" t="s">
        <v>236</v>
      </c>
      <c r="E638" s="298">
        <v>22.0</v>
      </c>
      <c r="F638" s="277" t="s">
        <v>218</v>
      </c>
      <c r="G638" s="276"/>
    </row>
    <row r="639" ht="14.25" hidden="1" customHeight="1" outlineLevel="2">
      <c r="A639" s="125">
        <v>45707.0</v>
      </c>
      <c r="B639" s="126">
        <f t="shared" si="107"/>
        <v>45707</v>
      </c>
      <c r="C639" s="129" t="s">
        <v>118</v>
      </c>
      <c r="D639" s="277" t="s">
        <v>119</v>
      </c>
      <c r="E639" s="298">
        <v>26.0</v>
      </c>
      <c r="F639" s="277" t="s">
        <v>219</v>
      </c>
      <c r="G639" s="276"/>
    </row>
    <row r="640" ht="14.25" hidden="1" customHeight="1" outlineLevel="2">
      <c r="A640" s="125">
        <v>45708.0</v>
      </c>
      <c r="B640" s="126">
        <f t="shared" si="107"/>
        <v>45708</v>
      </c>
      <c r="C640" s="129" t="s">
        <v>118</v>
      </c>
      <c r="D640" s="277" t="s">
        <v>119</v>
      </c>
      <c r="E640" s="298">
        <v>52.0</v>
      </c>
      <c r="F640" s="277" t="s">
        <v>584</v>
      </c>
      <c r="G640" s="276"/>
    </row>
    <row r="641" ht="14.25" hidden="1" customHeight="1" outlineLevel="2">
      <c r="A641" s="125">
        <v>45709.0</v>
      </c>
      <c r="B641" s="126">
        <f t="shared" si="107"/>
        <v>45709</v>
      </c>
      <c r="C641" s="129" t="s">
        <v>118</v>
      </c>
      <c r="D641" s="277" t="s">
        <v>296</v>
      </c>
      <c r="E641" s="298">
        <v>77.0</v>
      </c>
      <c r="F641" s="277" t="s">
        <v>952</v>
      </c>
      <c r="G641" s="276"/>
    </row>
    <row r="642" ht="14.25" hidden="1" customHeight="1" outlineLevel="2">
      <c r="A642" s="125">
        <v>45710.0</v>
      </c>
      <c r="B642" s="126">
        <f t="shared" si="107"/>
        <v>45710</v>
      </c>
      <c r="C642" s="129" t="s">
        <v>118</v>
      </c>
      <c r="D642" s="277" t="s">
        <v>119</v>
      </c>
      <c r="E642" s="298">
        <v>125.0</v>
      </c>
      <c r="F642" s="277" t="s">
        <v>953</v>
      </c>
      <c r="G642" s="276"/>
    </row>
    <row r="643" ht="14.25" hidden="1" customHeight="1" outlineLevel="2">
      <c r="A643" s="102">
        <v>45711.0</v>
      </c>
      <c r="B643" s="97">
        <f t="shared" si="107"/>
        <v>45711</v>
      </c>
      <c r="C643" s="129" t="s">
        <v>118</v>
      </c>
      <c r="D643" s="277" t="s">
        <v>490</v>
      </c>
      <c r="E643" s="298">
        <v>505.0</v>
      </c>
      <c r="F643" s="277" t="s">
        <v>428</v>
      </c>
      <c r="G643" s="276"/>
    </row>
    <row r="644" ht="14.25" hidden="1" customHeight="1" outlineLevel="2">
      <c r="A644" s="10"/>
      <c r="B644" s="10"/>
      <c r="C644" s="129" t="s">
        <v>136</v>
      </c>
      <c r="D644" s="277" t="s">
        <v>413</v>
      </c>
      <c r="E644" s="298">
        <v>540.0</v>
      </c>
      <c r="F644" s="277" t="s">
        <v>674</v>
      </c>
      <c r="G644" s="276"/>
    </row>
    <row r="645" ht="14.25" hidden="1" customHeight="1" outlineLevel="2">
      <c r="A645" s="125">
        <v>45712.0</v>
      </c>
      <c r="B645" s="126">
        <f t="shared" ref="B645:B649" si="108">A645</f>
        <v>45712</v>
      </c>
      <c r="C645" s="129" t="s">
        <v>118</v>
      </c>
      <c r="D645" s="277" t="s">
        <v>119</v>
      </c>
      <c r="E645" s="298">
        <v>517.0</v>
      </c>
      <c r="F645" s="277" t="s">
        <v>909</v>
      </c>
      <c r="G645" s="276"/>
    </row>
    <row r="646" ht="14.25" hidden="1" customHeight="1" outlineLevel="2">
      <c r="A646" s="125">
        <v>45713.0</v>
      </c>
      <c r="B646" s="126">
        <f t="shared" si="108"/>
        <v>45713</v>
      </c>
      <c r="C646" s="129" t="s">
        <v>118</v>
      </c>
      <c r="D646" s="277" t="s">
        <v>236</v>
      </c>
      <c r="E646" s="298">
        <v>50.0</v>
      </c>
      <c r="F646" s="277" t="s">
        <v>956</v>
      </c>
      <c r="G646" s="276"/>
    </row>
    <row r="647" ht="14.25" hidden="1" customHeight="1" outlineLevel="2">
      <c r="A647" s="125">
        <v>45714.0</v>
      </c>
      <c r="B647" s="126">
        <f t="shared" si="108"/>
        <v>45714</v>
      </c>
      <c r="C647" s="129" t="s">
        <v>118</v>
      </c>
      <c r="D647" s="277" t="s">
        <v>119</v>
      </c>
      <c r="E647" s="298">
        <v>60.0</v>
      </c>
      <c r="F647" s="277" t="s">
        <v>219</v>
      </c>
      <c r="G647" s="276"/>
    </row>
    <row r="648" ht="14.25" hidden="1" customHeight="1" outlineLevel="2">
      <c r="A648" s="125">
        <v>45715.0</v>
      </c>
      <c r="B648" s="126">
        <f t="shared" si="108"/>
        <v>45715</v>
      </c>
      <c r="C648" s="129" t="s">
        <v>118</v>
      </c>
      <c r="D648" s="277" t="s">
        <v>119</v>
      </c>
      <c r="E648" s="298">
        <v>49.0</v>
      </c>
      <c r="F648" s="277" t="s">
        <v>295</v>
      </c>
      <c r="G648" s="276"/>
    </row>
    <row r="649" ht="14.25" hidden="1" customHeight="1" outlineLevel="2">
      <c r="A649" s="125">
        <v>45716.0</v>
      </c>
      <c r="B649" s="126">
        <f t="shared" si="108"/>
        <v>45716</v>
      </c>
      <c r="C649" s="129" t="s">
        <v>118</v>
      </c>
      <c r="D649" s="277" t="s">
        <v>236</v>
      </c>
      <c r="E649" s="298">
        <v>82.0</v>
      </c>
      <c r="F649" s="277" t="s">
        <v>958</v>
      </c>
      <c r="G649" s="276"/>
    </row>
    <row r="650" ht="14.25" customHeight="1" outlineLevel="1">
      <c r="A650" s="117" t="s">
        <v>195</v>
      </c>
      <c r="B650" s="27"/>
      <c r="C650" s="27"/>
      <c r="D650" s="28"/>
      <c r="E650" s="262">
        <f>SUM(E618:E649)</f>
        <v>7615</v>
      </c>
    </row>
    <row r="651" ht="14.25" customHeight="1" outlineLevel="1"/>
    <row r="652" ht="14.25" customHeight="1" outlineLevel="1" collapsed="1">
      <c r="A652" s="122" t="s">
        <v>960</v>
      </c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3"/>
    </row>
    <row r="653" ht="14.25" hidden="1" customHeight="1" outlineLevel="2">
      <c r="A653" s="70" t="s">
        <v>90</v>
      </c>
      <c r="I653" s="72" t="s">
        <v>91</v>
      </c>
      <c r="J653" s="73"/>
      <c r="K653" s="73"/>
      <c r="L653" s="74"/>
      <c r="N653" s="72" t="s">
        <v>95</v>
      </c>
      <c r="O653" s="73"/>
      <c r="P653" s="73"/>
      <c r="Q653" s="74"/>
    </row>
    <row r="654" ht="14.25" hidden="1" customHeight="1" outlineLevel="2">
      <c r="A654" s="81" t="s">
        <v>6</v>
      </c>
      <c r="B654" s="84" t="s">
        <v>103</v>
      </c>
      <c r="C654" s="81" t="s">
        <v>104</v>
      </c>
      <c r="D654" s="81" t="s">
        <v>107</v>
      </c>
      <c r="E654" s="81" t="s">
        <v>109</v>
      </c>
      <c r="F654" s="84" t="s">
        <v>110</v>
      </c>
      <c r="G654" s="81" t="s">
        <v>13</v>
      </c>
      <c r="H654" s="51"/>
      <c r="I654" s="81" t="s">
        <v>6</v>
      </c>
      <c r="J654" s="84" t="s">
        <v>115</v>
      </c>
      <c r="K654" s="84" t="s">
        <v>9</v>
      </c>
      <c r="L654" s="81" t="s">
        <v>13</v>
      </c>
      <c r="M654" s="51"/>
      <c r="N654" s="81" t="s">
        <v>6</v>
      </c>
      <c r="O654" s="84" t="s">
        <v>115</v>
      </c>
      <c r="P654" s="84" t="s">
        <v>9</v>
      </c>
      <c r="Q654" s="81" t="s">
        <v>13</v>
      </c>
    </row>
    <row r="655" ht="14.25" hidden="1" customHeight="1" outlineLevel="2">
      <c r="A655" s="125">
        <v>45717.0</v>
      </c>
      <c r="B655" s="126">
        <f t="shared" ref="B655:B656" si="109">A655</f>
        <v>45717</v>
      </c>
      <c r="C655" s="129" t="s">
        <v>118</v>
      </c>
      <c r="D655" s="277" t="s">
        <v>119</v>
      </c>
      <c r="E655" s="298">
        <v>12.0</v>
      </c>
      <c r="F655" s="277" t="s">
        <v>916</v>
      </c>
      <c r="G655" s="276"/>
      <c r="I655" s="86">
        <v>45723.0</v>
      </c>
      <c r="J655" s="88">
        <f t="shared" ref="J655:J658" si="110">I655</f>
        <v>45723</v>
      </c>
      <c r="K655" s="93">
        <v>63.7</v>
      </c>
      <c r="L655" s="90"/>
      <c r="M655" s="51"/>
      <c r="N655" s="94"/>
      <c r="O655" s="94"/>
      <c r="P655" s="93">
        <v>0.0</v>
      </c>
      <c r="Q655" s="91"/>
    </row>
    <row r="656" ht="14.25" hidden="1" customHeight="1" outlineLevel="2">
      <c r="A656" s="102">
        <v>45718.0</v>
      </c>
      <c r="B656" s="97">
        <f t="shared" si="109"/>
        <v>45718</v>
      </c>
      <c r="C656" s="129" t="s">
        <v>118</v>
      </c>
      <c r="D656" s="277" t="s">
        <v>242</v>
      </c>
      <c r="E656" s="298">
        <v>408.0</v>
      </c>
      <c r="F656" s="277" t="s">
        <v>963</v>
      </c>
      <c r="G656" s="276"/>
      <c r="I656" s="86">
        <v>45727.0</v>
      </c>
      <c r="J656" s="88">
        <f t="shared" si="110"/>
        <v>45727</v>
      </c>
      <c r="K656" s="93">
        <v>31.75</v>
      </c>
      <c r="L656" s="90"/>
      <c r="M656" s="51"/>
      <c r="N656" s="165" t="s">
        <v>195</v>
      </c>
      <c r="O656" s="165"/>
      <c r="P656" s="291">
        <f>P655</f>
        <v>0</v>
      </c>
      <c r="Q656" s="114"/>
    </row>
    <row r="657" ht="14.25" hidden="1" customHeight="1" outlineLevel="2">
      <c r="A657" s="10"/>
      <c r="B657" s="10"/>
      <c r="C657" s="129" t="s">
        <v>136</v>
      </c>
      <c r="D657" s="277" t="s">
        <v>413</v>
      </c>
      <c r="E657" s="298">
        <v>170.0</v>
      </c>
      <c r="F657" s="277" t="s">
        <v>965</v>
      </c>
      <c r="G657" s="276"/>
      <c r="I657" s="86">
        <v>45730.0</v>
      </c>
      <c r="J657" s="88">
        <f t="shared" si="110"/>
        <v>45730</v>
      </c>
      <c r="K657" s="93">
        <v>20.0</v>
      </c>
      <c r="L657" s="90"/>
      <c r="M657" s="51"/>
      <c r="N657" s="166"/>
      <c r="O657" s="167"/>
      <c r="P657" s="168"/>
      <c r="Q657" s="51"/>
    </row>
    <row r="658" ht="14.25" hidden="1" customHeight="1" outlineLevel="2">
      <c r="A658" s="299">
        <v>45719.0</v>
      </c>
      <c r="B658" s="197">
        <f t="shared" ref="B658:B664" si="111">A658</f>
        <v>45719</v>
      </c>
      <c r="C658" s="200" t="s">
        <v>118</v>
      </c>
      <c r="D658" s="300"/>
      <c r="E658" s="301"/>
      <c r="F658" s="300"/>
      <c r="G658" s="300" t="s">
        <v>421</v>
      </c>
      <c r="I658" s="86">
        <v>45741.0</v>
      </c>
      <c r="J658" s="88">
        <f t="shared" si="110"/>
        <v>45741</v>
      </c>
      <c r="K658" s="93">
        <v>44.0</v>
      </c>
      <c r="L658" s="90"/>
      <c r="M658" s="51"/>
      <c r="N658" s="235" t="s">
        <v>344</v>
      </c>
      <c r="O658" s="27"/>
      <c r="P658" s="27"/>
      <c r="Q658" s="28"/>
    </row>
    <row r="659" ht="14.25" hidden="1" customHeight="1" outlineLevel="2">
      <c r="A659" s="299">
        <v>45720.0</v>
      </c>
      <c r="B659" s="197">
        <f t="shared" si="111"/>
        <v>45720</v>
      </c>
      <c r="C659" s="200" t="s">
        <v>118</v>
      </c>
      <c r="D659" s="300"/>
      <c r="E659" s="301"/>
      <c r="F659" s="300"/>
      <c r="G659" s="300" t="s">
        <v>421</v>
      </c>
      <c r="I659" s="86"/>
      <c r="J659" s="88"/>
      <c r="K659" s="92"/>
      <c r="L659" s="90"/>
      <c r="M659" s="51"/>
      <c r="N659" s="81" t="s">
        <v>6</v>
      </c>
      <c r="O659" s="84" t="s">
        <v>115</v>
      </c>
      <c r="P659" s="84" t="s">
        <v>9</v>
      </c>
      <c r="Q659" s="81" t="s">
        <v>13</v>
      </c>
    </row>
    <row r="660" ht="14.25" hidden="1" customHeight="1" outlineLevel="2">
      <c r="A660" s="125">
        <v>45721.0</v>
      </c>
      <c r="B660" s="126">
        <f t="shared" si="111"/>
        <v>45721</v>
      </c>
      <c r="C660" s="129" t="s">
        <v>118</v>
      </c>
      <c r="D660" s="277" t="s">
        <v>490</v>
      </c>
      <c r="E660" s="298">
        <v>620.0</v>
      </c>
      <c r="F660" s="277" t="s">
        <v>505</v>
      </c>
      <c r="G660" s="277" t="s">
        <v>969</v>
      </c>
      <c r="I660" s="86"/>
      <c r="J660" s="88"/>
      <c r="K660" s="92"/>
      <c r="L660" s="90"/>
      <c r="M660" s="51"/>
      <c r="N660" s="86"/>
      <c r="O660" s="88" t="str">
        <f>N660</f>
        <v/>
      </c>
      <c r="P660" s="93"/>
      <c r="Q660" s="90"/>
    </row>
    <row r="661" ht="14.25" hidden="1" customHeight="1" outlineLevel="2">
      <c r="A661" s="125">
        <v>45722.0</v>
      </c>
      <c r="B661" s="126">
        <f t="shared" si="111"/>
        <v>45722</v>
      </c>
      <c r="C661" s="129" t="s">
        <v>118</v>
      </c>
      <c r="D661" s="277" t="s">
        <v>119</v>
      </c>
      <c r="E661" s="298">
        <v>35.0</v>
      </c>
      <c r="F661" s="277" t="s">
        <v>295</v>
      </c>
      <c r="G661" s="276"/>
      <c r="I661" s="86"/>
      <c r="J661" s="88"/>
      <c r="K661" s="92"/>
      <c r="L661" s="90"/>
      <c r="M661" s="51"/>
      <c r="N661" s="86"/>
      <c r="O661" s="88"/>
      <c r="P661" s="92"/>
      <c r="Q661" s="90"/>
    </row>
    <row r="662" ht="14.25" hidden="1" customHeight="1" outlineLevel="2">
      <c r="A662" s="125">
        <v>45723.0</v>
      </c>
      <c r="B662" s="126">
        <f t="shared" si="111"/>
        <v>45723</v>
      </c>
      <c r="C662" s="129" t="s">
        <v>118</v>
      </c>
      <c r="D662" s="277" t="s">
        <v>236</v>
      </c>
      <c r="E662" s="298">
        <v>120.0</v>
      </c>
      <c r="F662" s="277" t="s">
        <v>970</v>
      </c>
      <c r="G662" s="276"/>
      <c r="I662" s="86"/>
      <c r="J662" s="88"/>
      <c r="K662" s="92"/>
      <c r="L662" s="90"/>
      <c r="M662" s="51"/>
      <c r="N662" s="94"/>
      <c r="O662" s="94"/>
      <c r="P662" s="294"/>
      <c r="Q662" s="90"/>
    </row>
    <row r="663" ht="14.25" hidden="1" customHeight="1" outlineLevel="2">
      <c r="A663" s="125">
        <v>45724.0</v>
      </c>
      <c r="B663" s="126">
        <f t="shared" si="111"/>
        <v>45724</v>
      </c>
      <c r="C663" s="129" t="s">
        <v>118</v>
      </c>
      <c r="D663" s="277" t="s">
        <v>119</v>
      </c>
      <c r="E663" s="298">
        <v>126.0</v>
      </c>
      <c r="F663" s="277" t="s">
        <v>971</v>
      </c>
      <c r="G663" s="276"/>
      <c r="I663" s="108" t="s">
        <v>195</v>
      </c>
      <c r="J663" s="109"/>
      <c r="K663" s="113">
        <f>SUM(K655:K662)</f>
        <v>159.45</v>
      </c>
      <c r="L663" s="114"/>
      <c r="M663" s="51"/>
      <c r="N663" s="165" t="s">
        <v>195</v>
      </c>
      <c r="O663" s="165"/>
      <c r="P663" s="113">
        <f>SUM(P660:P661)</f>
        <v>0</v>
      </c>
      <c r="Q663" s="114"/>
    </row>
    <row r="664" ht="14.25" hidden="1" customHeight="1" outlineLevel="2">
      <c r="A664" s="102">
        <v>45725.0</v>
      </c>
      <c r="B664" s="97">
        <f t="shared" si="111"/>
        <v>45725</v>
      </c>
      <c r="C664" s="129" t="s">
        <v>118</v>
      </c>
      <c r="D664" s="277" t="s">
        <v>974</v>
      </c>
      <c r="E664" s="298">
        <v>545.0</v>
      </c>
      <c r="F664" s="277" t="s">
        <v>975</v>
      </c>
      <c r="G664" s="276"/>
    </row>
    <row r="665" ht="14.25" hidden="1" customHeight="1" outlineLevel="2">
      <c r="A665" s="10"/>
      <c r="B665" s="10"/>
      <c r="C665" s="129" t="s">
        <v>136</v>
      </c>
      <c r="D665" s="277" t="s">
        <v>342</v>
      </c>
      <c r="E665" s="302">
        <v>1301.0</v>
      </c>
      <c r="F665" s="277" t="s">
        <v>977</v>
      </c>
      <c r="G665" s="276"/>
    </row>
    <row r="666" ht="14.25" hidden="1" customHeight="1" outlineLevel="2">
      <c r="A666" s="125">
        <v>45726.0</v>
      </c>
      <c r="B666" s="126">
        <f t="shared" ref="B666:B672" si="112">A666</f>
        <v>45726</v>
      </c>
      <c r="C666" s="129" t="s">
        <v>118</v>
      </c>
      <c r="D666" s="277" t="s">
        <v>119</v>
      </c>
      <c r="E666" s="298">
        <v>22.0</v>
      </c>
      <c r="F666" s="277" t="s">
        <v>909</v>
      </c>
      <c r="G666" s="276"/>
    </row>
    <row r="667" ht="14.25" hidden="1" customHeight="1" outlineLevel="2">
      <c r="A667" s="125">
        <v>45727.0</v>
      </c>
      <c r="B667" s="126">
        <f t="shared" si="112"/>
        <v>45727</v>
      </c>
      <c r="C667" s="129" t="s">
        <v>118</v>
      </c>
      <c r="D667" s="277" t="s">
        <v>236</v>
      </c>
      <c r="E667" s="298">
        <v>22.0</v>
      </c>
      <c r="F667" s="277" t="s">
        <v>979</v>
      </c>
      <c r="G667" s="276"/>
    </row>
    <row r="668" ht="14.25" hidden="1" customHeight="1" outlineLevel="2">
      <c r="A668" s="125">
        <v>45728.0</v>
      </c>
      <c r="B668" s="126">
        <f t="shared" si="112"/>
        <v>45728</v>
      </c>
      <c r="C668" s="129" t="s">
        <v>118</v>
      </c>
      <c r="D668" s="277" t="s">
        <v>119</v>
      </c>
      <c r="E668" s="298">
        <v>46.0</v>
      </c>
      <c r="F668" s="277" t="s">
        <v>219</v>
      </c>
      <c r="G668" s="276"/>
    </row>
    <row r="669" ht="14.25" hidden="1" customHeight="1" outlineLevel="2">
      <c r="A669" s="125">
        <v>45729.0</v>
      </c>
      <c r="B669" s="126">
        <f t="shared" si="112"/>
        <v>45729</v>
      </c>
      <c r="C669" s="129" t="s">
        <v>118</v>
      </c>
      <c r="D669" s="277" t="s">
        <v>119</v>
      </c>
      <c r="E669" s="298">
        <v>29.0</v>
      </c>
      <c r="F669" s="277" t="s">
        <v>611</v>
      </c>
      <c r="G669" s="276"/>
    </row>
    <row r="670" ht="14.25" hidden="1" customHeight="1" outlineLevel="2">
      <c r="A670" s="125">
        <v>45730.0</v>
      </c>
      <c r="B670" s="126">
        <f t="shared" si="112"/>
        <v>45730</v>
      </c>
      <c r="C670" s="129" t="s">
        <v>118</v>
      </c>
      <c r="D670" s="277" t="s">
        <v>236</v>
      </c>
      <c r="E670" s="298">
        <v>125.0</v>
      </c>
      <c r="F670" s="277" t="s">
        <v>257</v>
      </c>
      <c r="G670" s="276"/>
    </row>
    <row r="671" ht="14.25" hidden="1" customHeight="1" outlineLevel="2">
      <c r="A671" s="125">
        <v>45731.0</v>
      </c>
      <c r="B671" s="126">
        <f t="shared" si="112"/>
        <v>45731</v>
      </c>
      <c r="C671" s="129" t="s">
        <v>118</v>
      </c>
      <c r="D671" s="277" t="s">
        <v>119</v>
      </c>
      <c r="E671" s="298">
        <v>83.0</v>
      </c>
      <c r="F671" s="277" t="s">
        <v>940</v>
      </c>
      <c r="G671" s="276"/>
    </row>
    <row r="672" ht="14.25" hidden="1" customHeight="1" outlineLevel="2">
      <c r="A672" s="102">
        <v>45732.0</v>
      </c>
      <c r="B672" s="97">
        <f t="shared" si="112"/>
        <v>45732</v>
      </c>
      <c r="C672" s="129" t="s">
        <v>118</v>
      </c>
      <c r="D672" s="277" t="s">
        <v>980</v>
      </c>
      <c r="E672" s="298">
        <v>710.0</v>
      </c>
      <c r="F672" s="277" t="s">
        <v>288</v>
      </c>
      <c r="G672" s="276"/>
    </row>
    <row r="673" ht="14.25" hidden="1" customHeight="1" outlineLevel="2">
      <c r="A673" s="10"/>
      <c r="B673" s="10"/>
      <c r="C673" s="129" t="s">
        <v>136</v>
      </c>
      <c r="D673" s="277" t="s">
        <v>413</v>
      </c>
      <c r="E673" s="298">
        <v>500.0</v>
      </c>
      <c r="F673" s="277" t="s">
        <v>129</v>
      </c>
      <c r="G673" s="276"/>
    </row>
    <row r="674" ht="14.25" hidden="1" customHeight="1" outlineLevel="2">
      <c r="A674" s="125">
        <v>45733.0</v>
      </c>
      <c r="B674" s="126">
        <f t="shared" ref="B674:B680" si="113">A674</f>
        <v>45733</v>
      </c>
      <c r="C674" s="129" t="s">
        <v>118</v>
      </c>
      <c r="D674" s="277" t="s">
        <v>119</v>
      </c>
      <c r="E674" s="298">
        <v>538.0</v>
      </c>
      <c r="F674" s="277" t="s">
        <v>744</v>
      </c>
      <c r="G674" s="276"/>
    </row>
    <row r="675" ht="14.25" hidden="1" customHeight="1" outlineLevel="2">
      <c r="A675" s="125">
        <v>45734.0</v>
      </c>
      <c r="B675" s="126">
        <f t="shared" si="113"/>
        <v>45734</v>
      </c>
      <c r="C675" s="129" t="s">
        <v>118</v>
      </c>
      <c r="D675" s="277" t="s">
        <v>236</v>
      </c>
      <c r="E675" s="298">
        <v>40.0</v>
      </c>
      <c r="F675" s="277" t="s">
        <v>378</v>
      </c>
      <c r="G675" s="276"/>
    </row>
    <row r="676" ht="14.25" hidden="1" customHeight="1" outlineLevel="2">
      <c r="A676" s="125">
        <v>45735.0</v>
      </c>
      <c r="B676" s="126">
        <f t="shared" si="113"/>
        <v>45735</v>
      </c>
      <c r="C676" s="129" t="s">
        <v>118</v>
      </c>
      <c r="D676" s="277" t="s">
        <v>119</v>
      </c>
      <c r="E676" s="298">
        <v>320.0</v>
      </c>
      <c r="F676" s="277" t="s">
        <v>835</v>
      </c>
      <c r="G676" s="276"/>
    </row>
    <row r="677" ht="14.25" hidden="1" customHeight="1" outlineLevel="2">
      <c r="A677" s="125">
        <v>45736.0</v>
      </c>
      <c r="B677" s="126">
        <f t="shared" si="113"/>
        <v>45736</v>
      </c>
      <c r="C677" s="129" t="s">
        <v>118</v>
      </c>
      <c r="D677" s="277" t="s">
        <v>119</v>
      </c>
      <c r="E677" s="298">
        <v>41.0</v>
      </c>
      <c r="F677" s="277" t="s">
        <v>758</v>
      </c>
      <c r="G677" s="276"/>
    </row>
    <row r="678" ht="14.25" hidden="1" customHeight="1" outlineLevel="2">
      <c r="A678" s="125">
        <v>45737.0</v>
      </c>
      <c r="B678" s="126">
        <f t="shared" si="113"/>
        <v>45737</v>
      </c>
      <c r="C678" s="129" t="s">
        <v>118</v>
      </c>
      <c r="D678" s="277" t="s">
        <v>236</v>
      </c>
      <c r="E678" s="298">
        <v>67.0</v>
      </c>
      <c r="F678" s="277" t="s">
        <v>983</v>
      </c>
      <c r="G678" s="276"/>
    </row>
    <row r="679" ht="14.25" hidden="1" customHeight="1" outlineLevel="2">
      <c r="A679" s="125">
        <v>45738.0</v>
      </c>
      <c r="B679" s="126">
        <f t="shared" si="113"/>
        <v>45738</v>
      </c>
      <c r="C679" s="129" t="s">
        <v>118</v>
      </c>
      <c r="D679" s="277" t="s">
        <v>119</v>
      </c>
      <c r="E679" s="298">
        <v>150.0</v>
      </c>
      <c r="F679" s="277" t="s">
        <v>984</v>
      </c>
      <c r="G679" s="276"/>
    </row>
    <row r="680" ht="14.25" hidden="1" customHeight="1" outlineLevel="2">
      <c r="A680" s="102">
        <v>45739.0</v>
      </c>
      <c r="B680" s="97">
        <f t="shared" si="113"/>
        <v>45739</v>
      </c>
      <c r="C680" s="200" t="s">
        <v>118</v>
      </c>
      <c r="D680" s="300"/>
      <c r="E680" s="301"/>
      <c r="F680" s="300"/>
      <c r="G680" s="300" t="s">
        <v>457</v>
      </c>
    </row>
    <row r="681" ht="14.25" hidden="1" customHeight="1" outlineLevel="2">
      <c r="A681" s="10"/>
      <c r="B681" s="10"/>
      <c r="C681" s="129" t="s">
        <v>136</v>
      </c>
      <c r="D681" s="277" t="s">
        <v>413</v>
      </c>
      <c r="E681" s="298">
        <v>900.0</v>
      </c>
      <c r="F681" s="277" t="s">
        <v>129</v>
      </c>
      <c r="G681" s="276"/>
    </row>
    <row r="682" ht="14.25" hidden="1" customHeight="1" outlineLevel="2">
      <c r="A682" s="125">
        <v>45740.0</v>
      </c>
      <c r="B682" s="126">
        <f t="shared" ref="B682:B690" si="114">A682</f>
        <v>45740</v>
      </c>
      <c r="C682" s="129" t="s">
        <v>118</v>
      </c>
      <c r="D682" s="277" t="s">
        <v>119</v>
      </c>
      <c r="E682" s="298">
        <v>64.0</v>
      </c>
      <c r="F682" s="277" t="s">
        <v>758</v>
      </c>
      <c r="G682" s="276"/>
    </row>
    <row r="683" ht="14.25" hidden="1" customHeight="1" outlineLevel="2">
      <c r="A683" s="125">
        <v>45741.0</v>
      </c>
      <c r="B683" s="126">
        <f t="shared" si="114"/>
        <v>45741</v>
      </c>
      <c r="C683" s="129" t="s">
        <v>118</v>
      </c>
      <c r="D683" s="277" t="s">
        <v>236</v>
      </c>
      <c r="E683" s="298">
        <v>90.0</v>
      </c>
      <c r="F683" s="277" t="s">
        <v>759</v>
      </c>
      <c r="G683" s="276"/>
    </row>
    <row r="684" ht="14.25" hidden="1" customHeight="1" outlineLevel="2">
      <c r="A684" s="125">
        <v>45742.0</v>
      </c>
      <c r="B684" s="126">
        <f t="shared" si="114"/>
        <v>45742</v>
      </c>
      <c r="C684" s="129" t="s">
        <v>118</v>
      </c>
      <c r="D684" s="277" t="s">
        <v>119</v>
      </c>
      <c r="E684" s="298">
        <v>51.0</v>
      </c>
      <c r="F684" s="277" t="s">
        <v>219</v>
      </c>
      <c r="G684" s="276"/>
    </row>
    <row r="685" ht="14.25" hidden="1" customHeight="1" outlineLevel="2">
      <c r="A685" s="125">
        <v>45743.0</v>
      </c>
      <c r="B685" s="126">
        <f t="shared" si="114"/>
        <v>45743</v>
      </c>
      <c r="C685" s="129" t="s">
        <v>118</v>
      </c>
      <c r="D685" s="277" t="s">
        <v>119</v>
      </c>
      <c r="E685" s="298">
        <v>66.0</v>
      </c>
      <c r="F685" s="277" t="s">
        <v>205</v>
      </c>
      <c r="G685" s="276"/>
    </row>
    <row r="686" ht="14.25" hidden="1" customHeight="1" outlineLevel="2">
      <c r="A686" s="125">
        <v>45744.0</v>
      </c>
      <c r="B686" s="126">
        <f t="shared" si="114"/>
        <v>45744</v>
      </c>
      <c r="C686" s="129" t="s">
        <v>118</v>
      </c>
      <c r="D686" s="277" t="s">
        <v>236</v>
      </c>
      <c r="E686" s="298">
        <v>88.0</v>
      </c>
      <c r="F686" s="277" t="s">
        <v>880</v>
      </c>
      <c r="G686" s="276"/>
    </row>
    <row r="687" ht="14.25" hidden="1" customHeight="1" outlineLevel="2">
      <c r="A687" s="125">
        <v>45745.0</v>
      </c>
      <c r="B687" s="126">
        <f t="shared" si="114"/>
        <v>45745</v>
      </c>
      <c r="C687" s="129" t="s">
        <v>118</v>
      </c>
      <c r="D687" s="277" t="s">
        <v>119</v>
      </c>
      <c r="E687" s="298">
        <v>130.0</v>
      </c>
      <c r="F687" s="277" t="s">
        <v>916</v>
      </c>
      <c r="G687" s="276"/>
    </row>
    <row r="688" ht="14.25" hidden="1" customHeight="1" outlineLevel="2">
      <c r="A688" s="125">
        <v>45746.0</v>
      </c>
      <c r="B688" s="126">
        <f t="shared" si="114"/>
        <v>45746</v>
      </c>
      <c r="C688" s="129" t="s">
        <v>118</v>
      </c>
      <c r="D688" s="277" t="s">
        <v>490</v>
      </c>
      <c r="E688" s="298">
        <v>580.0</v>
      </c>
      <c r="F688" s="277" t="s">
        <v>988</v>
      </c>
      <c r="G688" s="276"/>
    </row>
    <row r="689" ht="14.25" hidden="1" customHeight="1" outlineLevel="2">
      <c r="A689" s="125">
        <v>45746.0</v>
      </c>
      <c r="B689" s="126">
        <f t="shared" si="114"/>
        <v>45746</v>
      </c>
      <c r="C689" s="129" t="s">
        <v>136</v>
      </c>
      <c r="D689" s="277" t="s">
        <v>342</v>
      </c>
      <c r="E689" s="298">
        <v>600.0</v>
      </c>
      <c r="F689" s="277" t="s">
        <v>990</v>
      </c>
      <c r="G689" s="276"/>
    </row>
    <row r="690" ht="14.25" hidden="1" customHeight="1" outlineLevel="2">
      <c r="A690" s="125">
        <v>45747.0</v>
      </c>
      <c r="B690" s="126">
        <f t="shared" si="114"/>
        <v>45747</v>
      </c>
      <c r="C690" s="129" t="s">
        <v>118</v>
      </c>
      <c r="D690" s="277" t="s">
        <v>119</v>
      </c>
      <c r="E690" s="298">
        <v>77.0</v>
      </c>
      <c r="F690" s="277" t="s">
        <v>842</v>
      </c>
      <c r="G690" s="276"/>
    </row>
    <row r="691" ht="14.25" customHeight="1" outlineLevel="1">
      <c r="A691" s="117" t="s">
        <v>195</v>
      </c>
      <c r="B691" s="27"/>
      <c r="C691" s="27"/>
      <c r="D691" s="28"/>
      <c r="E691" s="262">
        <f>SUM(E655:E690)</f>
        <v>8676</v>
      </c>
      <c r="F691" s="276"/>
      <c r="G691" s="276"/>
    </row>
    <row r="692" ht="14.25" customHeight="1" outlineLevel="1"/>
    <row r="693" ht="14.25" customHeight="1" outlineLevel="1" collapsed="1">
      <c r="A693" s="122" t="s">
        <v>991</v>
      </c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3"/>
    </row>
    <row r="694" ht="14.25" hidden="1" customHeight="1" outlineLevel="2">
      <c r="A694" s="70" t="s">
        <v>90</v>
      </c>
      <c r="I694" s="72" t="s">
        <v>91</v>
      </c>
      <c r="J694" s="73"/>
      <c r="K694" s="73"/>
      <c r="L694" s="74"/>
      <c r="N694" s="72" t="s">
        <v>992</v>
      </c>
      <c r="O694" s="73"/>
      <c r="P694" s="73"/>
      <c r="Q694" s="74"/>
    </row>
    <row r="695" ht="14.25" hidden="1" customHeight="1" outlineLevel="2">
      <c r="A695" s="303" t="s">
        <v>6</v>
      </c>
      <c r="B695" s="304" t="s">
        <v>103</v>
      </c>
      <c r="C695" s="303" t="s">
        <v>104</v>
      </c>
      <c r="D695" s="303" t="s">
        <v>107</v>
      </c>
      <c r="E695" s="303" t="s">
        <v>109</v>
      </c>
      <c r="F695" s="304" t="s">
        <v>110</v>
      </c>
      <c r="G695" s="303" t="s">
        <v>13</v>
      </c>
      <c r="H695" s="51"/>
      <c r="I695" s="81" t="s">
        <v>6</v>
      </c>
      <c r="J695" s="84" t="s">
        <v>115</v>
      </c>
      <c r="K695" s="84" t="s">
        <v>9</v>
      </c>
      <c r="L695" s="81" t="s">
        <v>13</v>
      </c>
      <c r="M695" s="51"/>
      <c r="N695" s="81" t="s">
        <v>6</v>
      </c>
      <c r="O695" s="84" t="s">
        <v>115</v>
      </c>
      <c r="P695" s="84" t="s">
        <v>9</v>
      </c>
      <c r="Q695" s="81" t="s">
        <v>13</v>
      </c>
    </row>
    <row r="696" ht="14.25" hidden="1" customHeight="1" outlineLevel="2">
      <c r="A696" s="102">
        <v>45748.0</v>
      </c>
      <c r="B696" s="97">
        <f>A696</f>
        <v>45748</v>
      </c>
      <c r="C696" s="129" t="s">
        <v>118</v>
      </c>
      <c r="D696" s="305" t="s">
        <v>236</v>
      </c>
      <c r="E696" s="306">
        <v>8.0</v>
      </c>
      <c r="F696" s="305" t="s">
        <v>378</v>
      </c>
      <c r="G696" s="307"/>
      <c r="I696" s="86">
        <v>45748.0</v>
      </c>
      <c r="J696" s="88">
        <f t="shared" ref="J696:J700" si="115">I696</f>
        <v>45748</v>
      </c>
      <c r="K696" s="93">
        <v>45.15</v>
      </c>
      <c r="L696" s="90"/>
      <c r="M696" s="51"/>
      <c r="N696" s="86">
        <v>45761.0</v>
      </c>
      <c r="O696" s="88">
        <f>N696</f>
        <v>45761</v>
      </c>
      <c r="P696" s="93">
        <v>1500.0</v>
      </c>
      <c r="Q696" s="91" t="s">
        <v>993</v>
      </c>
    </row>
    <row r="697" ht="14.25" hidden="1" customHeight="1" outlineLevel="2">
      <c r="A697" s="10"/>
      <c r="B697" s="10"/>
      <c r="C697" s="129" t="s">
        <v>994</v>
      </c>
      <c r="D697" s="305" t="s">
        <v>456</v>
      </c>
      <c r="E697" s="306">
        <v>27.0</v>
      </c>
      <c r="F697" s="305" t="s">
        <v>683</v>
      </c>
      <c r="G697" s="307"/>
      <c r="I697" s="86">
        <v>45762.0</v>
      </c>
      <c r="J697" s="88">
        <f t="shared" si="115"/>
        <v>45762</v>
      </c>
      <c r="K697" s="93">
        <v>86.5</v>
      </c>
      <c r="L697" s="90"/>
      <c r="M697" s="51"/>
      <c r="N697" s="165" t="s">
        <v>195</v>
      </c>
      <c r="O697" s="165"/>
      <c r="P697" s="291">
        <f>P696</f>
        <v>1500</v>
      </c>
      <c r="Q697" s="114"/>
    </row>
    <row r="698" ht="14.25" hidden="1" customHeight="1" outlineLevel="2">
      <c r="A698" s="102">
        <v>45749.0</v>
      </c>
      <c r="B698" s="97">
        <f>A698</f>
        <v>45749</v>
      </c>
      <c r="C698" s="129" t="s">
        <v>118</v>
      </c>
      <c r="D698" s="305" t="s">
        <v>119</v>
      </c>
      <c r="E698" s="306">
        <v>22.0</v>
      </c>
      <c r="F698" s="305" t="s">
        <v>683</v>
      </c>
      <c r="G698" s="307"/>
      <c r="I698" s="86">
        <v>45766.0</v>
      </c>
      <c r="J698" s="88">
        <f t="shared" si="115"/>
        <v>45766</v>
      </c>
      <c r="K698" s="93">
        <v>50.1</v>
      </c>
      <c r="L698" s="90"/>
      <c r="M698" s="51"/>
      <c r="N698" s="166"/>
      <c r="O698" s="167"/>
      <c r="P698" s="168"/>
      <c r="Q698" s="51"/>
    </row>
    <row r="699" ht="14.25" hidden="1" customHeight="1" outlineLevel="2">
      <c r="A699" s="10"/>
      <c r="B699" s="10"/>
      <c r="C699" s="129" t="s">
        <v>994</v>
      </c>
      <c r="D699" s="305" t="s">
        <v>456</v>
      </c>
      <c r="E699" s="306">
        <v>104.0</v>
      </c>
      <c r="F699" s="305" t="s">
        <v>349</v>
      </c>
      <c r="G699" s="307"/>
      <c r="I699" s="86">
        <v>45769.0</v>
      </c>
      <c r="J699" s="88">
        <f t="shared" si="115"/>
        <v>45769</v>
      </c>
      <c r="K699" s="93">
        <v>35.95</v>
      </c>
      <c r="L699" s="90"/>
      <c r="M699" s="51"/>
      <c r="N699" s="235" t="s">
        <v>344</v>
      </c>
      <c r="O699" s="27"/>
      <c r="P699" s="27"/>
      <c r="Q699" s="28"/>
    </row>
    <row r="700" ht="14.25" hidden="1" customHeight="1" outlineLevel="2">
      <c r="A700" s="102">
        <v>45750.0</v>
      </c>
      <c r="B700" s="97">
        <f>A700</f>
        <v>45750</v>
      </c>
      <c r="C700" s="129" t="s">
        <v>118</v>
      </c>
      <c r="D700" s="305" t="s">
        <v>119</v>
      </c>
      <c r="E700" s="306">
        <v>81.0</v>
      </c>
      <c r="F700" s="305" t="s">
        <v>122</v>
      </c>
      <c r="G700" s="307"/>
      <c r="I700" s="86">
        <v>45775.0</v>
      </c>
      <c r="J700" s="88">
        <f t="shared" si="115"/>
        <v>45775</v>
      </c>
      <c r="K700" s="93">
        <v>40.0</v>
      </c>
      <c r="L700" s="90"/>
      <c r="M700" s="51"/>
      <c r="N700" s="81" t="s">
        <v>6</v>
      </c>
      <c r="O700" s="84" t="s">
        <v>115</v>
      </c>
      <c r="P700" s="84" t="s">
        <v>9</v>
      </c>
      <c r="Q700" s="81" t="s">
        <v>13</v>
      </c>
    </row>
    <row r="701" ht="14.25" hidden="1" customHeight="1" outlineLevel="2">
      <c r="A701" s="10"/>
      <c r="B701" s="10"/>
      <c r="C701" s="129" t="s">
        <v>994</v>
      </c>
      <c r="D701" s="305" t="s">
        <v>980</v>
      </c>
      <c r="E701" s="306">
        <v>49.0</v>
      </c>
      <c r="F701" s="305" t="s">
        <v>996</v>
      </c>
      <c r="G701" s="307"/>
      <c r="I701" s="86"/>
      <c r="J701" s="88"/>
      <c r="K701" s="92"/>
      <c r="L701" s="90"/>
      <c r="M701" s="51"/>
      <c r="N701" s="86"/>
      <c r="O701" s="88" t="str">
        <f>N701</f>
        <v/>
      </c>
      <c r="P701" s="93"/>
      <c r="Q701" s="90"/>
    </row>
    <row r="702" ht="14.25" hidden="1" customHeight="1" outlineLevel="2">
      <c r="A702" s="102">
        <v>45751.0</v>
      </c>
      <c r="B702" s="97">
        <f>A702</f>
        <v>45751</v>
      </c>
      <c r="C702" s="129" t="s">
        <v>118</v>
      </c>
      <c r="D702" s="305" t="s">
        <v>236</v>
      </c>
      <c r="E702" s="306">
        <v>89.0</v>
      </c>
      <c r="F702" s="305" t="s">
        <v>998</v>
      </c>
      <c r="G702" s="307"/>
      <c r="I702" s="86"/>
      <c r="J702" s="88"/>
      <c r="K702" s="92"/>
      <c r="L702" s="90"/>
      <c r="M702" s="51"/>
      <c r="N702" s="86"/>
      <c r="O702" s="88"/>
      <c r="P702" s="92"/>
      <c r="Q702" s="90"/>
    </row>
    <row r="703" ht="14.25" hidden="1" customHeight="1" outlineLevel="2">
      <c r="A703" s="10"/>
      <c r="B703" s="10"/>
      <c r="C703" s="129" t="s">
        <v>994</v>
      </c>
      <c r="D703" s="305" t="s">
        <v>456</v>
      </c>
      <c r="E703" s="306">
        <v>51.0</v>
      </c>
      <c r="F703" s="305" t="s">
        <v>1001</v>
      </c>
      <c r="G703" s="307"/>
      <c r="I703" s="86"/>
      <c r="J703" s="88"/>
      <c r="K703" s="92"/>
      <c r="L703" s="90"/>
      <c r="M703" s="51"/>
      <c r="N703" s="94"/>
      <c r="O703" s="94"/>
      <c r="P703" s="294"/>
      <c r="Q703" s="90"/>
    </row>
    <row r="704" ht="14.25" hidden="1" customHeight="1" outlineLevel="2">
      <c r="A704" s="125">
        <v>45752.0</v>
      </c>
      <c r="B704" s="126">
        <f t="shared" ref="B704:B705" si="116">A704</f>
        <v>45752</v>
      </c>
      <c r="C704" s="129" t="s">
        <v>118</v>
      </c>
      <c r="D704" s="305" t="s">
        <v>119</v>
      </c>
      <c r="E704" s="306">
        <v>140.0</v>
      </c>
      <c r="F704" s="305" t="s">
        <v>1002</v>
      </c>
      <c r="G704" s="307"/>
      <c r="I704" s="108" t="s">
        <v>195</v>
      </c>
      <c r="J704" s="109"/>
      <c r="K704" s="113">
        <f>SUM(K696:K703)</f>
        <v>257.7</v>
      </c>
      <c r="L704" s="114"/>
      <c r="M704" s="51"/>
      <c r="N704" s="165" t="s">
        <v>195</v>
      </c>
      <c r="O704" s="165"/>
      <c r="P704" s="113">
        <f>SUM(P701:P702)</f>
        <v>0</v>
      </c>
      <c r="Q704" s="114"/>
    </row>
    <row r="705" ht="14.25" hidden="1" customHeight="1" outlineLevel="2">
      <c r="A705" s="102">
        <v>45753.0</v>
      </c>
      <c r="B705" s="97">
        <f t="shared" si="116"/>
        <v>45753</v>
      </c>
      <c r="C705" s="129" t="s">
        <v>118</v>
      </c>
      <c r="D705" s="305" t="s">
        <v>490</v>
      </c>
      <c r="E705" s="306">
        <v>460.0</v>
      </c>
      <c r="F705" s="305" t="s">
        <v>288</v>
      </c>
      <c r="G705" s="307"/>
    </row>
    <row r="706" ht="14.25" hidden="1" customHeight="1" outlineLevel="2">
      <c r="A706" s="10"/>
      <c r="B706" s="10"/>
      <c r="C706" s="129" t="s">
        <v>136</v>
      </c>
      <c r="D706" s="305" t="s">
        <v>413</v>
      </c>
      <c r="E706" s="306">
        <v>575.0</v>
      </c>
      <c r="F706" s="305" t="s">
        <v>1004</v>
      </c>
      <c r="G706" s="307"/>
    </row>
    <row r="707" ht="14.25" hidden="1" customHeight="1" outlineLevel="2">
      <c r="A707" s="102">
        <v>45754.0</v>
      </c>
      <c r="B707" s="97">
        <f>A707</f>
        <v>45754</v>
      </c>
      <c r="C707" s="129" t="s">
        <v>118</v>
      </c>
      <c r="D707" s="305" t="s">
        <v>119</v>
      </c>
      <c r="E707" s="306">
        <v>14.0</v>
      </c>
      <c r="F707" s="305" t="s">
        <v>909</v>
      </c>
      <c r="G707" s="307"/>
    </row>
    <row r="708" ht="14.25" hidden="1" customHeight="1" outlineLevel="2">
      <c r="A708" s="10"/>
      <c r="B708" s="10"/>
      <c r="C708" s="129" t="s">
        <v>994</v>
      </c>
      <c r="D708" s="305" t="s">
        <v>456</v>
      </c>
      <c r="E708" s="306">
        <v>150.0</v>
      </c>
      <c r="F708" s="305" t="s">
        <v>683</v>
      </c>
      <c r="G708" s="307"/>
    </row>
    <row r="709" ht="14.25" hidden="1" customHeight="1" outlineLevel="2">
      <c r="A709" s="102">
        <v>45755.0</v>
      </c>
      <c r="B709" s="97">
        <f>A709</f>
        <v>45755</v>
      </c>
      <c r="C709" s="129" t="s">
        <v>118</v>
      </c>
      <c r="D709" s="305" t="s">
        <v>236</v>
      </c>
      <c r="E709" s="306">
        <v>30.0</v>
      </c>
      <c r="F709" s="305" t="s">
        <v>150</v>
      </c>
      <c r="G709" s="307"/>
    </row>
    <row r="710" ht="14.25" hidden="1" customHeight="1" outlineLevel="2">
      <c r="A710" s="10"/>
      <c r="B710" s="10"/>
      <c r="C710" s="129" t="s">
        <v>994</v>
      </c>
      <c r="D710" s="305" t="s">
        <v>456</v>
      </c>
      <c r="E710" s="306">
        <v>38.0</v>
      </c>
      <c r="F710" s="305" t="s">
        <v>1005</v>
      </c>
      <c r="G710" s="307"/>
    </row>
    <row r="711" ht="14.25" hidden="1" customHeight="1" outlineLevel="2">
      <c r="A711" s="102">
        <v>45756.0</v>
      </c>
      <c r="B711" s="97">
        <f>A711</f>
        <v>45756</v>
      </c>
      <c r="C711" s="129" t="s">
        <v>118</v>
      </c>
      <c r="D711" s="305" t="s">
        <v>119</v>
      </c>
      <c r="E711" s="306">
        <v>14.0</v>
      </c>
      <c r="F711" s="305" t="s">
        <v>1006</v>
      </c>
      <c r="G711" s="307"/>
    </row>
    <row r="712" ht="14.25" hidden="1" customHeight="1" outlineLevel="2">
      <c r="A712" s="10"/>
      <c r="B712" s="10"/>
      <c r="C712" s="129" t="s">
        <v>994</v>
      </c>
      <c r="D712" s="305" t="s">
        <v>456</v>
      </c>
      <c r="E712" s="306">
        <v>83.0</v>
      </c>
      <c r="F712" s="305" t="s">
        <v>1007</v>
      </c>
      <c r="G712" s="307"/>
    </row>
    <row r="713" ht="14.25" hidden="1" customHeight="1" outlineLevel="2">
      <c r="A713" s="102">
        <v>45757.0</v>
      </c>
      <c r="B713" s="97">
        <f>A713</f>
        <v>45757</v>
      </c>
      <c r="C713" s="129" t="s">
        <v>118</v>
      </c>
      <c r="D713" s="305" t="s">
        <v>119</v>
      </c>
      <c r="E713" s="306">
        <v>118.0</v>
      </c>
      <c r="F713" s="305" t="s">
        <v>1008</v>
      </c>
      <c r="G713" s="307"/>
    </row>
    <row r="714" ht="14.25" hidden="1" customHeight="1" outlineLevel="2">
      <c r="A714" s="10"/>
      <c r="B714" s="10"/>
      <c r="C714" s="129" t="s">
        <v>994</v>
      </c>
      <c r="D714" s="305" t="s">
        <v>980</v>
      </c>
      <c r="E714" s="306">
        <v>21.0</v>
      </c>
      <c r="F714" s="305" t="s">
        <v>428</v>
      </c>
      <c r="G714" s="307"/>
    </row>
    <row r="715" ht="14.25" hidden="1" customHeight="1" outlineLevel="2">
      <c r="A715" s="102">
        <v>45758.0</v>
      </c>
      <c r="B715" s="97">
        <f>A715</f>
        <v>45758</v>
      </c>
      <c r="C715" s="129" t="s">
        <v>118</v>
      </c>
      <c r="D715" s="305" t="s">
        <v>236</v>
      </c>
      <c r="E715" s="306">
        <v>70.0</v>
      </c>
      <c r="F715" s="305" t="s">
        <v>560</v>
      </c>
      <c r="G715" s="307"/>
    </row>
    <row r="716" ht="14.25" hidden="1" customHeight="1" outlineLevel="2">
      <c r="A716" s="10"/>
      <c r="B716" s="10"/>
      <c r="C716" s="129" t="s">
        <v>994</v>
      </c>
      <c r="D716" s="305" t="s">
        <v>1010</v>
      </c>
      <c r="E716" s="306">
        <v>31.0</v>
      </c>
      <c r="F716" s="305" t="s">
        <v>1011</v>
      </c>
      <c r="G716" s="307"/>
    </row>
    <row r="717" ht="14.25" hidden="1" customHeight="1" outlineLevel="2">
      <c r="A717" s="125">
        <v>45759.0</v>
      </c>
      <c r="B717" s="126">
        <f t="shared" ref="B717:B718" si="117">A717</f>
        <v>45759</v>
      </c>
      <c r="C717" s="129" t="s">
        <v>118</v>
      </c>
      <c r="D717" s="305" t="s">
        <v>119</v>
      </c>
      <c r="E717" s="306">
        <v>164.0</v>
      </c>
      <c r="F717" s="305" t="s">
        <v>1012</v>
      </c>
      <c r="G717" s="307"/>
    </row>
    <row r="718" ht="14.25" hidden="1" customHeight="1" outlineLevel="2">
      <c r="A718" s="102">
        <v>45760.0</v>
      </c>
      <c r="B718" s="97">
        <f t="shared" si="117"/>
        <v>45760</v>
      </c>
      <c r="C718" s="129" t="s">
        <v>118</v>
      </c>
      <c r="D718" s="305" t="s">
        <v>490</v>
      </c>
      <c r="E718" s="306">
        <v>479.0</v>
      </c>
      <c r="F718" s="305" t="s">
        <v>683</v>
      </c>
      <c r="G718" s="307"/>
    </row>
    <row r="719" ht="14.25" hidden="1" customHeight="1" outlineLevel="2">
      <c r="A719" s="58"/>
      <c r="B719" s="58"/>
      <c r="C719" s="129" t="s">
        <v>994</v>
      </c>
      <c r="D719" s="305" t="s">
        <v>980</v>
      </c>
      <c r="E719" s="306">
        <v>391.0</v>
      </c>
      <c r="F719" s="305" t="s">
        <v>283</v>
      </c>
      <c r="G719" s="307"/>
    </row>
    <row r="720" ht="14.25" hidden="1" customHeight="1" outlineLevel="2">
      <c r="A720" s="10"/>
      <c r="B720" s="10"/>
      <c r="C720" s="129" t="s">
        <v>136</v>
      </c>
      <c r="D720" s="305" t="s">
        <v>342</v>
      </c>
      <c r="E720" s="306">
        <v>440.0</v>
      </c>
      <c r="F720" s="305" t="s">
        <v>580</v>
      </c>
      <c r="G720" s="307"/>
    </row>
    <row r="721" ht="14.25" hidden="1" customHeight="1" outlineLevel="2">
      <c r="A721" s="102">
        <v>45761.0</v>
      </c>
      <c r="B721" s="97">
        <f>A721</f>
        <v>45761</v>
      </c>
      <c r="C721" s="129" t="s">
        <v>118</v>
      </c>
      <c r="D721" s="305" t="s">
        <v>119</v>
      </c>
      <c r="E721" s="306">
        <v>49.0</v>
      </c>
      <c r="F721" s="305" t="s">
        <v>744</v>
      </c>
      <c r="G721" s="307"/>
    </row>
    <row r="722" ht="14.25" hidden="1" customHeight="1" outlineLevel="2">
      <c r="A722" s="10"/>
      <c r="B722" s="10"/>
      <c r="C722" s="129" t="s">
        <v>994</v>
      </c>
      <c r="D722" s="305" t="s">
        <v>456</v>
      </c>
      <c r="E722" s="306">
        <v>86.0</v>
      </c>
      <c r="F722" s="305" t="s">
        <v>1014</v>
      </c>
      <c r="G722" s="307"/>
    </row>
    <row r="723" ht="14.25" hidden="1" customHeight="1" outlineLevel="2">
      <c r="A723" s="102">
        <v>45762.0</v>
      </c>
      <c r="B723" s="97">
        <f>A723</f>
        <v>45762</v>
      </c>
      <c r="C723" s="129" t="s">
        <v>118</v>
      </c>
      <c r="D723" s="305" t="s">
        <v>236</v>
      </c>
      <c r="E723" s="306">
        <v>58.0</v>
      </c>
      <c r="F723" s="305" t="s">
        <v>301</v>
      </c>
      <c r="G723" s="307"/>
    </row>
    <row r="724" ht="14.25" hidden="1" customHeight="1" outlineLevel="2">
      <c r="A724" s="10"/>
      <c r="B724" s="10"/>
      <c r="C724" s="129" t="s">
        <v>994</v>
      </c>
      <c r="D724" s="305" t="s">
        <v>456</v>
      </c>
      <c r="E724" s="306">
        <v>53.0</v>
      </c>
      <c r="F724" s="305" t="s">
        <v>1015</v>
      </c>
      <c r="G724" s="307"/>
    </row>
    <row r="725" ht="14.25" hidden="1" customHeight="1" outlineLevel="2">
      <c r="A725" s="102">
        <v>45763.0</v>
      </c>
      <c r="B725" s="97">
        <f>A725</f>
        <v>45763</v>
      </c>
      <c r="C725" s="129" t="s">
        <v>118</v>
      </c>
      <c r="D725" s="305" t="s">
        <v>119</v>
      </c>
      <c r="E725" s="306">
        <v>65.0</v>
      </c>
      <c r="F725" s="305" t="s">
        <v>1016</v>
      </c>
      <c r="G725" s="307"/>
    </row>
    <row r="726" ht="14.25" hidden="1" customHeight="1" outlineLevel="2">
      <c r="A726" s="58"/>
      <c r="B726" s="58"/>
      <c r="C726" s="129" t="s">
        <v>994</v>
      </c>
      <c r="D726" s="305" t="s">
        <v>456</v>
      </c>
      <c r="E726" s="306">
        <v>15.0</v>
      </c>
      <c r="F726" s="305" t="s">
        <v>349</v>
      </c>
      <c r="G726" s="307"/>
    </row>
    <row r="727" ht="14.25" hidden="1" customHeight="1" outlineLevel="2">
      <c r="A727" s="10"/>
      <c r="B727" s="10"/>
      <c r="C727" s="129" t="s">
        <v>136</v>
      </c>
      <c r="D727" s="305" t="s">
        <v>490</v>
      </c>
      <c r="E727" s="306">
        <v>165.0</v>
      </c>
      <c r="F727" s="305" t="s">
        <v>1017</v>
      </c>
      <c r="G727" s="307"/>
    </row>
    <row r="728" ht="14.25" hidden="1" customHeight="1" outlineLevel="2">
      <c r="A728" s="125">
        <v>45764.0</v>
      </c>
      <c r="B728" s="126">
        <f t="shared" ref="B728:B731" si="118">A728</f>
        <v>45764</v>
      </c>
      <c r="C728" s="129" t="s">
        <v>136</v>
      </c>
      <c r="D728" s="305" t="s">
        <v>490</v>
      </c>
      <c r="E728" s="306">
        <v>733.0</v>
      </c>
      <c r="F728" s="305" t="s">
        <v>630</v>
      </c>
      <c r="G728" s="307"/>
    </row>
    <row r="729" ht="14.25" hidden="1" customHeight="1" outlineLevel="2">
      <c r="A729" s="125">
        <v>45765.0</v>
      </c>
      <c r="B729" s="126">
        <f t="shared" si="118"/>
        <v>45765</v>
      </c>
      <c r="C729" s="129" t="s">
        <v>994</v>
      </c>
      <c r="D729" s="305" t="s">
        <v>490</v>
      </c>
      <c r="E729" s="306">
        <v>863.0</v>
      </c>
      <c r="F729" s="305" t="s">
        <v>674</v>
      </c>
      <c r="G729" s="307"/>
    </row>
    <row r="730" ht="14.25" hidden="1" customHeight="1" outlineLevel="2">
      <c r="A730" s="125">
        <v>45766.0</v>
      </c>
      <c r="B730" s="126">
        <f t="shared" si="118"/>
        <v>45766</v>
      </c>
      <c r="C730" s="129" t="s">
        <v>136</v>
      </c>
      <c r="D730" s="305" t="s">
        <v>490</v>
      </c>
      <c r="E730" s="306">
        <v>518.0</v>
      </c>
      <c r="F730" s="305" t="s">
        <v>1018</v>
      </c>
      <c r="G730" s="307"/>
    </row>
    <row r="731" ht="14.25" hidden="1" customHeight="1" outlineLevel="2">
      <c r="A731" s="102">
        <v>45767.0</v>
      </c>
      <c r="B731" s="97">
        <f t="shared" si="118"/>
        <v>45767</v>
      </c>
      <c r="C731" s="129" t="s">
        <v>118</v>
      </c>
      <c r="D731" s="305" t="s">
        <v>490</v>
      </c>
      <c r="E731" s="306">
        <v>460.0</v>
      </c>
      <c r="F731" s="305" t="s">
        <v>1019</v>
      </c>
      <c r="G731" s="307"/>
    </row>
    <row r="732" ht="14.25" hidden="1" customHeight="1" outlineLevel="2">
      <c r="A732" s="58"/>
      <c r="B732" s="58"/>
      <c r="C732" s="129" t="s">
        <v>994</v>
      </c>
      <c r="D732" s="305" t="s">
        <v>1020</v>
      </c>
      <c r="E732" s="306">
        <v>386.0</v>
      </c>
      <c r="F732" s="305" t="s">
        <v>1021</v>
      </c>
      <c r="G732" s="307"/>
    </row>
    <row r="733" ht="14.25" hidden="1" customHeight="1" outlineLevel="2">
      <c r="A733" s="10"/>
      <c r="B733" s="10"/>
      <c r="C733" s="129" t="s">
        <v>136</v>
      </c>
      <c r="D733" s="305" t="s">
        <v>413</v>
      </c>
      <c r="E733" s="306">
        <v>207.0</v>
      </c>
      <c r="F733" s="305" t="s">
        <v>1023</v>
      </c>
      <c r="G733" s="307"/>
    </row>
    <row r="734" ht="14.25" hidden="1" customHeight="1" outlineLevel="2">
      <c r="A734" s="102">
        <v>45768.0</v>
      </c>
      <c r="B734" s="97">
        <f>A734</f>
        <v>45768</v>
      </c>
      <c r="C734" s="129" t="s">
        <v>118</v>
      </c>
      <c r="D734" s="305" t="s">
        <v>119</v>
      </c>
      <c r="E734" s="308">
        <v>60.0</v>
      </c>
      <c r="F734" s="309" t="s">
        <v>295</v>
      </c>
      <c r="G734" s="307"/>
    </row>
    <row r="735" ht="14.25" hidden="1" customHeight="1" outlineLevel="2">
      <c r="A735" s="10"/>
      <c r="B735" s="10"/>
      <c r="C735" s="129" t="s">
        <v>994</v>
      </c>
      <c r="D735" s="309" t="s">
        <v>456</v>
      </c>
      <c r="E735" s="310">
        <v>73.0</v>
      </c>
      <c r="F735" s="309" t="s">
        <v>428</v>
      </c>
      <c r="G735" s="307"/>
    </row>
    <row r="736" ht="14.25" hidden="1" customHeight="1" outlineLevel="2">
      <c r="A736" s="102">
        <v>45769.0</v>
      </c>
      <c r="B736" s="97">
        <f>A736</f>
        <v>45769</v>
      </c>
      <c r="C736" s="129" t="s">
        <v>118</v>
      </c>
      <c r="D736" s="309" t="s">
        <v>236</v>
      </c>
      <c r="E736" s="310">
        <v>22.0</v>
      </c>
      <c r="F736" s="309" t="s">
        <v>679</v>
      </c>
      <c r="G736" s="307"/>
    </row>
    <row r="737" ht="14.25" hidden="1" customHeight="1" outlineLevel="2">
      <c r="A737" s="10"/>
      <c r="B737" s="10"/>
      <c r="C737" s="129" t="s">
        <v>994</v>
      </c>
      <c r="D737" s="309" t="s">
        <v>456</v>
      </c>
      <c r="E737" s="310">
        <v>34.0</v>
      </c>
      <c r="F737" s="309" t="s">
        <v>1024</v>
      </c>
      <c r="G737" s="307"/>
    </row>
    <row r="738" ht="14.25" hidden="1" customHeight="1" outlineLevel="2">
      <c r="A738" s="102">
        <v>45770.0</v>
      </c>
      <c r="B738" s="97">
        <f>A738</f>
        <v>45770</v>
      </c>
      <c r="C738" s="129" t="s">
        <v>118</v>
      </c>
      <c r="D738" s="305" t="s">
        <v>119</v>
      </c>
      <c r="E738" s="308">
        <v>44.0</v>
      </c>
      <c r="F738" s="311" t="s">
        <v>683</v>
      </c>
      <c r="G738" s="307"/>
    </row>
    <row r="739" ht="14.25" hidden="1" customHeight="1" outlineLevel="2">
      <c r="A739" s="10"/>
      <c r="B739" s="10"/>
      <c r="C739" s="129" t="s">
        <v>994</v>
      </c>
      <c r="D739" s="309" t="s">
        <v>456</v>
      </c>
      <c r="E739" s="310">
        <v>55.0</v>
      </c>
      <c r="F739" s="309" t="s">
        <v>153</v>
      </c>
      <c r="G739" s="307"/>
    </row>
    <row r="740" ht="14.25" hidden="1" customHeight="1" outlineLevel="2">
      <c r="A740" s="102">
        <v>45771.0</v>
      </c>
      <c r="B740" s="97">
        <f>A740</f>
        <v>45771</v>
      </c>
      <c r="C740" s="129" t="s">
        <v>118</v>
      </c>
      <c r="D740" s="309" t="s">
        <v>119</v>
      </c>
      <c r="E740" s="310">
        <v>22.0</v>
      </c>
      <c r="F740" s="309" t="s">
        <v>122</v>
      </c>
      <c r="G740" s="307"/>
    </row>
    <row r="741" ht="14.25" hidden="1" customHeight="1" outlineLevel="2">
      <c r="A741" s="10"/>
      <c r="B741" s="10"/>
      <c r="C741" s="129" t="s">
        <v>994</v>
      </c>
      <c r="D741" s="309" t="s">
        <v>980</v>
      </c>
      <c r="E741" s="310">
        <v>24.0</v>
      </c>
      <c r="F741" s="309" t="s">
        <v>428</v>
      </c>
      <c r="G741" s="307"/>
    </row>
    <row r="742" ht="14.25" hidden="1" customHeight="1" outlineLevel="2">
      <c r="A742" s="102">
        <v>45772.0</v>
      </c>
      <c r="B742" s="97">
        <f>A742</f>
        <v>45772</v>
      </c>
      <c r="C742" s="129" t="s">
        <v>118</v>
      </c>
      <c r="D742" s="309" t="s">
        <v>236</v>
      </c>
      <c r="E742" s="310">
        <v>42.0</v>
      </c>
      <c r="F742" s="309" t="s">
        <v>1029</v>
      </c>
      <c r="G742" s="307"/>
    </row>
    <row r="743" ht="14.25" hidden="1" customHeight="1" outlineLevel="2">
      <c r="A743" s="10"/>
      <c r="B743" s="10"/>
      <c r="C743" s="129" t="s">
        <v>994</v>
      </c>
      <c r="D743" s="309" t="s">
        <v>456</v>
      </c>
      <c r="E743" s="310">
        <v>14.0</v>
      </c>
      <c r="F743" s="309" t="s">
        <v>349</v>
      </c>
      <c r="G743" s="307"/>
    </row>
    <row r="744" ht="14.25" hidden="1" customHeight="1" outlineLevel="2">
      <c r="A744" s="125">
        <v>45773.0</v>
      </c>
      <c r="B744" s="126">
        <f t="shared" ref="B744:B745" si="119">A744</f>
        <v>45773</v>
      </c>
      <c r="C744" s="129" t="s">
        <v>118</v>
      </c>
      <c r="D744" s="305" t="s">
        <v>119</v>
      </c>
      <c r="E744" s="310">
        <v>150.0</v>
      </c>
      <c r="F744" s="309" t="s">
        <v>579</v>
      </c>
      <c r="G744" s="307"/>
    </row>
    <row r="745" ht="14.25" hidden="1" customHeight="1" outlineLevel="2">
      <c r="A745" s="102">
        <v>45774.0</v>
      </c>
      <c r="B745" s="97">
        <f t="shared" si="119"/>
        <v>45774</v>
      </c>
      <c r="C745" s="129" t="s">
        <v>118</v>
      </c>
      <c r="D745" s="309" t="s">
        <v>643</v>
      </c>
      <c r="E745" s="310">
        <v>301.0</v>
      </c>
      <c r="F745" s="309" t="s">
        <v>428</v>
      </c>
      <c r="G745" s="307"/>
    </row>
    <row r="746" ht="14.25" hidden="1" customHeight="1" outlineLevel="2">
      <c r="A746" s="58"/>
      <c r="B746" s="58"/>
      <c r="C746" s="129" t="s">
        <v>994</v>
      </c>
      <c r="D746" s="309" t="s">
        <v>1020</v>
      </c>
      <c r="E746" s="310">
        <v>350.0</v>
      </c>
      <c r="F746" s="309" t="s">
        <v>918</v>
      </c>
      <c r="G746" s="307"/>
    </row>
    <row r="747" ht="14.25" hidden="1" customHeight="1" outlineLevel="2">
      <c r="A747" s="10"/>
      <c r="B747" s="10"/>
      <c r="C747" s="129" t="s">
        <v>136</v>
      </c>
      <c r="D747" s="309" t="s">
        <v>325</v>
      </c>
      <c r="E747" s="310">
        <v>510.0</v>
      </c>
      <c r="F747" s="309" t="s">
        <v>579</v>
      </c>
      <c r="G747" s="307"/>
    </row>
    <row r="748" ht="14.25" hidden="1" customHeight="1" outlineLevel="2">
      <c r="A748" s="102">
        <v>45775.0</v>
      </c>
      <c r="B748" s="97">
        <f>A748</f>
        <v>45775</v>
      </c>
      <c r="C748" s="129" t="s">
        <v>118</v>
      </c>
      <c r="D748" s="305" t="s">
        <v>119</v>
      </c>
      <c r="E748" s="310">
        <v>19.0</v>
      </c>
      <c r="F748" s="309" t="s">
        <v>303</v>
      </c>
      <c r="G748" s="307"/>
    </row>
    <row r="749" ht="14.25" hidden="1" customHeight="1" outlineLevel="2">
      <c r="A749" s="10"/>
      <c r="B749" s="10"/>
      <c r="C749" s="129" t="s">
        <v>994</v>
      </c>
      <c r="D749" s="309" t="s">
        <v>456</v>
      </c>
      <c r="E749" s="310">
        <v>23.0</v>
      </c>
      <c r="F749" s="309" t="s">
        <v>300</v>
      </c>
      <c r="G749" s="307"/>
    </row>
    <row r="750" ht="14.25" hidden="1" customHeight="1" outlineLevel="2">
      <c r="A750" s="102">
        <v>45776.0</v>
      </c>
      <c r="B750" s="97">
        <f>A750</f>
        <v>45776</v>
      </c>
      <c r="C750" s="129" t="s">
        <v>118</v>
      </c>
      <c r="D750" s="309" t="s">
        <v>236</v>
      </c>
      <c r="E750" s="310">
        <v>27.0</v>
      </c>
      <c r="F750" s="309" t="s">
        <v>378</v>
      </c>
      <c r="G750" s="307"/>
    </row>
    <row r="751" ht="14.25" hidden="1" customHeight="1" outlineLevel="2">
      <c r="A751" s="10"/>
      <c r="B751" s="10"/>
      <c r="C751" s="129" t="s">
        <v>994</v>
      </c>
      <c r="D751" s="309" t="s">
        <v>456</v>
      </c>
      <c r="E751" s="310">
        <v>58.0</v>
      </c>
      <c r="F751" s="309" t="s">
        <v>300</v>
      </c>
      <c r="G751" s="307"/>
    </row>
    <row r="752" ht="14.25" hidden="1" customHeight="1" outlineLevel="2">
      <c r="A752" s="102">
        <v>45777.0</v>
      </c>
      <c r="B752" s="97">
        <f>A752</f>
        <v>45777</v>
      </c>
      <c r="C752" s="129" t="s">
        <v>118</v>
      </c>
      <c r="D752" s="305" t="s">
        <v>119</v>
      </c>
      <c r="E752" s="310">
        <v>11.0</v>
      </c>
      <c r="F752" s="309" t="s">
        <v>1033</v>
      </c>
      <c r="G752" s="307"/>
    </row>
    <row r="753" ht="14.25" hidden="1" customHeight="1" outlineLevel="2">
      <c r="A753" s="10"/>
      <c r="B753" s="10"/>
      <c r="C753" s="129" t="s">
        <v>994</v>
      </c>
      <c r="D753" s="309" t="s">
        <v>456</v>
      </c>
      <c r="E753" s="310">
        <v>32.0</v>
      </c>
      <c r="F753" s="309" t="s">
        <v>1011</v>
      </c>
      <c r="G753" s="307"/>
    </row>
    <row r="754" ht="14.25" customHeight="1" outlineLevel="1">
      <c r="A754" s="117" t="s">
        <v>195</v>
      </c>
      <c r="B754" s="27"/>
      <c r="C754" s="27"/>
      <c r="D754" s="28"/>
      <c r="E754" s="312">
        <f>SUM(E696:E753)</f>
        <v>9178</v>
      </c>
      <c r="F754" s="276"/>
      <c r="G754" s="276"/>
    </row>
    <row r="755" ht="14.25" customHeight="1" outlineLevel="1"/>
    <row r="756" ht="14.25" customHeight="1" outlineLevel="1" collapsed="1">
      <c r="A756" s="122" t="s">
        <v>1035</v>
      </c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3"/>
    </row>
    <row r="757" ht="14.25" hidden="1" customHeight="1" outlineLevel="2">
      <c r="A757" s="70" t="s">
        <v>90</v>
      </c>
      <c r="I757" s="72" t="s">
        <v>91</v>
      </c>
      <c r="J757" s="73"/>
      <c r="K757" s="73"/>
      <c r="L757" s="74"/>
      <c r="N757" s="72" t="s">
        <v>992</v>
      </c>
      <c r="O757" s="73"/>
      <c r="P757" s="73"/>
      <c r="Q757" s="74"/>
    </row>
    <row r="758" ht="14.25" hidden="1" customHeight="1" outlineLevel="2">
      <c r="A758" s="303" t="s">
        <v>6</v>
      </c>
      <c r="B758" s="304" t="s">
        <v>103</v>
      </c>
      <c r="C758" s="303" t="s">
        <v>104</v>
      </c>
      <c r="D758" s="303" t="s">
        <v>107</v>
      </c>
      <c r="E758" s="303" t="s">
        <v>109</v>
      </c>
      <c r="F758" s="304" t="s">
        <v>110</v>
      </c>
      <c r="G758" s="303" t="s">
        <v>13</v>
      </c>
      <c r="H758" s="51"/>
      <c r="I758" s="81" t="s">
        <v>6</v>
      </c>
      <c r="J758" s="84" t="s">
        <v>115</v>
      </c>
      <c r="K758" s="84" t="s">
        <v>9</v>
      </c>
      <c r="L758" s="81" t="s">
        <v>13</v>
      </c>
      <c r="M758" s="51"/>
      <c r="N758" s="81" t="s">
        <v>6</v>
      </c>
      <c r="O758" s="84" t="s">
        <v>115</v>
      </c>
      <c r="P758" s="84" t="s">
        <v>9</v>
      </c>
      <c r="Q758" s="81" t="s">
        <v>13</v>
      </c>
    </row>
    <row r="759" ht="14.25" hidden="1" customHeight="1" outlineLevel="2">
      <c r="A759" s="102">
        <v>45778.0</v>
      </c>
      <c r="B759" s="97">
        <f>A759</f>
        <v>45778</v>
      </c>
      <c r="C759" s="313">
        <v>0.3333333333333333</v>
      </c>
      <c r="D759" s="305" t="s">
        <v>119</v>
      </c>
      <c r="E759" s="306">
        <v>130.0</v>
      </c>
      <c r="F759" s="305" t="s">
        <v>1040</v>
      </c>
      <c r="G759" s="307"/>
      <c r="I759" s="86">
        <v>45778.0</v>
      </c>
      <c r="J759" s="88">
        <f t="shared" ref="J759:J764" si="120">I759</f>
        <v>45778</v>
      </c>
      <c r="K759" s="93">
        <v>44.55</v>
      </c>
      <c r="L759" s="90"/>
      <c r="M759" s="51"/>
      <c r="N759" s="86">
        <v>45805.0</v>
      </c>
      <c r="O759" s="88">
        <f>N759</f>
        <v>45805</v>
      </c>
      <c r="P759" s="93">
        <v>4050.0</v>
      </c>
      <c r="Q759" s="91" t="s">
        <v>993</v>
      </c>
    </row>
    <row r="760" ht="14.25" hidden="1" customHeight="1" outlineLevel="2">
      <c r="A760" s="10"/>
      <c r="B760" s="10"/>
      <c r="C760" s="313">
        <v>0.5069444444444444</v>
      </c>
      <c r="D760" s="305" t="s">
        <v>456</v>
      </c>
      <c r="E760" s="306">
        <v>54.0</v>
      </c>
      <c r="F760" s="305" t="s">
        <v>1042</v>
      </c>
      <c r="G760" s="307"/>
      <c r="I760" s="86">
        <v>45784.0</v>
      </c>
      <c r="J760" s="88">
        <f t="shared" si="120"/>
        <v>45784</v>
      </c>
      <c r="K760" s="93">
        <v>43.7</v>
      </c>
      <c r="L760" s="90"/>
      <c r="M760" s="51"/>
      <c r="N760" s="165" t="s">
        <v>195</v>
      </c>
      <c r="O760" s="165"/>
      <c r="P760" s="291">
        <f>P759</f>
        <v>4050</v>
      </c>
      <c r="Q760" s="114"/>
    </row>
    <row r="761" ht="14.25" hidden="1" customHeight="1" outlineLevel="2">
      <c r="A761" s="102">
        <v>45779.0</v>
      </c>
      <c r="B761" s="97">
        <f>A761</f>
        <v>45779</v>
      </c>
      <c r="C761" s="313">
        <v>0.2916666666666667</v>
      </c>
      <c r="D761" s="305" t="s">
        <v>236</v>
      </c>
      <c r="E761" s="306">
        <v>118.0</v>
      </c>
      <c r="F761" s="305" t="s">
        <v>736</v>
      </c>
      <c r="G761" s="307"/>
      <c r="I761" s="86">
        <v>45788.0</v>
      </c>
      <c r="J761" s="88">
        <f t="shared" si="120"/>
        <v>45788</v>
      </c>
      <c r="K761" s="93">
        <v>58.0</v>
      </c>
      <c r="L761" s="90"/>
      <c r="M761" s="51"/>
      <c r="N761" s="166"/>
      <c r="O761" s="167"/>
      <c r="P761" s="168"/>
      <c r="Q761" s="51"/>
    </row>
    <row r="762" ht="14.25" hidden="1" customHeight="1" outlineLevel="2">
      <c r="A762" s="10"/>
      <c r="B762" s="10"/>
      <c r="C762" s="313">
        <v>0.5069444444444444</v>
      </c>
      <c r="D762" s="305" t="s">
        <v>456</v>
      </c>
      <c r="E762" s="306">
        <v>108.0</v>
      </c>
      <c r="F762" s="305" t="s">
        <v>1044</v>
      </c>
      <c r="G762" s="307"/>
      <c r="I762" s="86">
        <v>45792.0</v>
      </c>
      <c r="J762" s="88">
        <f t="shared" si="120"/>
        <v>45792</v>
      </c>
      <c r="K762" s="93">
        <v>41.0</v>
      </c>
      <c r="L762" s="90"/>
      <c r="M762" s="51"/>
      <c r="N762" s="235" t="s">
        <v>344</v>
      </c>
      <c r="O762" s="27"/>
      <c r="P762" s="27"/>
      <c r="Q762" s="28"/>
    </row>
    <row r="763" ht="14.25" hidden="1" customHeight="1" outlineLevel="2">
      <c r="A763" s="125">
        <v>45780.0</v>
      </c>
      <c r="B763" s="126">
        <f t="shared" ref="B763:B764" si="121">A763</f>
        <v>45780</v>
      </c>
      <c r="C763" s="313">
        <v>0.3333333333333333</v>
      </c>
      <c r="D763" s="305" t="s">
        <v>119</v>
      </c>
      <c r="E763" s="306">
        <v>211.0</v>
      </c>
      <c r="F763" s="305" t="s">
        <v>1046</v>
      </c>
      <c r="G763" s="307"/>
      <c r="I763" s="86">
        <v>45797.0</v>
      </c>
      <c r="J763" s="88">
        <f t="shared" si="120"/>
        <v>45797</v>
      </c>
      <c r="K763" s="93">
        <v>76.6</v>
      </c>
      <c r="L763" s="90"/>
      <c r="M763" s="51"/>
      <c r="N763" s="81" t="s">
        <v>6</v>
      </c>
      <c r="O763" s="84" t="s">
        <v>115</v>
      </c>
      <c r="P763" s="84" t="s">
        <v>9</v>
      </c>
      <c r="Q763" s="81" t="s">
        <v>13</v>
      </c>
    </row>
    <row r="764" ht="14.25" hidden="1" customHeight="1" outlineLevel="2">
      <c r="A764" s="102">
        <v>45781.0</v>
      </c>
      <c r="B764" s="97">
        <f t="shared" si="121"/>
        <v>45781</v>
      </c>
      <c r="C764" s="313">
        <v>0.3333333333333333</v>
      </c>
      <c r="D764" s="305" t="s">
        <v>490</v>
      </c>
      <c r="E764" s="306">
        <v>300.0</v>
      </c>
      <c r="F764" s="305" t="s">
        <v>1049</v>
      </c>
      <c r="G764" s="307"/>
      <c r="I764" s="86">
        <v>45801.0</v>
      </c>
      <c r="J764" s="88">
        <f t="shared" si="120"/>
        <v>45801</v>
      </c>
      <c r="K764" s="93">
        <v>68.5</v>
      </c>
      <c r="L764" s="90"/>
      <c r="M764" s="51"/>
      <c r="N764" s="86"/>
      <c r="O764" s="88" t="str">
        <f>N764</f>
        <v/>
      </c>
      <c r="P764" s="93"/>
      <c r="Q764" s="90"/>
    </row>
    <row r="765" ht="14.25" hidden="1" customHeight="1" outlineLevel="2">
      <c r="A765" s="58"/>
      <c r="B765" s="58"/>
      <c r="C765" s="313">
        <v>0.4583333333333333</v>
      </c>
      <c r="D765" s="305" t="s">
        <v>1020</v>
      </c>
      <c r="E765" s="306">
        <v>463.0</v>
      </c>
      <c r="F765" s="305" t="s">
        <v>300</v>
      </c>
      <c r="G765" s="307"/>
      <c r="I765" s="86"/>
      <c r="J765" s="88"/>
      <c r="K765" s="92"/>
      <c r="L765" s="90"/>
      <c r="M765" s="51"/>
      <c r="N765" s="86"/>
      <c r="O765" s="88"/>
      <c r="P765" s="92"/>
      <c r="Q765" s="90"/>
    </row>
    <row r="766" ht="14.25" hidden="1" customHeight="1" outlineLevel="2">
      <c r="A766" s="10"/>
      <c r="B766" s="10"/>
      <c r="C766" s="313">
        <v>0.7708333333333334</v>
      </c>
      <c r="D766" s="305" t="s">
        <v>413</v>
      </c>
      <c r="E766" s="306">
        <v>447.0</v>
      </c>
      <c r="F766" s="305" t="s">
        <v>1050</v>
      </c>
      <c r="G766" s="307"/>
      <c r="I766" s="86"/>
      <c r="J766" s="88"/>
      <c r="K766" s="92"/>
      <c r="L766" s="90"/>
      <c r="M766" s="51"/>
      <c r="N766" s="86"/>
      <c r="O766" s="88"/>
      <c r="P766" s="92"/>
      <c r="Q766" s="90"/>
    </row>
    <row r="767" ht="14.25" hidden="1" customHeight="1" outlineLevel="2">
      <c r="A767" s="102">
        <v>45782.0</v>
      </c>
      <c r="B767" s="97">
        <f>A767</f>
        <v>45782</v>
      </c>
      <c r="C767" s="313">
        <v>0.2916666666666667</v>
      </c>
      <c r="D767" s="305" t="s">
        <v>119</v>
      </c>
      <c r="E767" s="306">
        <v>12.0</v>
      </c>
      <c r="F767" s="305" t="s">
        <v>773</v>
      </c>
      <c r="G767" s="307"/>
      <c r="I767" s="86"/>
      <c r="J767" s="88"/>
      <c r="K767" s="92"/>
      <c r="L767" s="90"/>
      <c r="M767" s="51"/>
      <c r="N767" s="94"/>
      <c r="O767" s="94"/>
      <c r="P767" s="294"/>
      <c r="Q767" s="90"/>
    </row>
    <row r="768" ht="14.25" hidden="1" customHeight="1" outlineLevel="2">
      <c r="A768" s="10"/>
      <c r="B768" s="10"/>
      <c r="C768" s="313">
        <v>0.5069444444444444</v>
      </c>
      <c r="D768" s="305" t="s">
        <v>456</v>
      </c>
      <c r="E768" s="306">
        <v>21.0</v>
      </c>
      <c r="F768" s="305" t="s">
        <v>1051</v>
      </c>
      <c r="G768" s="307"/>
      <c r="I768" s="108" t="s">
        <v>195</v>
      </c>
      <c r="J768" s="109"/>
      <c r="K768" s="113">
        <f>SUM(K759:K767)</f>
        <v>332.35</v>
      </c>
      <c r="L768" s="114"/>
      <c r="M768" s="51"/>
      <c r="N768" s="165" t="s">
        <v>195</v>
      </c>
      <c r="O768" s="165"/>
      <c r="P768" s="113">
        <f>SUM(P764:P766)</f>
        <v>0</v>
      </c>
      <c r="Q768" s="114"/>
    </row>
    <row r="769" ht="14.25" hidden="1" customHeight="1" outlineLevel="2">
      <c r="A769" s="102">
        <v>45783.0</v>
      </c>
      <c r="B769" s="97">
        <f>A769</f>
        <v>45783</v>
      </c>
      <c r="C769" s="313">
        <v>0.2916666666666667</v>
      </c>
      <c r="D769" s="305" t="s">
        <v>236</v>
      </c>
      <c r="E769" s="306">
        <v>30.0</v>
      </c>
      <c r="F769" s="305" t="s">
        <v>218</v>
      </c>
      <c r="G769" s="307"/>
    </row>
    <row r="770" ht="14.25" hidden="1" customHeight="1" outlineLevel="2">
      <c r="A770" s="10"/>
      <c r="B770" s="10"/>
      <c r="C770" s="313">
        <v>0.5069444444444444</v>
      </c>
      <c r="D770" s="305" t="s">
        <v>456</v>
      </c>
      <c r="E770" s="306">
        <v>22.0</v>
      </c>
      <c r="F770" s="305" t="s">
        <v>1053</v>
      </c>
      <c r="G770" s="307"/>
    </row>
    <row r="771" ht="14.25" hidden="1" customHeight="1" outlineLevel="2">
      <c r="A771" s="102">
        <v>45784.0</v>
      </c>
      <c r="B771" s="97">
        <f>A771</f>
        <v>45784</v>
      </c>
      <c r="C771" s="313">
        <v>0.2916666666666667</v>
      </c>
      <c r="D771" s="305" t="s">
        <v>119</v>
      </c>
      <c r="E771" s="306">
        <v>44.0</v>
      </c>
      <c r="F771" s="305" t="s">
        <v>219</v>
      </c>
      <c r="G771" s="307"/>
    </row>
    <row r="772" ht="14.25" hidden="1" customHeight="1" outlineLevel="2">
      <c r="A772" s="10"/>
      <c r="B772" s="10"/>
      <c r="C772" s="313">
        <v>0.5069444444444444</v>
      </c>
      <c r="D772" s="305" t="s">
        <v>456</v>
      </c>
      <c r="E772" s="306">
        <v>6.0</v>
      </c>
      <c r="F772" s="305" t="s">
        <v>1054</v>
      </c>
      <c r="G772" s="307"/>
    </row>
    <row r="773" ht="14.25" hidden="1" customHeight="1" outlineLevel="2">
      <c r="A773" s="102">
        <v>45785.0</v>
      </c>
      <c r="B773" s="97">
        <f>A773</f>
        <v>45785</v>
      </c>
      <c r="C773" s="313">
        <v>0.2916666666666667</v>
      </c>
      <c r="D773" s="305" t="s">
        <v>119</v>
      </c>
      <c r="E773" s="306">
        <v>41.0</v>
      </c>
      <c r="F773" s="305" t="s">
        <v>1056</v>
      </c>
      <c r="G773" s="307"/>
    </row>
    <row r="774" ht="14.25" hidden="1" customHeight="1" outlineLevel="2">
      <c r="A774" s="10"/>
      <c r="B774" s="10"/>
      <c r="C774" s="313">
        <v>0.5069444444444444</v>
      </c>
      <c r="D774" s="305" t="s">
        <v>980</v>
      </c>
      <c r="E774" s="306">
        <v>30.0</v>
      </c>
      <c r="F774" s="305" t="s">
        <v>914</v>
      </c>
      <c r="G774" s="307"/>
    </row>
    <row r="775" ht="14.25" hidden="1" customHeight="1" outlineLevel="2">
      <c r="A775" s="102">
        <v>45786.0</v>
      </c>
      <c r="B775" s="97">
        <f>A775</f>
        <v>45786</v>
      </c>
      <c r="C775" s="313">
        <v>0.2916666666666667</v>
      </c>
      <c r="D775" s="305" t="s">
        <v>236</v>
      </c>
      <c r="E775" s="306">
        <v>60.0</v>
      </c>
      <c r="F775" s="305" t="s">
        <v>560</v>
      </c>
      <c r="G775" s="307"/>
    </row>
    <row r="776" ht="14.25" hidden="1" customHeight="1" outlineLevel="2">
      <c r="A776" s="10"/>
      <c r="B776" s="10"/>
      <c r="C776" s="313">
        <v>0.5069444444444444</v>
      </c>
      <c r="D776" s="305" t="s">
        <v>456</v>
      </c>
      <c r="E776" s="306">
        <v>35.0</v>
      </c>
      <c r="F776" s="305" t="s">
        <v>1014</v>
      </c>
      <c r="G776" s="307"/>
    </row>
    <row r="777" ht="14.25" hidden="1" customHeight="1" outlineLevel="2">
      <c r="A777" s="125">
        <v>45787.0</v>
      </c>
      <c r="B777" s="126">
        <f t="shared" ref="B777:B778" si="122">A777</f>
        <v>45787</v>
      </c>
      <c r="C777" s="313">
        <v>0.3333333333333333</v>
      </c>
      <c r="D777" s="305" t="s">
        <v>119</v>
      </c>
      <c r="E777" s="306">
        <v>77.0</v>
      </c>
      <c r="F777" s="305" t="s">
        <v>1057</v>
      </c>
      <c r="G777" s="307"/>
    </row>
    <row r="778" ht="14.25" hidden="1" customHeight="1" outlineLevel="2">
      <c r="A778" s="102">
        <v>45788.0</v>
      </c>
      <c r="B778" s="97">
        <f t="shared" si="122"/>
        <v>45788</v>
      </c>
      <c r="C778" s="313">
        <v>0.3333333333333333</v>
      </c>
      <c r="D778" s="305" t="s">
        <v>490</v>
      </c>
      <c r="E778" s="306">
        <v>444.0</v>
      </c>
      <c r="F778" s="305" t="s">
        <v>1059</v>
      </c>
      <c r="G778" s="307"/>
    </row>
    <row r="779" ht="14.25" hidden="1" customHeight="1" outlineLevel="2">
      <c r="A779" s="58"/>
      <c r="B779" s="58"/>
      <c r="C779" s="313">
        <v>0.4583333333333333</v>
      </c>
      <c r="D779" s="305" t="s">
        <v>980</v>
      </c>
      <c r="E779" s="306">
        <v>598.0</v>
      </c>
      <c r="F779" s="305" t="s">
        <v>1060</v>
      </c>
      <c r="G779" s="307"/>
    </row>
    <row r="780" ht="14.25" hidden="1" customHeight="1" outlineLevel="2">
      <c r="A780" s="10"/>
      <c r="B780" s="10"/>
      <c r="C780" s="313">
        <v>0.7708333333333334</v>
      </c>
      <c r="D780" s="305" t="s">
        <v>342</v>
      </c>
      <c r="E780" s="306">
        <v>390.0</v>
      </c>
      <c r="F780" s="305" t="s">
        <v>579</v>
      </c>
      <c r="G780" s="307"/>
    </row>
    <row r="781" ht="14.25" hidden="1" customHeight="1" outlineLevel="2">
      <c r="A781" s="102">
        <v>45789.0</v>
      </c>
      <c r="B781" s="97">
        <f>A781</f>
        <v>45789</v>
      </c>
      <c r="C781" s="313">
        <v>0.2916666666666667</v>
      </c>
      <c r="D781" s="305" t="s">
        <v>119</v>
      </c>
      <c r="E781" s="306">
        <v>20.0</v>
      </c>
      <c r="F781" s="305" t="s">
        <v>545</v>
      </c>
      <c r="G781" s="307"/>
    </row>
    <row r="782" ht="14.25" hidden="1" customHeight="1" outlineLevel="2">
      <c r="A782" s="10"/>
      <c r="B782" s="10"/>
      <c r="C782" s="313">
        <v>0.5069444444444444</v>
      </c>
      <c r="D782" s="305" t="s">
        <v>1062</v>
      </c>
      <c r="E782" s="306">
        <v>20.0</v>
      </c>
      <c r="F782" s="305" t="s">
        <v>1063</v>
      </c>
      <c r="G782" s="307"/>
    </row>
    <row r="783" ht="14.25" hidden="1" customHeight="1" outlineLevel="2">
      <c r="A783" s="102">
        <v>45790.0</v>
      </c>
      <c r="B783" s="97">
        <f>A783</f>
        <v>45790</v>
      </c>
      <c r="C783" s="313">
        <v>0.2916666666666667</v>
      </c>
      <c r="D783" s="305" t="s">
        <v>296</v>
      </c>
      <c r="E783" s="306">
        <v>566.0</v>
      </c>
      <c r="F783" s="305" t="s">
        <v>956</v>
      </c>
      <c r="G783" s="307"/>
    </row>
    <row r="784" ht="14.25" hidden="1" customHeight="1" outlineLevel="2">
      <c r="A784" s="10"/>
      <c r="B784" s="10"/>
      <c r="C784" s="313">
        <v>0.5069444444444444</v>
      </c>
      <c r="D784" s="305" t="s">
        <v>1064</v>
      </c>
      <c r="E784" s="306">
        <v>75.0</v>
      </c>
      <c r="F784" s="305" t="s">
        <v>1005</v>
      </c>
      <c r="G784" s="307"/>
    </row>
    <row r="785" ht="14.25" hidden="1" customHeight="1" outlineLevel="2">
      <c r="A785" s="102">
        <v>45791.0</v>
      </c>
      <c r="B785" s="97">
        <f>A785</f>
        <v>45791</v>
      </c>
      <c r="C785" s="313">
        <v>0.2916666666666667</v>
      </c>
      <c r="D785" s="305" t="s">
        <v>119</v>
      </c>
      <c r="E785" s="306">
        <v>41.0</v>
      </c>
      <c r="F785" s="305" t="s">
        <v>1006</v>
      </c>
      <c r="G785" s="307"/>
    </row>
    <row r="786" ht="14.25" hidden="1" customHeight="1" outlineLevel="2">
      <c r="A786" s="10"/>
      <c r="B786" s="10"/>
      <c r="C786" s="313">
        <v>0.5069444444444444</v>
      </c>
      <c r="D786" s="305" t="s">
        <v>1064</v>
      </c>
      <c r="E786" s="306">
        <v>36.0</v>
      </c>
      <c r="F786" s="305" t="s">
        <v>1044</v>
      </c>
      <c r="G786" s="307"/>
    </row>
    <row r="787" ht="14.25" hidden="1" customHeight="1" outlineLevel="2">
      <c r="A787" s="102">
        <v>45792.0</v>
      </c>
      <c r="B787" s="97">
        <f>A787</f>
        <v>45792</v>
      </c>
      <c r="C787" s="313">
        <v>0.2916666666666667</v>
      </c>
      <c r="D787" s="305" t="s">
        <v>119</v>
      </c>
      <c r="E787" s="306">
        <v>52.0</v>
      </c>
      <c r="F787" s="305" t="s">
        <v>1068</v>
      </c>
      <c r="G787" s="307"/>
    </row>
    <row r="788" ht="14.25" hidden="1" customHeight="1" outlineLevel="2">
      <c r="A788" s="10"/>
      <c r="B788" s="10"/>
      <c r="C788" s="313">
        <v>0.5069444444444444</v>
      </c>
      <c r="D788" s="305" t="s">
        <v>980</v>
      </c>
      <c r="E788" s="306">
        <v>80.0</v>
      </c>
      <c r="F788" s="305" t="s">
        <v>283</v>
      </c>
      <c r="G788" s="307"/>
    </row>
    <row r="789" ht="14.25" hidden="1" customHeight="1" outlineLevel="2">
      <c r="A789" s="102">
        <v>45793.0</v>
      </c>
      <c r="B789" s="97">
        <f>A789</f>
        <v>45793</v>
      </c>
      <c r="C789" s="313">
        <v>0.2916666666666667</v>
      </c>
      <c r="D789" s="305" t="s">
        <v>296</v>
      </c>
      <c r="E789" s="306">
        <v>86.0</v>
      </c>
      <c r="F789" s="305" t="s">
        <v>1029</v>
      </c>
      <c r="G789" s="307"/>
    </row>
    <row r="790" ht="14.25" hidden="1" customHeight="1" outlineLevel="2">
      <c r="A790" s="10"/>
      <c r="B790" s="10"/>
      <c r="C790" s="313">
        <v>0.5069444444444444</v>
      </c>
      <c r="D790" s="305" t="s">
        <v>1062</v>
      </c>
      <c r="E790" s="306">
        <v>67.0</v>
      </c>
      <c r="F790" s="305" t="s">
        <v>659</v>
      </c>
      <c r="G790" s="307"/>
    </row>
    <row r="791" ht="14.25" hidden="1" customHeight="1" outlineLevel="2">
      <c r="A791" s="125">
        <v>45794.0</v>
      </c>
      <c r="B791" s="126">
        <f t="shared" ref="B791:B792" si="123">A791</f>
        <v>45794</v>
      </c>
      <c r="C791" s="313">
        <v>0.3333333333333333</v>
      </c>
      <c r="D791" s="305" t="s">
        <v>119</v>
      </c>
      <c r="E791" s="306">
        <v>61.0</v>
      </c>
      <c r="F791" s="305" t="s">
        <v>913</v>
      </c>
      <c r="G791" s="307"/>
    </row>
    <row r="792" ht="14.25" hidden="1" customHeight="1" outlineLevel="2">
      <c r="A792" s="102">
        <v>45795.0</v>
      </c>
      <c r="B792" s="97">
        <f t="shared" si="123"/>
        <v>45795</v>
      </c>
      <c r="C792" s="313">
        <v>0.3333333333333333</v>
      </c>
      <c r="D792" s="305" t="s">
        <v>265</v>
      </c>
      <c r="E792" s="306">
        <v>444.0</v>
      </c>
      <c r="F792" s="305" t="s">
        <v>691</v>
      </c>
      <c r="G792" s="307"/>
    </row>
    <row r="793" ht="14.25" hidden="1" customHeight="1" outlineLevel="2">
      <c r="A793" s="58"/>
      <c r="B793" s="58"/>
      <c r="C793" s="313">
        <v>0.4583333333333333</v>
      </c>
      <c r="D793" s="305" t="s">
        <v>1020</v>
      </c>
      <c r="E793" s="306">
        <v>242.0</v>
      </c>
      <c r="F793" s="305" t="s">
        <v>438</v>
      </c>
      <c r="G793" s="307"/>
    </row>
    <row r="794" ht="14.25" hidden="1" customHeight="1" outlineLevel="2">
      <c r="A794" s="10"/>
      <c r="B794" s="10"/>
      <c r="C794" s="313">
        <v>0.7708333333333334</v>
      </c>
      <c r="D794" s="305" t="s">
        <v>342</v>
      </c>
      <c r="E794" s="306">
        <v>231.0</v>
      </c>
      <c r="F794" s="305" t="s">
        <v>579</v>
      </c>
      <c r="G794" s="307"/>
    </row>
    <row r="795" ht="14.25" hidden="1" customHeight="1" outlineLevel="2">
      <c r="A795" s="102">
        <v>45796.0</v>
      </c>
      <c r="B795" s="97">
        <f>A795</f>
        <v>45796</v>
      </c>
      <c r="C795" s="313">
        <v>0.2916666666666667</v>
      </c>
      <c r="D795" s="305" t="s">
        <v>119</v>
      </c>
      <c r="E795" s="308">
        <v>42.0</v>
      </c>
      <c r="F795" s="309" t="s">
        <v>842</v>
      </c>
      <c r="G795" s="307"/>
    </row>
    <row r="796" ht="14.25" hidden="1" customHeight="1" outlineLevel="2">
      <c r="A796" s="10"/>
      <c r="B796" s="10"/>
      <c r="C796" s="313">
        <v>0.5069444444444444</v>
      </c>
      <c r="D796" s="309" t="s">
        <v>1071</v>
      </c>
      <c r="E796" s="310">
        <v>6.0</v>
      </c>
      <c r="F796" s="309" t="s">
        <v>1063</v>
      </c>
      <c r="G796" s="307"/>
    </row>
    <row r="797" ht="14.25" hidden="1" customHeight="1" outlineLevel="2">
      <c r="A797" s="102">
        <v>45797.0</v>
      </c>
      <c r="B797" s="97">
        <f>A797</f>
        <v>45797</v>
      </c>
      <c r="C797" s="313">
        <v>0.2916666666666667</v>
      </c>
      <c r="D797" s="309" t="s">
        <v>236</v>
      </c>
      <c r="E797" s="310">
        <v>40.0</v>
      </c>
      <c r="F797" s="309" t="s">
        <v>218</v>
      </c>
      <c r="G797" s="307"/>
    </row>
    <row r="798" ht="14.25" hidden="1" customHeight="1" outlineLevel="2">
      <c r="A798" s="10"/>
      <c r="B798" s="10"/>
      <c r="C798" s="313">
        <v>0.5069444444444444</v>
      </c>
      <c r="D798" s="309" t="s">
        <v>1064</v>
      </c>
      <c r="E798" s="310">
        <v>27.0</v>
      </c>
      <c r="F798" s="309" t="s">
        <v>1072</v>
      </c>
      <c r="G798" s="307"/>
    </row>
    <row r="799" ht="14.25" hidden="1" customHeight="1" outlineLevel="2">
      <c r="A799" s="102">
        <v>45798.0</v>
      </c>
      <c r="B799" s="97">
        <f>A799</f>
        <v>45798</v>
      </c>
      <c r="C799" s="313">
        <v>0.2916666666666667</v>
      </c>
      <c r="D799" s="305" t="s">
        <v>119</v>
      </c>
      <c r="E799" s="308">
        <v>41.0</v>
      </c>
      <c r="F799" s="311" t="s">
        <v>219</v>
      </c>
      <c r="G799" s="307"/>
    </row>
    <row r="800" ht="14.25" hidden="1" customHeight="1" outlineLevel="2">
      <c r="A800" s="10"/>
      <c r="B800" s="10"/>
      <c r="C800" s="313">
        <v>0.5069444444444444</v>
      </c>
      <c r="D800" s="309" t="s">
        <v>1064</v>
      </c>
      <c r="E800" s="310">
        <v>20.0</v>
      </c>
      <c r="F800" s="309" t="s">
        <v>1054</v>
      </c>
      <c r="G800" s="307"/>
    </row>
    <row r="801" ht="14.25" hidden="1" customHeight="1" outlineLevel="2">
      <c r="A801" s="102">
        <v>45799.0</v>
      </c>
      <c r="B801" s="97">
        <f>A801</f>
        <v>45799</v>
      </c>
      <c r="C801" s="313">
        <v>0.2916666666666667</v>
      </c>
      <c r="D801" s="309" t="s">
        <v>119</v>
      </c>
      <c r="E801" s="310">
        <v>69.0</v>
      </c>
      <c r="F801" s="309" t="s">
        <v>584</v>
      </c>
      <c r="G801" s="307"/>
    </row>
    <row r="802" ht="14.25" hidden="1" customHeight="1" outlineLevel="2">
      <c r="A802" s="10"/>
      <c r="B802" s="10"/>
      <c r="C802" s="313">
        <v>0.5069444444444444</v>
      </c>
      <c r="D802" s="309" t="s">
        <v>980</v>
      </c>
      <c r="E802" s="310">
        <v>6.0</v>
      </c>
      <c r="F802" s="309" t="s">
        <v>283</v>
      </c>
      <c r="G802" s="307"/>
    </row>
    <row r="803" ht="14.25" hidden="1" customHeight="1" outlineLevel="2">
      <c r="A803" s="102">
        <v>45800.0</v>
      </c>
      <c r="B803" s="97">
        <f>A803</f>
        <v>45800</v>
      </c>
      <c r="C803" s="313">
        <v>0.2916666666666667</v>
      </c>
      <c r="D803" s="309" t="s">
        <v>236</v>
      </c>
      <c r="E803" s="310">
        <v>53.0</v>
      </c>
      <c r="F803" s="309" t="s">
        <v>560</v>
      </c>
      <c r="G803" s="307"/>
    </row>
    <row r="804" ht="14.25" hidden="1" customHeight="1" outlineLevel="2">
      <c r="A804" s="10"/>
      <c r="B804" s="10"/>
      <c r="C804" s="313">
        <v>0.5069444444444444</v>
      </c>
      <c r="D804" s="309" t="s">
        <v>1071</v>
      </c>
      <c r="E804" s="310">
        <v>29.0</v>
      </c>
      <c r="F804" s="309" t="s">
        <v>1073</v>
      </c>
      <c r="G804" s="307"/>
    </row>
    <row r="805" ht="14.25" hidden="1" customHeight="1" outlineLevel="2">
      <c r="A805" s="125">
        <v>45801.0</v>
      </c>
      <c r="B805" s="126">
        <f t="shared" ref="B805:B806" si="124">A805</f>
        <v>45801</v>
      </c>
      <c r="C805" s="313">
        <v>0.3333333333333333</v>
      </c>
      <c r="D805" s="305" t="s">
        <v>119</v>
      </c>
      <c r="E805" s="310">
        <v>47.0</v>
      </c>
      <c r="F805" s="309" t="s">
        <v>940</v>
      </c>
      <c r="G805" s="307"/>
    </row>
    <row r="806" ht="14.25" hidden="1" customHeight="1" outlineLevel="2">
      <c r="A806" s="102">
        <v>45802.0</v>
      </c>
      <c r="B806" s="97">
        <f t="shared" si="124"/>
        <v>45802</v>
      </c>
      <c r="C806" s="313">
        <v>0.3333333333333333</v>
      </c>
      <c r="D806" s="309" t="s">
        <v>490</v>
      </c>
      <c r="E806" s="310">
        <v>313.0</v>
      </c>
      <c r="F806" s="309" t="s">
        <v>1075</v>
      </c>
      <c r="G806" s="307"/>
    </row>
    <row r="807" ht="14.25" hidden="1" customHeight="1" outlineLevel="2">
      <c r="A807" s="58"/>
      <c r="B807" s="58"/>
      <c r="C807" s="313">
        <v>0.4583333333333333</v>
      </c>
      <c r="D807" s="309" t="s">
        <v>980</v>
      </c>
      <c r="E807" s="310">
        <v>359.0</v>
      </c>
      <c r="F807" s="309" t="s">
        <v>703</v>
      </c>
      <c r="G807" s="307"/>
    </row>
    <row r="808" ht="14.25" hidden="1" customHeight="1" outlineLevel="2">
      <c r="A808" s="10"/>
      <c r="B808" s="10"/>
      <c r="C808" s="313">
        <v>0.7708333333333334</v>
      </c>
      <c r="D808" s="309" t="s">
        <v>1076</v>
      </c>
      <c r="E808" s="310">
        <v>445.0</v>
      </c>
      <c r="F808" s="309" t="s">
        <v>1077</v>
      </c>
      <c r="G808" s="307"/>
    </row>
    <row r="809" ht="14.25" hidden="1" customHeight="1" outlineLevel="2">
      <c r="A809" s="102">
        <v>45803.0</v>
      </c>
      <c r="B809" s="97">
        <f>A809</f>
        <v>45803</v>
      </c>
      <c r="C809" s="313">
        <v>0.2916666666666667</v>
      </c>
      <c r="D809" s="305" t="s">
        <v>119</v>
      </c>
      <c r="E809" s="310">
        <v>52.0</v>
      </c>
      <c r="F809" s="309" t="s">
        <v>842</v>
      </c>
      <c r="G809" s="307"/>
    </row>
    <row r="810" ht="14.25" hidden="1" customHeight="1" outlineLevel="2">
      <c r="A810" s="10"/>
      <c r="B810" s="10"/>
      <c r="C810" s="313">
        <v>0.5069444444444444</v>
      </c>
      <c r="D810" s="309" t="s">
        <v>456</v>
      </c>
      <c r="E810" s="310">
        <v>14.0</v>
      </c>
      <c r="F810" s="309" t="s">
        <v>349</v>
      </c>
      <c r="G810" s="307"/>
    </row>
    <row r="811" ht="14.25" hidden="1" customHeight="1" outlineLevel="2">
      <c r="A811" s="102">
        <v>45804.0</v>
      </c>
      <c r="B811" s="97">
        <f>A811</f>
        <v>45804</v>
      </c>
      <c r="C811" s="313">
        <v>0.2916666666666667</v>
      </c>
      <c r="D811" s="309" t="s">
        <v>236</v>
      </c>
      <c r="E811" s="310">
        <v>40.0</v>
      </c>
      <c r="F811" s="309" t="s">
        <v>218</v>
      </c>
      <c r="G811" s="307"/>
    </row>
    <row r="812" ht="14.25" hidden="1" customHeight="1" outlineLevel="2">
      <c r="A812" s="10"/>
      <c r="B812" s="10"/>
      <c r="C812" s="313">
        <v>0.5069444444444444</v>
      </c>
      <c r="D812" s="309" t="s">
        <v>456</v>
      </c>
      <c r="E812" s="310">
        <v>27.0</v>
      </c>
      <c r="F812" s="309" t="s">
        <v>1080</v>
      </c>
      <c r="G812" s="307"/>
    </row>
    <row r="813" ht="14.25" hidden="1" customHeight="1" outlineLevel="2">
      <c r="A813" s="102">
        <v>45805.0</v>
      </c>
      <c r="B813" s="97">
        <f>A813</f>
        <v>45805</v>
      </c>
      <c r="C813" s="313">
        <v>0.2916666666666667</v>
      </c>
      <c r="D813" s="305" t="s">
        <v>119</v>
      </c>
      <c r="E813" s="310">
        <v>75.0</v>
      </c>
      <c r="F813" s="309" t="s">
        <v>598</v>
      </c>
      <c r="G813" s="307"/>
    </row>
    <row r="814" ht="14.25" hidden="1" customHeight="1" outlineLevel="2">
      <c r="A814" s="10"/>
      <c r="B814" s="10"/>
      <c r="C814" s="313">
        <v>0.5069444444444444</v>
      </c>
      <c r="D814" s="309" t="s">
        <v>456</v>
      </c>
      <c r="E814" s="310">
        <v>4.0</v>
      </c>
      <c r="F814" s="309" t="s">
        <v>1005</v>
      </c>
      <c r="G814" s="307"/>
    </row>
    <row r="815" ht="14.25" hidden="1" customHeight="1" outlineLevel="2">
      <c r="A815" s="102">
        <v>45806.0</v>
      </c>
      <c r="B815" s="97">
        <f>A815</f>
        <v>45806</v>
      </c>
      <c r="C815" s="313">
        <v>0.2916666666666667</v>
      </c>
      <c r="D815" s="305" t="s">
        <v>119</v>
      </c>
      <c r="E815" s="310">
        <v>50.0</v>
      </c>
      <c r="F815" s="309" t="s">
        <v>1068</v>
      </c>
      <c r="G815" s="307"/>
    </row>
    <row r="816" ht="14.25" hidden="1" customHeight="1" outlineLevel="2">
      <c r="A816" s="10"/>
      <c r="B816" s="10"/>
      <c r="C816" s="313">
        <v>0.5069444444444444</v>
      </c>
      <c r="D816" s="309" t="s">
        <v>980</v>
      </c>
      <c r="E816" s="310">
        <v>70.0</v>
      </c>
      <c r="F816" s="309" t="s">
        <v>1082</v>
      </c>
      <c r="G816" s="307"/>
    </row>
    <row r="817" ht="14.25" hidden="1" customHeight="1" outlineLevel="2">
      <c r="A817" s="102">
        <v>45807.0</v>
      </c>
      <c r="B817" s="97">
        <f>A817</f>
        <v>45807</v>
      </c>
      <c r="C817" s="313">
        <v>0.2916666666666667</v>
      </c>
      <c r="D817" s="309" t="s">
        <v>236</v>
      </c>
      <c r="E817" s="310">
        <v>68.0</v>
      </c>
      <c r="F817" s="309" t="s">
        <v>560</v>
      </c>
      <c r="G817" s="307"/>
    </row>
    <row r="818" ht="14.25" hidden="1" customHeight="1" outlineLevel="2">
      <c r="A818" s="10"/>
      <c r="B818" s="10"/>
      <c r="C818" s="313">
        <v>0.5069444444444444</v>
      </c>
      <c r="D818" s="309" t="s">
        <v>456</v>
      </c>
      <c r="E818" s="310">
        <v>19.0</v>
      </c>
      <c r="F818" s="309" t="s">
        <v>1063</v>
      </c>
      <c r="G818" s="307"/>
    </row>
    <row r="819" ht="14.25" hidden="1" customHeight="1" outlineLevel="2">
      <c r="A819" s="125">
        <v>45808.0</v>
      </c>
      <c r="B819" s="126">
        <f>A819</f>
        <v>45808</v>
      </c>
      <c r="C819" s="313">
        <v>0.3333333333333333</v>
      </c>
      <c r="D819" s="309" t="s">
        <v>119</v>
      </c>
      <c r="E819" s="310">
        <v>90.0</v>
      </c>
      <c r="F819" s="309" t="s">
        <v>1046</v>
      </c>
      <c r="G819" s="307"/>
    </row>
    <row r="820" ht="14.25" customHeight="1" outlineLevel="1">
      <c r="A820" s="117" t="s">
        <v>195</v>
      </c>
      <c r="B820" s="27"/>
      <c r="C820" s="27"/>
      <c r="D820" s="28"/>
      <c r="E820" s="312">
        <f>SUM(E759:E819)</f>
        <v>7668</v>
      </c>
      <c r="F820" s="276"/>
      <c r="G820" s="276"/>
    </row>
    <row r="821" ht="14.25" customHeight="1" outlineLevel="1"/>
    <row r="822" ht="14.25" customHeight="1" outlineLevel="1" collapsed="1">
      <c r="A822" s="122" t="s">
        <v>1084</v>
      </c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3"/>
    </row>
    <row r="823" ht="14.25" hidden="1" customHeight="1" outlineLevel="2">
      <c r="A823" s="70" t="s">
        <v>90</v>
      </c>
      <c r="I823" s="72" t="s">
        <v>91</v>
      </c>
      <c r="J823" s="73"/>
      <c r="K823" s="73"/>
      <c r="L823" s="74"/>
      <c r="N823" s="72" t="s">
        <v>992</v>
      </c>
      <c r="O823" s="73"/>
      <c r="P823" s="73"/>
      <c r="Q823" s="74"/>
    </row>
    <row r="824" ht="14.25" hidden="1" customHeight="1" outlineLevel="2">
      <c r="A824" s="303" t="s">
        <v>6</v>
      </c>
      <c r="B824" s="304" t="s">
        <v>103</v>
      </c>
      <c r="C824" s="303" t="s">
        <v>104</v>
      </c>
      <c r="D824" s="303" t="s">
        <v>107</v>
      </c>
      <c r="E824" s="303" t="s">
        <v>109</v>
      </c>
      <c r="F824" s="304" t="s">
        <v>110</v>
      </c>
      <c r="G824" s="303" t="s">
        <v>13</v>
      </c>
      <c r="I824" s="81" t="s">
        <v>6</v>
      </c>
      <c r="J824" s="84" t="s">
        <v>115</v>
      </c>
      <c r="K824" s="84" t="s">
        <v>9</v>
      </c>
      <c r="L824" s="81" t="s">
        <v>13</v>
      </c>
      <c r="M824" s="51"/>
      <c r="N824" s="81" t="s">
        <v>6</v>
      </c>
      <c r="O824" s="84" t="s">
        <v>115</v>
      </c>
      <c r="P824" s="84" t="s">
        <v>9</v>
      </c>
      <c r="Q824" s="81" t="s">
        <v>13</v>
      </c>
    </row>
    <row r="825" ht="14.25" hidden="1" customHeight="1" outlineLevel="2">
      <c r="A825" s="102">
        <v>45809.0</v>
      </c>
      <c r="B825" s="97">
        <f>A825</f>
        <v>45809</v>
      </c>
      <c r="C825" s="313">
        <v>0.3333333333333333</v>
      </c>
      <c r="D825" s="305" t="s">
        <v>490</v>
      </c>
      <c r="E825" s="306">
        <v>192.0</v>
      </c>
      <c r="F825" s="305" t="s">
        <v>219</v>
      </c>
      <c r="G825" s="307"/>
      <c r="I825" s="86">
        <v>45810.0</v>
      </c>
      <c r="J825" s="88">
        <f>I825</f>
        <v>45810</v>
      </c>
      <c r="K825" s="93">
        <v>40.85</v>
      </c>
      <c r="L825" s="90"/>
      <c r="M825" s="51"/>
      <c r="N825" s="86">
        <v>45833.0</v>
      </c>
      <c r="O825" s="88">
        <f t="shared" ref="O825:O826" si="125">N825</f>
        <v>45833</v>
      </c>
      <c r="P825" s="93">
        <v>600.0</v>
      </c>
      <c r="Q825" s="91"/>
    </row>
    <row r="826" ht="14.25" hidden="1" customHeight="1" outlineLevel="2">
      <c r="A826" s="58"/>
      <c r="B826" s="58"/>
      <c r="C826" s="313">
        <v>0.4583333333333333</v>
      </c>
      <c r="D826" s="305" t="s">
        <v>1020</v>
      </c>
      <c r="E826" s="306">
        <v>229.0</v>
      </c>
      <c r="F826" s="305" t="s">
        <v>1087</v>
      </c>
      <c r="G826" s="307"/>
      <c r="I826" s="86"/>
      <c r="J826" s="88"/>
      <c r="K826" s="93"/>
      <c r="L826" s="90"/>
      <c r="M826" s="51"/>
      <c r="N826" s="86">
        <v>45838.0</v>
      </c>
      <c r="O826" s="88">
        <f t="shared" si="125"/>
        <v>45838</v>
      </c>
      <c r="P826" s="93">
        <v>3600.0</v>
      </c>
      <c r="Q826" s="91"/>
    </row>
    <row r="827" ht="14.25" hidden="1" customHeight="1" outlineLevel="2">
      <c r="A827" s="10"/>
      <c r="B827" s="10"/>
      <c r="C827" s="313">
        <v>0.7708333333333334</v>
      </c>
      <c r="D827" s="305" t="s">
        <v>1088</v>
      </c>
      <c r="E827" s="306">
        <v>392.0</v>
      </c>
      <c r="F827" s="305" t="s">
        <v>607</v>
      </c>
      <c r="G827" s="307"/>
      <c r="I827" s="86"/>
      <c r="J827" s="88"/>
      <c r="K827" s="93"/>
      <c r="L827" s="90"/>
      <c r="M827" s="51"/>
      <c r="N827" s="165" t="s">
        <v>195</v>
      </c>
      <c r="O827" s="165"/>
      <c r="P827" s="291">
        <f>SUM(P825:P826)</f>
        <v>4200</v>
      </c>
      <c r="Q827" s="114"/>
    </row>
    <row r="828" ht="14.25" hidden="1" customHeight="1" outlineLevel="2">
      <c r="A828" s="102">
        <v>45810.0</v>
      </c>
      <c r="B828" s="97">
        <f>A828</f>
        <v>45810</v>
      </c>
      <c r="C828" s="313">
        <v>0.2916666666666667</v>
      </c>
      <c r="D828" s="305" t="s">
        <v>119</v>
      </c>
      <c r="E828" s="306">
        <v>7.0</v>
      </c>
      <c r="F828" s="305" t="s">
        <v>842</v>
      </c>
      <c r="G828" s="307"/>
      <c r="I828" s="86"/>
      <c r="J828" s="88"/>
      <c r="K828" s="93"/>
      <c r="L828" s="90"/>
      <c r="M828" s="51"/>
      <c r="N828" s="166"/>
      <c r="O828" s="167"/>
      <c r="P828" s="168"/>
      <c r="Q828" s="51"/>
    </row>
    <row r="829" ht="14.25" hidden="1" customHeight="1" outlineLevel="2">
      <c r="A829" s="10"/>
      <c r="B829" s="10"/>
      <c r="C829" s="313">
        <v>0.5069444444444444</v>
      </c>
      <c r="D829" s="305" t="s">
        <v>1062</v>
      </c>
      <c r="E829" s="306">
        <v>24.0</v>
      </c>
      <c r="F829" s="305" t="s">
        <v>219</v>
      </c>
      <c r="G829" s="307"/>
      <c r="I829" s="86"/>
      <c r="J829" s="88"/>
      <c r="K829" s="93"/>
      <c r="L829" s="90"/>
      <c r="M829" s="51"/>
      <c r="N829" s="235" t="s">
        <v>344</v>
      </c>
      <c r="O829" s="27"/>
      <c r="P829" s="27"/>
      <c r="Q829" s="28"/>
    </row>
    <row r="830" ht="14.25" hidden="1" customHeight="1" outlineLevel="2">
      <c r="A830" s="102">
        <v>45811.0</v>
      </c>
      <c r="B830" s="97">
        <f>A830</f>
        <v>45811</v>
      </c>
      <c r="C830" s="313">
        <v>0.2916666666666667</v>
      </c>
      <c r="D830" s="305" t="s">
        <v>236</v>
      </c>
      <c r="E830" s="306">
        <v>78.0</v>
      </c>
      <c r="F830" s="305" t="s">
        <v>378</v>
      </c>
      <c r="G830" s="307"/>
      <c r="I830" s="86"/>
      <c r="J830" s="88"/>
      <c r="K830" s="93"/>
      <c r="L830" s="90"/>
      <c r="M830" s="51"/>
      <c r="N830" s="81" t="s">
        <v>6</v>
      </c>
      <c r="O830" s="84" t="s">
        <v>115</v>
      </c>
      <c r="P830" s="84" t="s">
        <v>9</v>
      </c>
      <c r="Q830" s="81" t="s">
        <v>13</v>
      </c>
    </row>
    <row r="831" ht="14.25" hidden="1" customHeight="1" outlineLevel="2">
      <c r="A831" s="10"/>
      <c r="B831" s="10"/>
      <c r="C831" s="313">
        <v>0.5069444444444444</v>
      </c>
      <c r="D831" s="305" t="s">
        <v>456</v>
      </c>
      <c r="E831" s="306">
        <v>33.0</v>
      </c>
      <c r="F831" s="305" t="s">
        <v>1014</v>
      </c>
      <c r="G831" s="307"/>
      <c r="I831" s="86"/>
      <c r="J831" s="88"/>
      <c r="K831" s="92"/>
      <c r="L831" s="90"/>
      <c r="M831" s="51"/>
      <c r="N831" s="86">
        <v>45814.0</v>
      </c>
      <c r="O831" s="88">
        <f t="shared" ref="O831:O832" si="126">N831</f>
        <v>45814</v>
      </c>
      <c r="P831" s="93">
        <v>206.15</v>
      </c>
      <c r="Q831" s="91" t="s">
        <v>864</v>
      </c>
    </row>
    <row r="832" ht="14.25" hidden="1" customHeight="1" outlineLevel="2">
      <c r="A832" s="102">
        <v>45812.0</v>
      </c>
      <c r="B832" s="97">
        <f>A832</f>
        <v>45812</v>
      </c>
      <c r="C832" s="313">
        <v>0.2916666666666667</v>
      </c>
      <c r="D832" s="305" t="s">
        <v>119</v>
      </c>
      <c r="E832" s="306">
        <v>30.0</v>
      </c>
      <c r="F832" s="305" t="s">
        <v>219</v>
      </c>
      <c r="G832" s="307"/>
      <c r="I832" s="86"/>
      <c r="J832" s="88"/>
      <c r="K832" s="92"/>
      <c r="L832" s="90"/>
      <c r="M832" s="51"/>
      <c r="N832" s="86">
        <v>45835.0</v>
      </c>
      <c r="O832" s="88">
        <f t="shared" si="126"/>
        <v>45835</v>
      </c>
      <c r="P832" s="93">
        <v>200.0</v>
      </c>
      <c r="Q832" s="90"/>
    </row>
    <row r="833" ht="14.25" hidden="1" customHeight="1" outlineLevel="2">
      <c r="A833" s="10"/>
      <c r="B833" s="10"/>
      <c r="C833" s="313">
        <v>0.5069444444444444</v>
      </c>
      <c r="D833" s="305" t="s">
        <v>1064</v>
      </c>
      <c r="E833" s="306">
        <v>13.0</v>
      </c>
      <c r="F833" s="305" t="s">
        <v>1011</v>
      </c>
      <c r="G833" s="307"/>
      <c r="I833" s="86"/>
      <c r="J833" s="88"/>
      <c r="K833" s="92"/>
      <c r="L833" s="90"/>
      <c r="M833" s="51"/>
      <c r="N833" s="86"/>
      <c r="O833" s="88"/>
      <c r="P833" s="92"/>
      <c r="Q833" s="90"/>
    </row>
    <row r="834" ht="14.25" hidden="1" customHeight="1" outlineLevel="2">
      <c r="A834" s="102">
        <v>45813.0</v>
      </c>
      <c r="B834" s="97">
        <f>A834</f>
        <v>45813</v>
      </c>
      <c r="C834" s="313">
        <v>0.2916666666666667</v>
      </c>
      <c r="D834" s="305" t="s">
        <v>119</v>
      </c>
      <c r="E834" s="306">
        <v>42.0</v>
      </c>
      <c r="F834" s="305" t="s">
        <v>842</v>
      </c>
      <c r="G834" s="307"/>
      <c r="I834" s="108" t="s">
        <v>195</v>
      </c>
      <c r="J834" s="109"/>
      <c r="K834" s="113">
        <f>SUM(K825:K833)</f>
        <v>40.85</v>
      </c>
      <c r="L834" s="114"/>
      <c r="M834" s="51"/>
      <c r="N834" s="94"/>
      <c r="O834" s="94"/>
      <c r="P834" s="294"/>
      <c r="Q834" s="90"/>
    </row>
    <row r="835" ht="14.25" hidden="1" customHeight="1" outlineLevel="2">
      <c r="A835" s="10"/>
      <c r="B835" s="10"/>
      <c r="C835" s="313">
        <v>0.5069444444444444</v>
      </c>
      <c r="D835" s="305" t="s">
        <v>1093</v>
      </c>
      <c r="E835" s="306">
        <v>42.0</v>
      </c>
      <c r="F835" s="305" t="s">
        <v>219</v>
      </c>
      <c r="G835" s="307"/>
      <c r="N835" s="165" t="s">
        <v>195</v>
      </c>
      <c r="O835" s="165"/>
      <c r="P835" s="113">
        <f>SUM(P831:P833)</f>
        <v>406.15</v>
      </c>
      <c r="Q835" s="114"/>
    </row>
    <row r="836" ht="14.25" hidden="1" customHeight="1" outlineLevel="2">
      <c r="A836" s="102">
        <v>45814.0</v>
      </c>
      <c r="B836" s="97">
        <f>A836</f>
        <v>45814</v>
      </c>
      <c r="C836" s="313">
        <v>0.2916666666666667</v>
      </c>
      <c r="D836" s="305" t="s">
        <v>1095</v>
      </c>
      <c r="E836" s="306">
        <v>80.0</v>
      </c>
      <c r="F836" s="305" t="s">
        <v>886</v>
      </c>
      <c r="G836" s="307"/>
    </row>
    <row r="837" ht="14.25" hidden="1" customHeight="1" outlineLevel="2">
      <c r="A837" s="10"/>
      <c r="B837" s="10"/>
      <c r="C837" s="313">
        <v>0.5069444444444444</v>
      </c>
      <c r="D837" s="305" t="s">
        <v>1062</v>
      </c>
      <c r="E837" s="306">
        <v>29.0</v>
      </c>
      <c r="F837" s="305" t="s">
        <v>1097</v>
      </c>
      <c r="G837" s="307"/>
    </row>
    <row r="838" ht="14.25" hidden="1" customHeight="1" outlineLevel="2">
      <c r="A838" s="102">
        <v>45815.0</v>
      </c>
      <c r="B838" s="97">
        <f>A838</f>
        <v>45815</v>
      </c>
      <c r="C838" s="313">
        <v>0.3333333333333333</v>
      </c>
      <c r="D838" s="305" t="s">
        <v>119</v>
      </c>
      <c r="E838" s="306">
        <v>65.0</v>
      </c>
      <c r="F838" s="305" t="s">
        <v>588</v>
      </c>
      <c r="G838" s="307"/>
    </row>
    <row r="839" ht="14.25" hidden="1" customHeight="1" outlineLevel="2">
      <c r="A839" s="10"/>
      <c r="B839" s="10"/>
      <c r="C839" s="313">
        <v>0.7083333333333334</v>
      </c>
      <c r="D839" s="305" t="s">
        <v>656</v>
      </c>
      <c r="E839" s="306">
        <v>240.0</v>
      </c>
      <c r="F839" s="305" t="s">
        <v>1002</v>
      </c>
      <c r="G839" s="307"/>
    </row>
    <row r="840" ht="14.25" hidden="1" customHeight="1" outlineLevel="2">
      <c r="A840" s="102">
        <v>45816.0</v>
      </c>
      <c r="B840" s="97">
        <f>A840</f>
        <v>45816</v>
      </c>
      <c r="C840" s="313">
        <v>0.3333333333333333</v>
      </c>
      <c r="D840" s="305" t="s">
        <v>490</v>
      </c>
      <c r="E840" s="306">
        <v>210.0</v>
      </c>
      <c r="F840" s="305" t="s">
        <v>617</v>
      </c>
      <c r="G840" s="307"/>
    </row>
    <row r="841" ht="14.25" hidden="1" customHeight="1" outlineLevel="2">
      <c r="A841" s="58"/>
      <c r="B841" s="58"/>
      <c r="C841" s="313">
        <v>0.4583333333333333</v>
      </c>
      <c r="D841" s="305" t="s">
        <v>656</v>
      </c>
      <c r="E841" s="306">
        <v>757.0</v>
      </c>
      <c r="F841" s="305" t="s">
        <v>297</v>
      </c>
      <c r="G841" s="307"/>
    </row>
    <row r="842" ht="14.25" hidden="1" customHeight="1" outlineLevel="2">
      <c r="A842" s="10"/>
      <c r="B842" s="10"/>
      <c r="C842" s="313">
        <v>0.7708333333333334</v>
      </c>
      <c r="D842" s="305" t="s">
        <v>342</v>
      </c>
      <c r="E842" s="306">
        <v>197.0</v>
      </c>
      <c r="F842" s="305" t="s">
        <v>1098</v>
      </c>
      <c r="G842" s="307"/>
    </row>
    <row r="843" ht="14.25" hidden="1" customHeight="1" outlineLevel="2">
      <c r="A843" s="102">
        <v>45817.0</v>
      </c>
      <c r="B843" s="97">
        <f>A843</f>
        <v>45817</v>
      </c>
      <c r="C843" s="313">
        <v>0.2916666666666667</v>
      </c>
      <c r="D843" s="305" t="s">
        <v>119</v>
      </c>
      <c r="E843" s="306">
        <v>6.0</v>
      </c>
      <c r="F843" s="305" t="s">
        <v>842</v>
      </c>
      <c r="G843" s="307"/>
    </row>
    <row r="844" ht="14.25" hidden="1" customHeight="1" outlineLevel="2">
      <c r="A844" s="58"/>
      <c r="B844" s="58"/>
      <c r="C844" s="313">
        <v>0.5069444444444444</v>
      </c>
      <c r="D844" s="305" t="s">
        <v>1062</v>
      </c>
      <c r="E844" s="306">
        <v>29.0</v>
      </c>
      <c r="F844" s="305" t="s">
        <v>1099</v>
      </c>
      <c r="G844" s="307"/>
    </row>
    <row r="845" ht="14.25" hidden="1" customHeight="1" outlineLevel="2">
      <c r="A845" s="10"/>
      <c r="B845" s="10"/>
      <c r="C845" s="313">
        <v>0.7916666666666666</v>
      </c>
      <c r="D845" s="305" t="s">
        <v>656</v>
      </c>
      <c r="E845" s="306">
        <v>910.0</v>
      </c>
      <c r="F845" s="305" t="s">
        <v>1100</v>
      </c>
      <c r="G845" s="307"/>
    </row>
    <row r="846" ht="14.25" hidden="1" customHeight="1" outlineLevel="2">
      <c r="A846" s="102">
        <v>45818.0</v>
      </c>
      <c r="B846" s="97">
        <f>A846</f>
        <v>45818</v>
      </c>
      <c r="C846" s="313">
        <v>0.2916666666666667</v>
      </c>
      <c r="D846" s="305" t="s">
        <v>236</v>
      </c>
      <c r="E846" s="306">
        <v>2.0</v>
      </c>
      <c r="F846" s="305" t="s">
        <v>1101</v>
      </c>
      <c r="G846" s="307"/>
    </row>
    <row r="847" ht="14.25" hidden="1" customHeight="1" outlineLevel="2">
      <c r="A847" s="10"/>
      <c r="B847" s="10"/>
      <c r="C847" s="313">
        <v>0.5069444444444444</v>
      </c>
      <c r="D847" s="305" t="s">
        <v>456</v>
      </c>
      <c r="E847" s="306">
        <v>31.0</v>
      </c>
      <c r="F847" s="305" t="s">
        <v>1024</v>
      </c>
      <c r="G847" s="307"/>
    </row>
    <row r="848" ht="14.25" hidden="1" customHeight="1" outlineLevel="2">
      <c r="A848" s="102">
        <v>45819.0</v>
      </c>
      <c r="B848" s="97">
        <f>A848</f>
        <v>45819</v>
      </c>
      <c r="C848" s="313">
        <v>0.2916666666666667</v>
      </c>
      <c r="D848" s="305" t="s">
        <v>119</v>
      </c>
      <c r="E848" s="306">
        <v>14.0</v>
      </c>
      <c r="F848" s="305" t="s">
        <v>1001</v>
      </c>
      <c r="G848" s="307"/>
    </row>
    <row r="849" ht="14.25" hidden="1" customHeight="1" outlineLevel="2">
      <c r="A849" s="10"/>
      <c r="B849" s="10"/>
      <c r="C849" s="313">
        <v>0.5069444444444444</v>
      </c>
      <c r="D849" s="305" t="s">
        <v>1064</v>
      </c>
      <c r="E849" s="306">
        <v>9.0</v>
      </c>
      <c r="F849" s="305" t="s">
        <v>1102</v>
      </c>
      <c r="G849" s="307"/>
    </row>
    <row r="850" ht="14.25" hidden="1" customHeight="1" outlineLevel="2">
      <c r="A850" s="102">
        <v>45820.0</v>
      </c>
      <c r="B850" s="97">
        <f>A850</f>
        <v>45820</v>
      </c>
      <c r="C850" s="313">
        <v>0.2916666666666667</v>
      </c>
      <c r="D850" s="305" t="s">
        <v>119</v>
      </c>
      <c r="E850" s="306">
        <v>80.0</v>
      </c>
      <c r="F850" s="305" t="s">
        <v>1103</v>
      </c>
      <c r="G850" s="307"/>
    </row>
    <row r="851" ht="14.25" hidden="1" customHeight="1" outlineLevel="2">
      <c r="A851" s="10"/>
      <c r="B851" s="10"/>
      <c r="C851" s="313">
        <v>0.5069444444444444</v>
      </c>
      <c r="D851" s="305" t="s">
        <v>980</v>
      </c>
      <c r="E851" s="306">
        <v>75.0</v>
      </c>
      <c r="F851" s="305" t="s">
        <v>1104</v>
      </c>
      <c r="G851" s="307"/>
    </row>
    <row r="852" ht="14.25" hidden="1" customHeight="1" outlineLevel="2">
      <c r="A852" s="102">
        <v>45821.0</v>
      </c>
      <c r="B852" s="97">
        <f>A852</f>
        <v>45821</v>
      </c>
      <c r="C852" s="313">
        <v>0.2916666666666667</v>
      </c>
      <c r="D852" s="305" t="s">
        <v>236</v>
      </c>
      <c r="E852" s="306">
        <v>81.0</v>
      </c>
      <c r="F852" s="305" t="s">
        <v>1107</v>
      </c>
      <c r="G852" s="307"/>
    </row>
    <row r="853" ht="14.25" hidden="1" customHeight="1" outlineLevel="2">
      <c r="A853" s="10"/>
      <c r="B853" s="10"/>
      <c r="C853" s="313">
        <v>0.5069444444444444</v>
      </c>
      <c r="D853" s="305" t="s">
        <v>1108</v>
      </c>
      <c r="E853" s="306">
        <v>40.0</v>
      </c>
      <c r="F853" s="305" t="s">
        <v>426</v>
      </c>
      <c r="G853" s="307"/>
    </row>
    <row r="854" ht="14.25" hidden="1" customHeight="1" outlineLevel="2">
      <c r="A854" s="125">
        <v>45822.0</v>
      </c>
      <c r="B854" s="126">
        <f t="shared" ref="B854:B855" si="127">A854</f>
        <v>45822</v>
      </c>
      <c r="C854" s="313">
        <v>0.3333333333333333</v>
      </c>
      <c r="D854" s="305" t="s">
        <v>119</v>
      </c>
      <c r="E854" s="306">
        <v>130.0</v>
      </c>
      <c r="F854" s="305" t="s">
        <v>1109</v>
      </c>
      <c r="G854" s="307"/>
    </row>
    <row r="855" ht="14.25" hidden="1" customHeight="1" outlineLevel="2">
      <c r="A855" s="102">
        <v>45823.0</v>
      </c>
      <c r="B855" s="97">
        <f t="shared" si="127"/>
        <v>45823</v>
      </c>
      <c r="C855" s="313">
        <v>0.3333333333333333</v>
      </c>
      <c r="D855" s="305" t="s">
        <v>490</v>
      </c>
      <c r="E855" s="306">
        <v>210.0</v>
      </c>
      <c r="F855" s="305" t="s">
        <v>1110</v>
      </c>
      <c r="G855" s="307"/>
    </row>
    <row r="856" ht="14.25" hidden="1" customHeight="1" outlineLevel="2">
      <c r="A856" s="58"/>
      <c r="B856" s="58"/>
      <c r="C856" s="313">
        <v>0.4583333333333333</v>
      </c>
      <c r="D856" s="305" t="s">
        <v>1111</v>
      </c>
      <c r="E856" s="306">
        <v>410.0</v>
      </c>
      <c r="F856" s="305" t="s">
        <v>1112</v>
      </c>
      <c r="G856" s="307"/>
    </row>
    <row r="857" ht="14.25" hidden="1" customHeight="1" outlineLevel="2">
      <c r="A857" s="10"/>
      <c r="B857" s="10"/>
      <c r="C857" s="313">
        <v>0.7708333333333334</v>
      </c>
      <c r="D857" s="305" t="s">
        <v>413</v>
      </c>
      <c r="E857" s="306">
        <v>180.0</v>
      </c>
      <c r="F857" s="305" t="s">
        <v>1113</v>
      </c>
      <c r="G857" s="307"/>
    </row>
    <row r="858" ht="14.25" hidden="1" customHeight="1" outlineLevel="2">
      <c r="A858" s="102">
        <v>45824.0</v>
      </c>
      <c r="B858" s="97">
        <f>A858</f>
        <v>45824</v>
      </c>
      <c r="C858" s="313">
        <v>0.2916666666666667</v>
      </c>
      <c r="D858" s="305" t="s">
        <v>119</v>
      </c>
      <c r="E858" s="306">
        <v>26.0</v>
      </c>
      <c r="F858" s="305" t="s">
        <v>842</v>
      </c>
      <c r="G858" s="307"/>
    </row>
    <row r="859" ht="14.25" hidden="1" customHeight="1" outlineLevel="2">
      <c r="A859" s="10"/>
      <c r="B859" s="10"/>
      <c r="C859" s="313">
        <v>0.5069444444444444</v>
      </c>
      <c r="D859" s="305" t="s">
        <v>1062</v>
      </c>
      <c r="E859" s="306">
        <v>25.0</v>
      </c>
      <c r="F859" s="305" t="s">
        <v>428</v>
      </c>
      <c r="G859" s="307"/>
    </row>
    <row r="860" ht="14.25" hidden="1" customHeight="1" outlineLevel="2">
      <c r="A860" s="102">
        <v>45825.0</v>
      </c>
      <c r="B860" s="97">
        <f>A860</f>
        <v>45825</v>
      </c>
      <c r="C860" s="313">
        <v>0.2916666666666667</v>
      </c>
      <c r="D860" s="305"/>
      <c r="E860" s="306"/>
      <c r="F860" s="305"/>
      <c r="G860" s="307"/>
    </row>
    <row r="861" ht="14.25" hidden="1" customHeight="1" outlineLevel="2">
      <c r="A861" s="10"/>
      <c r="B861" s="10"/>
      <c r="C861" s="313">
        <v>0.5069444444444444</v>
      </c>
      <c r="D861" s="305" t="s">
        <v>456</v>
      </c>
      <c r="E861" s="306">
        <v>40.0</v>
      </c>
      <c r="F861" s="305" t="s">
        <v>1116</v>
      </c>
      <c r="G861" s="307"/>
    </row>
    <row r="862" ht="14.25" hidden="1" customHeight="1" outlineLevel="2">
      <c r="A862" s="102">
        <v>45826.0</v>
      </c>
      <c r="B862" s="97">
        <f>A862</f>
        <v>45826</v>
      </c>
      <c r="C862" s="313">
        <v>0.2916666666666667</v>
      </c>
      <c r="D862" s="305" t="s">
        <v>119</v>
      </c>
      <c r="E862" s="306">
        <v>6.0</v>
      </c>
      <c r="F862" s="305" t="s">
        <v>219</v>
      </c>
      <c r="G862" s="307"/>
    </row>
    <row r="863" ht="14.25" hidden="1" customHeight="1" outlineLevel="2">
      <c r="A863" s="10"/>
      <c r="B863" s="10"/>
      <c r="C863" s="313">
        <v>0.5069444444444444</v>
      </c>
      <c r="D863" s="305" t="s">
        <v>1064</v>
      </c>
      <c r="E863" s="306">
        <v>5.0</v>
      </c>
      <c r="F863" s="305" t="s">
        <v>1118</v>
      </c>
      <c r="G863" s="307"/>
    </row>
    <row r="864" ht="14.25" hidden="1" customHeight="1" outlineLevel="2">
      <c r="A864" s="125">
        <v>45827.0</v>
      </c>
      <c r="B864" s="126">
        <f t="shared" ref="B864:B865" si="128">A864</f>
        <v>45827</v>
      </c>
      <c r="C864" s="313">
        <v>0.3333333333333333</v>
      </c>
      <c r="D864" s="305" t="s">
        <v>490</v>
      </c>
      <c r="E864" s="306">
        <v>350.0</v>
      </c>
      <c r="F864" s="305" t="s">
        <v>630</v>
      </c>
      <c r="G864" s="311" t="s">
        <v>1119</v>
      </c>
    </row>
    <row r="865" ht="14.25" hidden="1" customHeight="1" outlineLevel="2">
      <c r="A865" s="102">
        <v>45828.0</v>
      </c>
      <c r="B865" s="97">
        <f t="shared" si="128"/>
        <v>45828</v>
      </c>
      <c r="C865" s="313">
        <v>0.2916666666666667</v>
      </c>
      <c r="D865" s="305" t="s">
        <v>236</v>
      </c>
      <c r="E865" s="306">
        <v>36.0</v>
      </c>
      <c r="F865" s="305" t="s">
        <v>498</v>
      </c>
      <c r="G865" s="307"/>
    </row>
    <row r="866" ht="14.25" hidden="1" customHeight="1" outlineLevel="2">
      <c r="A866" s="10"/>
      <c r="B866" s="10"/>
      <c r="C866" s="313">
        <v>0.5069444444444444</v>
      </c>
      <c r="D866" s="305" t="s">
        <v>1062</v>
      </c>
      <c r="E866" s="306">
        <v>32.0</v>
      </c>
      <c r="F866" s="305" t="s">
        <v>426</v>
      </c>
      <c r="G866" s="307"/>
    </row>
    <row r="867" ht="14.25" hidden="1" customHeight="1" outlineLevel="2">
      <c r="A867" s="125">
        <v>45829.0</v>
      </c>
      <c r="B867" s="126">
        <f t="shared" ref="B867:B868" si="129">A867</f>
        <v>45829</v>
      </c>
      <c r="C867" s="313">
        <v>0.3333333333333333</v>
      </c>
      <c r="D867" s="305" t="s">
        <v>119</v>
      </c>
      <c r="E867" s="306">
        <v>32.0</v>
      </c>
      <c r="F867" s="305" t="s">
        <v>1120</v>
      </c>
      <c r="G867" s="307"/>
    </row>
    <row r="868" ht="14.25" hidden="1" customHeight="1" outlineLevel="2">
      <c r="A868" s="102">
        <v>45830.0</v>
      </c>
      <c r="B868" s="97">
        <f t="shared" si="129"/>
        <v>45830</v>
      </c>
      <c r="C868" s="313">
        <v>0.3333333333333333</v>
      </c>
      <c r="D868" s="305" t="s">
        <v>490</v>
      </c>
      <c r="E868" s="306">
        <v>478.0</v>
      </c>
      <c r="F868" s="305" t="s">
        <v>1121</v>
      </c>
      <c r="G868" s="307"/>
    </row>
    <row r="869" ht="14.25" hidden="1" customHeight="1" outlineLevel="2">
      <c r="A869" s="58"/>
      <c r="B869" s="58"/>
      <c r="C869" s="313">
        <v>0.4583333333333333</v>
      </c>
      <c r="D869" s="305" t="s">
        <v>980</v>
      </c>
      <c r="E869" s="306">
        <v>119.0</v>
      </c>
      <c r="F869" s="305" t="s">
        <v>1122</v>
      </c>
      <c r="G869" s="307"/>
    </row>
    <row r="870" ht="14.25" hidden="1" customHeight="1" outlineLevel="2">
      <c r="A870" s="10"/>
      <c r="B870" s="10"/>
      <c r="C870" s="313">
        <v>0.7708333333333334</v>
      </c>
      <c r="D870" s="305" t="s">
        <v>413</v>
      </c>
      <c r="E870" s="306">
        <v>256.0</v>
      </c>
      <c r="F870" s="305" t="s">
        <v>129</v>
      </c>
      <c r="G870" s="307"/>
    </row>
    <row r="871" ht="14.25" hidden="1" customHeight="1" outlineLevel="2">
      <c r="A871" s="102">
        <v>45831.0</v>
      </c>
      <c r="B871" s="97">
        <f>A871</f>
        <v>45831</v>
      </c>
      <c r="C871" s="313">
        <v>0.2916666666666667</v>
      </c>
      <c r="D871" s="305" t="s">
        <v>119</v>
      </c>
      <c r="E871" s="306">
        <v>49.0</v>
      </c>
      <c r="F871" s="305" t="s">
        <v>842</v>
      </c>
      <c r="G871" s="307"/>
    </row>
    <row r="872" ht="14.25" hidden="1" customHeight="1" outlineLevel="2">
      <c r="A872" s="10"/>
      <c r="B872" s="10"/>
      <c r="C872" s="313">
        <v>0.5069444444444444</v>
      </c>
      <c r="D872" s="305" t="s">
        <v>1062</v>
      </c>
      <c r="E872" s="306">
        <v>39.0</v>
      </c>
      <c r="F872" s="305" t="s">
        <v>914</v>
      </c>
      <c r="G872" s="307"/>
    </row>
    <row r="873" ht="14.25" hidden="1" customHeight="1" outlineLevel="2">
      <c r="A873" s="102">
        <v>45832.0</v>
      </c>
      <c r="B873" s="97">
        <f>A873</f>
        <v>45832</v>
      </c>
      <c r="C873" s="313">
        <v>0.2916666666666667</v>
      </c>
      <c r="D873" s="305" t="s">
        <v>236</v>
      </c>
      <c r="E873" s="306">
        <v>40.0</v>
      </c>
      <c r="F873" s="305" t="s">
        <v>717</v>
      </c>
      <c r="G873" s="307"/>
    </row>
    <row r="874" ht="14.25" hidden="1" customHeight="1" outlineLevel="2">
      <c r="A874" s="10"/>
      <c r="B874" s="10"/>
      <c r="C874" s="313">
        <v>0.5069444444444444</v>
      </c>
      <c r="D874" s="305" t="s">
        <v>456</v>
      </c>
      <c r="E874" s="306">
        <v>7.0</v>
      </c>
      <c r="F874" s="305" t="s">
        <v>219</v>
      </c>
      <c r="G874" s="307"/>
    </row>
    <row r="875" ht="14.25" hidden="1" customHeight="1" outlineLevel="2">
      <c r="A875" s="102">
        <v>45833.0</v>
      </c>
      <c r="B875" s="97">
        <f>A875</f>
        <v>45833</v>
      </c>
      <c r="C875" s="313">
        <v>0.2916666666666667</v>
      </c>
      <c r="D875" s="305" t="s">
        <v>119</v>
      </c>
      <c r="E875" s="306">
        <v>24.0</v>
      </c>
      <c r="F875" s="305" t="s">
        <v>219</v>
      </c>
      <c r="G875" s="307"/>
    </row>
    <row r="876" ht="14.25" hidden="1" customHeight="1" outlineLevel="2">
      <c r="A876" s="10"/>
      <c r="B876" s="10"/>
      <c r="C876" s="313">
        <v>0.5069444444444444</v>
      </c>
      <c r="D876" s="305" t="s">
        <v>1064</v>
      </c>
      <c r="E876" s="306">
        <v>41.0</v>
      </c>
      <c r="F876" s="305" t="s">
        <v>875</v>
      </c>
      <c r="G876" s="307"/>
    </row>
    <row r="877" ht="14.25" hidden="1" customHeight="1" outlineLevel="2">
      <c r="A877" s="102">
        <v>45834.0</v>
      </c>
      <c r="B877" s="97">
        <f>A877</f>
        <v>45834</v>
      </c>
      <c r="C877" s="313">
        <v>0.2916666666666667</v>
      </c>
      <c r="D877" s="305" t="s">
        <v>119</v>
      </c>
      <c r="E877" s="306">
        <v>51.0</v>
      </c>
      <c r="F877" s="305" t="s">
        <v>1124</v>
      </c>
      <c r="G877" s="307"/>
    </row>
    <row r="878" ht="14.25" hidden="1" customHeight="1" outlineLevel="2">
      <c r="A878" s="10"/>
      <c r="B878" s="10"/>
      <c r="C878" s="313">
        <v>0.5069444444444444</v>
      </c>
      <c r="D878" s="305" t="s">
        <v>980</v>
      </c>
      <c r="E878" s="306">
        <v>15.0</v>
      </c>
      <c r="F878" s="305" t="s">
        <v>300</v>
      </c>
      <c r="G878" s="307"/>
    </row>
    <row r="879" ht="14.25" hidden="1" customHeight="1" outlineLevel="2">
      <c r="A879" s="102">
        <v>45835.0</v>
      </c>
      <c r="B879" s="97">
        <f>A879</f>
        <v>45835</v>
      </c>
      <c r="C879" s="313">
        <v>0.2916666666666667</v>
      </c>
      <c r="D879" s="305" t="s">
        <v>236</v>
      </c>
      <c r="E879" s="306">
        <v>161.0</v>
      </c>
      <c r="F879" s="305" t="s">
        <v>1126</v>
      </c>
      <c r="G879" s="307"/>
    </row>
    <row r="880" ht="14.25" hidden="1" customHeight="1" outlineLevel="2">
      <c r="A880" s="10"/>
      <c r="B880" s="10"/>
      <c r="C880" s="313">
        <v>0.5069444444444444</v>
      </c>
      <c r="D880" s="305" t="s">
        <v>1062</v>
      </c>
      <c r="E880" s="306">
        <v>60.0</v>
      </c>
      <c r="F880" s="305" t="s">
        <v>153</v>
      </c>
      <c r="G880" s="307"/>
    </row>
    <row r="881" ht="14.25" hidden="1" customHeight="1" outlineLevel="2">
      <c r="A881" s="125">
        <v>45836.0</v>
      </c>
      <c r="B881" s="126">
        <f t="shared" ref="B881:B882" si="130">A881</f>
        <v>45836</v>
      </c>
      <c r="C881" s="313">
        <v>0.3333333333333333</v>
      </c>
      <c r="D881" s="305" t="s">
        <v>119</v>
      </c>
      <c r="E881" s="306">
        <v>30.0</v>
      </c>
      <c r="F881" s="305" t="s">
        <v>881</v>
      </c>
      <c r="G881" s="307"/>
    </row>
    <row r="882" ht="14.25" hidden="1" customHeight="1" outlineLevel="2">
      <c r="A882" s="102">
        <v>45837.0</v>
      </c>
      <c r="B882" s="97">
        <f t="shared" si="130"/>
        <v>45837</v>
      </c>
      <c r="C882" s="313">
        <v>0.3333333333333333</v>
      </c>
      <c r="D882" s="305" t="s">
        <v>490</v>
      </c>
      <c r="E882" s="306">
        <v>292.0</v>
      </c>
      <c r="F882" s="305" t="s">
        <v>842</v>
      </c>
      <c r="G882" s="307"/>
    </row>
    <row r="883" ht="14.25" hidden="1" customHeight="1" outlineLevel="2">
      <c r="A883" s="58"/>
      <c r="B883" s="58"/>
      <c r="C883" s="313">
        <v>0.4583333333333333</v>
      </c>
      <c r="D883" s="305" t="s">
        <v>296</v>
      </c>
      <c r="E883" s="306">
        <v>224.0</v>
      </c>
      <c r="F883" s="305" t="s">
        <v>1127</v>
      </c>
      <c r="G883" s="307"/>
    </row>
    <row r="884" ht="14.25" hidden="1" customHeight="1" outlineLevel="2">
      <c r="A884" s="10"/>
      <c r="B884" s="10"/>
      <c r="C884" s="313">
        <v>0.7708333333333334</v>
      </c>
      <c r="D884" s="305" t="s">
        <v>272</v>
      </c>
      <c r="E884" s="306">
        <v>238.0</v>
      </c>
      <c r="F884" s="305" t="s">
        <v>1128</v>
      </c>
      <c r="G884" s="307"/>
    </row>
    <row r="885" ht="14.25" hidden="1" customHeight="1" outlineLevel="2">
      <c r="A885" s="102">
        <v>45838.0</v>
      </c>
      <c r="B885" s="97">
        <f>A885</f>
        <v>45838</v>
      </c>
      <c r="C885" s="313">
        <v>0.2916666666666667</v>
      </c>
      <c r="D885" s="305" t="s">
        <v>119</v>
      </c>
      <c r="E885" s="306">
        <v>49.0</v>
      </c>
      <c r="F885" s="305" t="s">
        <v>909</v>
      </c>
      <c r="G885" s="307"/>
    </row>
    <row r="886" ht="14.25" hidden="1" customHeight="1" outlineLevel="2">
      <c r="A886" s="10"/>
      <c r="B886" s="10"/>
      <c r="C886" s="313">
        <v>0.5069444444444444</v>
      </c>
      <c r="D886" s="305" t="s">
        <v>1062</v>
      </c>
      <c r="E886" s="306">
        <v>70.0</v>
      </c>
      <c r="F886" s="305" t="s">
        <v>630</v>
      </c>
      <c r="G886" s="307"/>
    </row>
    <row r="887" ht="14.25" customHeight="1" outlineLevel="1">
      <c r="A887" s="117" t="s">
        <v>195</v>
      </c>
      <c r="B887" s="27"/>
      <c r="C887" s="27"/>
      <c r="D887" s="28"/>
      <c r="E887" s="312">
        <f>SUM(E825:E886)</f>
        <v>7662</v>
      </c>
      <c r="F887" s="276"/>
      <c r="G887" s="276"/>
    </row>
    <row r="888" ht="14.25" customHeight="1" outlineLevel="1"/>
    <row r="889" ht="14.25" customHeight="1" outlineLevel="1" collapsed="1">
      <c r="A889" s="122" t="s">
        <v>1131</v>
      </c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3"/>
    </row>
    <row r="890" ht="14.25" hidden="1" customHeight="1" outlineLevel="2">
      <c r="A890" s="70" t="s">
        <v>90</v>
      </c>
      <c r="I890" s="72" t="s">
        <v>91</v>
      </c>
      <c r="J890" s="73"/>
      <c r="K890" s="73"/>
      <c r="L890" s="74"/>
      <c r="N890" s="72" t="s">
        <v>992</v>
      </c>
      <c r="O890" s="73"/>
      <c r="P890" s="73"/>
      <c r="Q890" s="74"/>
    </row>
    <row r="891" ht="14.25" hidden="1" customHeight="1" outlineLevel="2">
      <c r="A891" s="303" t="s">
        <v>6</v>
      </c>
      <c r="B891" s="304" t="s">
        <v>103</v>
      </c>
      <c r="C891" s="303" t="s">
        <v>104</v>
      </c>
      <c r="D891" s="303" t="s">
        <v>107</v>
      </c>
      <c r="E891" s="303" t="s">
        <v>109</v>
      </c>
      <c r="F891" s="304" t="s">
        <v>110</v>
      </c>
      <c r="G891" s="303" t="s">
        <v>13</v>
      </c>
      <c r="I891" s="81" t="s">
        <v>6</v>
      </c>
      <c r="J891" s="84" t="s">
        <v>115</v>
      </c>
      <c r="K891" s="84" t="s">
        <v>9</v>
      </c>
      <c r="L891" s="81" t="s">
        <v>13</v>
      </c>
      <c r="M891" s="51"/>
      <c r="N891" s="81" t="s">
        <v>6</v>
      </c>
      <c r="O891" s="84" t="s">
        <v>115</v>
      </c>
      <c r="P891" s="84" t="s">
        <v>9</v>
      </c>
      <c r="Q891" s="81" t="s">
        <v>13</v>
      </c>
    </row>
    <row r="892" ht="14.25" hidden="1" customHeight="1" outlineLevel="2">
      <c r="A892" s="102">
        <v>45839.0</v>
      </c>
      <c r="B892" s="97">
        <f>A892</f>
        <v>45839</v>
      </c>
      <c r="C892" s="313">
        <v>0.2916666666666667</v>
      </c>
      <c r="D892" s="242" t="s">
        <v>296</v>
      </c>
      <c r="E892" s="275">
        <v>35.0</v>
      </c>
      <c r="F892" s="242" t="s">
        <v>1135</v>
      </c>
      <c r="G892" s="244"/>
      <c r="I892" s="86">
        <v>45843.0</v>
      </c>
      <c r="J892" s="88">
        <f t="shared" ref="J892:J894" si="131">I892</f>
        <v>45843</v>
      </c>
      <c r="K892" s="93">
        <v>84.0</v>
      </c>
      <c r="L892" s="90"/>
      <c r="M892" s="51"/>
      <c r="N892" s="86">
        <v>45839.0</v>
      </c>
      <c r="O892" s="88">
        <f t="shared" ref="O892:O896" si="132">N892</f>
        <v>45839</v>
      </c>
      <c r="P892" s="93">
        <v>1200.0</v>
      </c>
      <c r="Q892" s="91"/>
    </row>
    <row r="893" ht="14.25" hidden="1" customHeight="1" outlineLevel="2">
      <c r="A893" s="10"/>
      <c r="B893" s="10"/>
      <c r="C893" s="313">
        <v>0.5069444444444444</v>
      </c>
      <c r="D893" s="242" t="s">
        <v>456</v>
      </c>
      <c r="E893" s="275">
        <v>72.0</v>
      </c>
      <c r="F893" s="242" t="s">
        <v>1005</v>
      </c>
      <c r="G893" s="244"/>
      <c r="I893" s="86">
        <v>45850.0</v>
      </c>
      <c r="J893" s="88">
        <f t="shared" si="131"/>
        <v>45850</v>
      </c>
      <c r="K893" s="93">
        <v>20.0</v>
      </c>
      <c r="L893" s="90"/>
      <c r="M893" s="51"/>
      <c r="N893" s="86">
        <v>45852.0</v>
      </c>
      <c r="O893" s="88">
        <f t="shared" si="132"/>
        <v>45852</v>
      </c>
      <c r="P893" s="93">
        <v>900.0</v>
      </c>
      <c r="Q893" s="91"/>
    </row>
    <row r="894" ht="14.25" hidden="1" customHeight="1" outlineLevel="2">
      <c r="A894" s="102">
        <v>45840.0</v>
      </c>
      <c r="B894" s="97">
        <f>A894</f>
        <v>45840</v>
      </c>
      <c r="C894" s="313">
        <v>0.2916666666666667</v>
      </c>
      <c r="D894" s="242" t="s">
        <v>119</v>
      </c>
      <c r="E894" s="275">
        <v>16.0</v>
      </c>
      <c r="F894" s="242" t="s">
        <v>219</v>
      </c>
      <c r="G894" s="244"/>
      <c r="I894" s="86">
        <v>45861.0</v>
      </c>
      <c r="J894" s="88">
        <f t="shared" si="131"/>
        <v>45861</v>
      </c>
      <c r="K894" s="93">
        <v>39.4</v>
      </c>
      <c r="L894" s="90"/>
      <c r="M894" s="51"/>
      <c r="N894" s="86">
        <v>45861.0</v>
      </c>
      <c r="O894" s="88">
        <f t="shared" si="132"/>
        <v>45861</v>
      </c>
      <c r="P894" s="93">
        <v>600.0</v>
      </c>
      <c r="Q894" s="91"/>
    </row>
    <row r="895" ht="14.25" hidden="1" customHeight="1" outlineLevel="2">
      <c r="A895" s="10"/>
      <c r="B895" s="10"/>
      <c r="C895" s="313">
        <v>0.5069444444444444</v>
      </c>
      <c r="D895" s="242" t="s">
        <v>1064</v>
      </c>
      <c r="E895" s="275">
        <v>57.0</v>
      </c>
      <c r="F895" s="242" t="s">
        <v>416</v>
      </c>
      <c r="G895" s="244"/>
      <c r="I895" s="86"/>
      <c r="J895" s="88"/>
      <c r="K895" s="93"/>
      <c r="L895" s="90"/>
      <c r="M895" s="51"/>
      <c r="N895" s="86">
        <v>45867.0</v>
      </c>
      <c r="O895" s="88">
        <f t="shared" si="132"/>
        <v>45867</v>
      </c>
      <c r="P895" s="93">
        <v>3900.0</v>
      </c>
      <c r="Q895" s="91"/>
    </row>
    <row r="896" ht="14.25" hidden="1" customHeight="1" outlineLevel="2">
      <c r="A896" s="102">
        <v>45841.0</v>
      </c>
      <c r="B896" s="97">
        <f>A896</f>
        <v>45841</v>
      </c>
      <c r="C896" s="313">
        <v>0.2916666666666667</v>
      </c>
      <c r="D896" s="242" t="s">
        <v>119</v>
      </c>
      <c r="E896" s="275">
        <v>76.0</v>
      </c>
      <c r="F896" s="242" t="s">
        <v>1124</v>
      </c>
      <c r="G896" s="244"/>
      <c r="I896" s="86"/>
      <c r="J896" s="88"/>
      <c r="K896" s="93"/>
      <c r="L896" s="90"/>
      <c r="M896" s="51"/>
      <c r="N896" s="86">
        <v>45869.0</v>
      </c>
      <c r="O896" s="88">
        <f t="shared" si="132"/>
        <v>45869</v>
      </c>
      <c r="P896" s="93">
        <v>600.0</v>
      </c>
      <c r="Q896" s="91"/>
    </row>
    <row r="897" ht="14.25" hidden="1" customHeight="1" outlineLevel="2">
      <c r="A897" s="10"/>
      <c r="B897" s="10"/>
      <c r="C897" s="313">
        <v>0.5069444444444444</v>
      </c>
      <c r="D897" s="242" t="s">
        <v>980</v>
      </c>
      <c r="E897" s="275">
        <v>21.0</v>
      </c>
      <c r="F897" s="242" t="s">
        <v>349</v>
      </c>
      <c r="G897" s="244"/>
      <c r="I897" s="86"/>
      <c r="J897" s="88"/>
      <c r="K897" s="93"/>
      <c r="L897" s="90"/>
      <c r="M897" s="51"/>
      <c r="N897" s="276"/>
      <c r="O897" s="276"/>
      <c r="P897" s="276"/>
      <c r="Q897" s="276"/>
    </row>
    <row r="898" ht="14.25" hidden="1" customHeight="1" outlineLevel="2">
      <c r="A898" s="102">
        <v>45842.0</v>
      </c>
      <c r="B898" s="97">
        <f>A898</f>
        <v>45842</v>
      </c>
      <c r="C898" s="313">
        <v>0.2916666666666667</v>
      </c>
      <c r="D898" s="242" t="s">
        <v>236</v>
      </c>
      <c r="E898" s="275">
        <v>90.0</v>
      </c>
      <c r="F898" s="242" t="s">
        <v>1135</v>
      </c>
      <c r="G898" s="244"/>
      <c r="I898" s="86"/>
      <c r="J898" s="88"/>
      <c r="K898" s="92"/>
      <c r="L898" s="90"/>
      <c r="M898" s="51"/>
      <c r="N898" s="276"/>
      <c r="O898" s="276"/>
      <c r="P898" s="276"/>
      <c r="Q898" s="276"/>
    </row>
    <row r="899" ht="14.25" hidden="1" customHeight="1" outlineLevel="2">
      <c r="A899" s="10"/>
      <c r="B899" s="10"/>
      <c r="C899" s="313">
        <v>0.5069444444444444</v>
      </c>
      <c r="D899" s="242" t="s">
        <v>1062</v>
      </c>
      <c r="E899" s="275">
        <v>26.0</v>
      </c>
      <c r="F899" s="242" t="s">
        <v>697</v>
      </c>
      <c r="G899" s="244"/>
      <c r="I899" s="86"/>
      <c r="J899" s="88"/>
      <c r="K899" s="92"/>
      <c r="L899" s="90"/>
      <c r="M899" s="51"/>
      <c r="N899" s="165" t="s">
        <v>195</v>
      </c>
      <c r="O899" s="165"/>
      <c r="P899" s="291">
        <f>SUM(P892:P898)</f>
        <v>7200</v>
      </c>
      <c r="Q899" s="114"/>
    </row>
    <row r="900" ht="14.25" hidden="1" customHeight="1" outlineLevel="2">
      <c r="A900" s="125">
        <v>45843.0</v>
      </c>
      <c r="B900" s="126">
        <f t="shared" ref="B900:B901" si="133">A900</f>
        <v>45843</v>
      </c>
      <c r="C900" s="313">
        <v>0.3333333333333333</v>
      </c>
      <c r="D900" s="242" t="s">
        <v>119</v>
      </c>
      <c r="E900" s="275">
        <v>45.0</v>
      </c>
      <c r="F900" s="242" t="s">
        <v>1141</v>
      </c>
      <c r="G900" s="244"/>
      <c r="I900" s="108" t="s">
        <v>195</v>
      </c>
      <c r="J900" s="109"/>
      <c r="K900" s="113">
        <f>SUM(K892:K899)</f>
        <v>143.4</v>
      </c>
      <c r="L900" s="114"/>
      <c r="M900" s="51"/>
    </row>
    <row r="901" ht="14.25" hidden="1" customHeight="1" outlineLevel="2">
      <c r="A901" s="102">
        <v>45844.0</v>
      </c>
      <c r="B901" s="97">
        <f t="shared" si="133"/>
        <v>45844</v>
      </c>
      <c r="C901" s="313">
        <v>0.3333333333333333</v>
      </c>
      <c r="D901" s="242" t="s">
        <v>1093</v>
      </c>
      <c r="E901" s="275">
        <v>360.0</v>
      </c>
      <c r="F901" s="242" t="s">
        <v>1143</v>
      </c>
      <c r="G901" s="244"/>
      <c r="N901" s="235" t="s">
        <v>344</v>
      </c>
      <c r="O901" s="27"/>
      <c r="P901" s="27"/>
      <c r="Q901" s="28"/>
    </row>
    <row r="902" ht="14.25" hidden="1" customHeight="1" outlineLevel="2">
      <c r="A902" s="58"/>
      <c r="B902" s="58"/>
      <c r="C902" s="313">
        <v>0.4583333333333333</v>
      </c>
      <c r="D902" s="242" t="s">
        <v>1020</v>
      </c>
      <c r="E902" s="275">
        <v>260.0</v>
      </c>
      <c r="F902" s="242" t="s">
        <v>1127</v>
      </c>
      <c r="G902" s="244"/>
      <c r="N902" s="81" t="s">
        <v>6</v>
      </c>
      <c r="O902" s="84" t="s">
        <v>115</v>
      </c>
      <c r="P902" s="84" t="s">
        <v>9</v>
      </c>
      <c r="Q902" s="81" t="s">
        <v>13</v>
      </c>
    </row>
    <row r="903" ht="14.25" hidden="1" customHeight="1" outlineLevel="2">
      <c r="A903" s="10"/>
      <c r="B903" s="10"/>
      <c r="C903" s="313">
        <v>0.7708333333333334</v>
      </c>
      <c r="D903" s="242" t="s">
        <v>413</v>
      </c>
      <c r="E903" s="275">
        <v>219.0</v>
      </c>
      <c r="F903" s="242" t="s">
        <v>1145</v>
      </c>
      <c r="G903" s="244"/>
      <c r="N903" s="86">
        <v>45839.0</v>
      </c>
      <c r="O903" s="88">
        <f>N903</f>
        <v>45839</v>
      </c>
      <c r="P903" s="93">
        <v>0.0</v>
      </c>
      <c r="Q903" s="91"/>
    </row>
    <row r="904" ht="14.25" hidden="1" customHeight="1" outlineLevel="2">
      <c r="A904" s="102">
        <v>45845.0</v>
      </c>
      <c r="B904" s="97">
        <f>A904</f>
        <v>45845</v>
      </c>
      <c r="C904" s="313">
        <v>0.2916666666666667</v>
      </c>
      <c r="D904" s="242" t="s">
        <v>119</v>
      </c>
      <c r="E904" s="275">
        <v>76.0</v>
      </c>
      <c r="F904" s="242" t="s">
        <v>885</v>
      </c>
      <c r="G904" s="244"/>
      <c r="N904" s="165" t="s">
        <v>195</v>
      </c>
      <c r="O904" s="165"/>
      <c r="P904" s="113">
        <f>SUM(P901:P903)</f>
        <v>0</v>
      </c>
      <c r="Q904" s="114"/>
    </row>
    <row r="905" ht="14.25" hidden="1" customHeight="1" outlineLevel="2">
      <c r="A905" s="10"/>
      <c r="B905" s="10"/>
      <c r="C905" s="313">
        <v>0.5069444444444444</v>
      </c>
      <c r="D905" s="242" t="s">
        <v>1064</v>
      </c>
      <c r="E905" s="275">
        <v>20.0</v>
      </c>
      <c r="F905" s="242" t="s">
        <v>1146</v>
      </c>
      <c r="G905" s="244"/>
    </row>
    <row r="906" ht="14.25" hidden="1" customHeight="1" outlineLevel="2">
      <c r="A906" s="102">
        <v>45846.0</v>
      </c>
      <c r="B906" s="97">
        <f>A906</f>
        <v>45846</v>
      </c>
      <c r="C906" s="313">
        <v>0.2916666666666667</v>
      </c>
      <c r="D906" s="242" t="s">
        <v>236</v>
      </c>
      <c r="E906" s="275">
        <v>25.0</v>
      </c>
      <c r="F906" s="242" t="s">
        <v>679</v>
      </c>
      <c r="G906" s="244"/>
    </row>
    <row r="907" ht="14.25" hidden="1" customHeight="1" outlineLevel="2">
      <c r="A907" s="10"/>
      <c r="B907" s="10"/>
      <c r="C907" s="313">
        <v>0.5069444444444444</v>
      </c>
      <c r="D907" s="242" t="s">
        <v>456</v>
      </c>
      <c r="E907" s="275">
        <v>7.0</v>
      </c>
      <c r="F907" s="242" t="s">
        <v>1005</v>
      </c>
      <c r="G907" s="244"/>
    </row>
    <row r="908" ht="14.25" hidden="1" customHeight="1" outlineLevel="2">
      <c r="A908" s="102">
        <v>45847.0</v>
      </c>
      <c r="B908" s="97">
        <f>A908</f>
        <v>45847</v>
      </c>
      <c r="C908" s="313">
        <v>0.2916666666666667</v>
      </c>
      <c r="D908" s="242" t="s">
        <v>119</v>
      </c>
      <c r="E908" s="275">
        <v>11.0</v>
      </c>
      <c r="F908" s="242" t="s">
        <v>219</v>
      </c>
      <c r="G908" s="244"/>
    </row>
    <row r="909" ht="14.25" hidden="1" customHeight="1" outlineLevel="2">
      <c r="A909" s="10"/>
      <c r="B909" s="10"/>
      <c r="C909" s="313">
        <v>0.5069444444444444</v>
      </c>
      <c r="D909" s="242" t="s">
        <v>1064</v>
      </c>
      <c r="E909" s="275">
        <v>89.0</v>
      </c>
      <c r="F909" s="242" t="s">
        <v>1149</v>
      </c>
      <c r="G909" s="244"/>
    </row>
    <row r="910" ht="14.25" hidden="1" customHeight="1" outlineLevel="2">
      <c r="A910" s="102">
        <v>45848.0</v>
      </c>
      <c r="B910" s="97">
        <f>A910</f>
        <v>45848</v>
      </c>
      <c r="C910" s="313">
        <v>0.2916666666666667</v>
      </c>
      <c r="D910" s="242" t="s">
        <v>119</v>
      </c>
      <c r="E910" s="275">
        <v>57.0</v>
      </c>
      <c r="F910" s="242" t="s">
        <v>1151</v>
      </c>
      <c r="G910" s="244"/>
    </row>
    <row r="911" ht="14.25" hidden="1" customHeight="1" outlineLevel="2">
      <c r="A911" s="10"/>
      <c r="B911" s="10"/>
      <c r="C911" s="313">
        <v>0.5069444444444444</v>
      </c>
      <c r="D911" s="242" t="s">
        <v>1152</v>
      </c>
      <c r="E911" s="275">
        <v>27.0</v>
      </c>
      <c r="F911" s="242" t="s">
        <v>1104</v>
      </c>
      <c r="G911" s="244"/>
    </row>
    <row r="912" ht="14.25" hidden="1" customHeight="1" outlineLevel="2">
      <c r="A912" s="102">
        <v>45849.0</v>
      </c>
      <c r="B912" s="97">
        <f>A912</f>
        <v>45849</v>
      </c>
      <c r="C912" s="313">
        <v>0.2916666666666667</v>
      </c>
      <c r="D912" s="242" t="s">
        <v>236</v>
      </c>
      <c r="E912" s="275">
        <v>35.0</v>
      </c>
      <c r="F912" s="242" t="s">
        <v>1154</v>
      </c>
      <c r="G912" s="244"/>
    </row>
    <row r="913" ht="14.25" hidden="1" customHeight="1" outlineLevel="2">
      <c r="A913" s="10"/>
      <c r="B913" s="10"/>
      <c r="C913" s="313">
        <v>0.5069444444444444</v>
      </c>
      <c r="D913" s="242" t="s">
        <v>1062</v>
      </c>
      <c r="E913" s="275">
        <v>26.0</v>
      </c>
      <c r="F913" s="242" t="s">
        <v>842</v>
      </c>
      <c r="G913" s="244"/>
    </row>
    <row r="914" ht="14.25" hidden="1" customHeight="1" outlineLevel="2">
      <c r="A914" s="125">
        <v>45850.0</v>
      </c>
      <c r="B914" s="126">
        <f t="shared" ref="B914:B915" si="134">A914</f>
        <v>45850</v>
      </c>
      <c r="C914" s="313">
        <v>0.3333333333333333</v>
      </c>
      <c r="D914" s="242" t="s">
        <v>119</v>
      </c>
      <c r="E914" s="275">
        <v>165.0</v>
      </c>
      <c r="F914" s="242" t="s">
        <v>1109</v>
      </c>
      <c r="G914" s="244"/>
    </row>
    <row r="915" ht="14.25" hidden="1" customHeight="1" outlineLevel="2">
      <c r="A915" s="102">
        <v>45851.0</v>
      </c>
      <c r="B915" s="97">
        <f t="shared" si="134"/>
        <v>45851</v>
      </c>
      <c r="C915" s="313">
        <v>0.3333333333333333</v>
      </c>
      <c r="D915" s="242" t="s">
        <v>325</v>
      </c>
      <c r="E915" s="275">
        <v>241.0</v>
      </c>
      <c r="F915" s="242" t="s">
        <v>428</v>
      </c>
      <c r="G915" s="244"/>
    </row>
    <row r="916" ht="14.25" hidden="1" customHeight="1" outlineLevel="2">
      <c r="A916" s="58"/>
      <c r="B916" s="58"/>
      <c r="C916" s="313">
        <v>0.4583333333333333</v>
      </c>
      <c r="D916" s="242" t="s">
        <v>1020</v>
      </c>
      <c r="E916" s="275">
        <v>322.0</v>
      </c>
      <c r="F916" s="242" t="s">
        <v>1112</v>
      </c>
      <c r="G916" s="244"/>
    </row>
    <row r="917" ht="14.25" hidden="1" customHeight="1" outlineLevel="2">
      <c r="A917" s="10"/>
      <c r="B917" s="10"/>
      <c r="C917" s="313">
        <v>0.7708333333333334</v>
      </c>
      <c r="D917" s="242" t="s">
        <v>413</v>
      </c>
      <c r="E917" s="275">
        <v>285.0</v>
      </c>
      <c r="F917" s="242" t="s">
        <v>1157</v>
      </c>
      <c r="G917" s="244"/>
    </row>
    <row r="918" ht="14.25" hidden="1" customHeight="1" outlineLevel="2">
      <c r="A918" s="102">
        <v>45852.0</v>
      </c>
      <c r="B918" s="97">
        <f>A918</f>
        <v>45852</v>
      </c>
      <c r="C918" s="313">
        <v>0.2916666666666667</v>
      </c>
      <c r="D918" s="242" t="s">
        <v>119</v>
      </c>
      <c r="E918" s="275">
        <v>81.75</v>
      </c>
      <c r="F918" s="242" t="s">
        <v>1158</v>
      </c>
      <c r="G918" s="244"/>
    </row>
    <row r="919" ht="14.25" hidden="1" customHeight="1" outlineLevel="2">
      <c r="A919" s="10"/>
      <c r="B919" s="10"/>
      <c r="C919" s="313">
        <v>0.5069444444444444</v>
      </c>
      <c r="D919" s="242" t="s">
        <v>1064</v>
      </c>
      <c r="E919" s="275">
        <v>2.0</v>
      </c>
      <c r="F919" s="242" t="s">
        <v>1082</v>
      </c>
      <c r="G919" s="244"/>
    </row>
    <row r="920" ht="14.25" hidden="1" customHeight="1" outlineLevel="2">
      <c r="A920" s="102">
        <v>45853.0</v>
      </c>
      <c r="B920" s="97">
        <f>A920</f>
        <v>45853</v>
      </c>
      <c r="C920" s="313">
        <v>0.2916666666666667</v>
      </c>
      <c r="D920" s="242" t="s">
        <v>236</v>
      </c>
      <c r="E920" s="275">
        <v>20.0</v>
      </c>
      <c r="F920" s="242" t="s">
        <v>1159</v>
      </c>
      <c r="G920" s="244"/>
    </row>
    <row r="921" ht="14.25" hidden="1" customHeight="1" outlineLevel="2">
      <c r="A921" s="10"/>
      <c r="B921" s="10"/>
      <c r="C921" s="313">
        <v>0.5069444444444444</v>
      </c>
      <c r="D921" s="242" t="s">
        <v>456</v>
      </c>
      <c r="E921" s="275">
        <v>20.0</v>
      </c>
      <c r="F921" s="242" t="s">
        <v>1005</v>
      </c>
      <c r="G921" s="244"/>
    </row>
    <row r="922" ht="14.25" hidden="1" customHeight="1" outlineLevel="2">
      <c r="A922" s="102">
        <v>45854.0</v>
      </c>
      <c r="B922" s="97">
        <f>A922</f>
        <v>45854</v>
      </c>
      <c r="C922" s="313">
        <v>0.2916666666666667</v>
      </c>
      <c r="D922" s="242" t="s">
        <v>119</v>
      </c>
      <c r="E922" s="275">
        <v>19.0</v>
      </c>
      <c r="F922" s="242" t="s">
        <v>219</v>
      </c>
      <c r="G922" s="244"/>
    </row>
    <row r="923" ht="14.25" hidden="1" customHeight="1" outlineLevel="2">
      <c r="A923" s="10"/>
      <c r="B923" s="10"/>
      <c r="C923" s="313">
        <v>0.5069444444444444</v>
      </c>
      <c r="D923" s="242" t="s">
        <v>1064</v>
      </c>
      <c r="E923" s="275">
        <v>7.0</v>
      </c>
      <c r="F923" s="242" t="s">
        <v>842</v>
      </c>
      <c r="G923" s="244"/>
    </row>
    <row r="924" ht="14.25" hidden="1" customHeight="1" outlineLevel="2">
      <c r="A924" s="102">
        <v>45855.0</v>
      </c>
      <c r="B924" s="97">
        <f>A924</f>
        <v>45855</v>
      </c>
      <c r="C924" s="313">
        <v>0.2916666666666667</v>
      </c>
      <c r="D924" s="242" t="s">
        <v>119</v>
      </c>
      <c r="E924" s="275">
        <v>25.0</v>
      </c>
      <c r="F924" s="242" t="s">
        <v>938</v>
      </c>
      <c r="G924" s="244"/>
    </row>
    <row r="925" ht="14.25" hidden="1" customHeight="1" outlineLevel="2">
      <c r="A925" s="10"/>
      <c r="B925" s="10"/>
      <c r="C925" s="313">
        <v>0.5069444444444444</v>
      </c>
      <c r="D925" s="242" t="s">
        <v>980</v>
      </c>
      <c r="E925" s="275">
        <v>9.0</v>
      </c>
      <c r="F925" s="242" t="s">
        <v>1161</v>
      </c>
      <c r="G925" s="244"/>
    </row>
    <row r="926" ht="14.25" hidden="1" customHeight="1" outlineLevel="2">
      <c r="A926" s="102">
        <v>45856.0</v>
      </c>
      <c r="B926" s="97">
        <f>A926</f>
        <v>45856</v>
      </c>
      <c r="C926" s="313">
        <v>0.2916666666666667</v>
      </c>
      <c r="D926" s="242" t="s">
        <v>236</v>
      </c>
      <c r="E926" s="275">
        <v>50.0</v>
      </c>
      <c r="F926" s="242" t="s">
        <v>911</v>
      </c>
      <c r="G926" s="244"/>
    </row>
    <row r="927" ht="14.25" hidden="1" customHeight="1" outlineLevel="2">
      <c r="A927" s="10"/>
      <c r="B927" s="10"/>
      <c r="C927" s="313">
        <v>0.5069444444444444</v>
      </c>
      <c r="D927" s="242" t="s">
        <v>1062</v>
      </c>
      <c r="E927" s="275">
        <v>17.0</v>
      </c>
      <c r="F927" s="242" t="s">
        <v>219</v>
      </c>
      <c r="G927" s="244"/>
    </row>
    <row r="928" ht="14.25" hidden="1" customHeight="1" outlineLevel="2">
      <c r="A928" s="125">
        <v>45857.0</v>
      </c>
      <c r="B928" s="126">
        <f t="shared" ref="B928:B929" si="135">A928</f>
        <v>45857</v>
      </c>
      <c r="C928" s="313">
        <v>0.3333333333333333</v>
      </c>
      <c r="D928" s="242" t="s">
        <v>119</v>
      </c>
      <c r="E928" s="275">
        <v>80.0</v>
      </c>
      <c r="F928" s="242" t="s">
        <v>683</v>
      </c>
      <c r="G928" s="244"/>
    </row>
    <row r="929" ht="14.25" hidden="1" customHeight="1" outlineLevel="2">
      <c r="A929" s="102">
        <v>45858.0</v>
      </c>
      <c r="B929" s="97">
        <f t="shared" si="135"/>
        <v>45858</v>
      </c>
      <c r="C929" s="313">
        <v>0.3333333333333333</v>
      </c>
      <c r="D929" s="242" t="s">
        <v>1165</v>
      </c>
      <c r="E929" s="275">
        <v>270.0</v>
      </c>
      <c r="F929" s="242" t="s">
        <v>1166</v>
      </c>
      <c r="G929" s="244"/>
    </row>
    <row r="930" ht="14.25" hidden="1" customHeight="1" outlineLevel="2">
      <c r="A930" s="58"/>
      <c r="B930" s="58"/>
      <c r="C930" s="313">
        <v>0.4583333333333333</v>
      </c>
      <c r="D930" s="242" t="s">
        <v>1020</v>
      </c>
      <c r="E930" s="275">
        <v>100.0</v>
      </c>
      <c r="F930" s="242" t="s">
        <v>1167</v>
      </c>
      <c r="G930" s="244"/>
    </row>
    <row r="931" ht="14.25" hidden="1" customHeight="1" outlineLevel="2">
      <c r="A931" s="10"/>
      <c r="B931" s="10"/>
      <c r="C931" s="313">
        <v>0.7708333333333334</v>
      </c>
      <c r="D931" s="242" t="s">
        <v>265</v>
      </c>
      <c r="E931" s="275">
        <v>172.0</v>
      </c>
      <c r="F931" s="242" t="s">
        <v>1168</v>
      </c>
      <c r="G931" s="244"/>
    </row>
    <row r="932" ht="14.25" hidden="1" customHeight="1" outlineLevel="2">
      <c r="A932" s="102">
        <v>45859.0</v>
      </c>
      <c r="B932" s="97">
        <f>A932</f>
        <v>45859</v>
      </c>
      <c r="C932" s="313">
        <v>0.2916666666666667</v>
      </c>
      <c r="D932" s="242" t="s">
        <v>119</v>
      </c>
      <c r="E932" s="275">
        <v>75.0</v>
      </c>
      <c r="F932" s="242" t="s">
        <v>842</v>
      </c>
      <c r="G932" s="244"/>
    </row>
    <row r="933" ht="14.25" hidden="1" customHeight="1" outlineLevel="2">
      <c r="A933" s="10"/>
      <c r="B933" s="10"/>
      <c r="C933" s="313">
        <v>0.5069444444444444</v>
      </c>
      <c r="D933" s="242" t="s">
        <v>1064</v>
      </c>
      <c r="E933" s="275">
        <v>19.0</v>
      </c>
      <c r="F933" s="242" t="s">
        <v>428</v>
      </c>
      <c r="G933" s="244"/>
    </row>
    <row r="934" ht="14.25" hidden="1" customHeight="1" outlineLevel="2">
      <c r="A934" s="102">
        <v>45860.0</v>
      </c>
      <c r="B934" s="97">
        <f>A934</f>
        <v>45860</v>
      </c>
      <c r="C934" s="313">
        <v>0.2916666666666667</v>
      </c>
      <c r="D934" s="242" t="s">
        <v>236</v>
      </c>
      <c r="E934" s="275">
        <v>38.0</v>
      </c>
      <c r="F934" s="242" t="s">
        <v>979</v>
      </c>
      <c r="G934" s="244"/>
    </row>
    <row r="935" ht="14.25" hidden="1" customHeight="1" outlineLevel="2">
      <c r="A935" s="10"/>
      <c r="B935" s="10"/>
      <c r="C935" s="313">
        <v>0.5069444444444444</v>
      </c>
      <c r="D935" s="242" t="s">
        <v>456</v>
      </c>
      <c r="E935" s="275">
        <v>54.0</v>
      </c>
      <c r="F935" s="242" t="s">
        <v>492</v>
      </c>
      <c r="G935" s="244"/>
    </row>
    <row r="936" ht="14.25" hidden="1" customHeight="1" outlineLevel="2">
      <c r="A936" s="102">
        <v>45861.0</v>
      </c>
      <c r="B936" s="97">
        <f>A936</f>
        <v>45861</v>
      </c>
      <c r="C936" s="313">
        <v>0.2916666666666667</v>
      </c>
      <c r="D936" s="242" t="s">
        <v>119</v>
      </c>
      <c r="E936" s="275">
        <v>24.0</v>
      </c>
      <c r="F936" s="242" t="s">
        <v>691</v>
      </c>
      <c r="G936" s="244"/>
    </row>
    <row r="937" ht="14.25" hidden="1" customHeight="1" outlineLevel="2">
      <c r="A937" s="10"/>
      <c r="B937" s="10"/>
      <c r="C937" s="313">
        <v>0.5069444444444444</v>
      </c>
      <c r="D937" s="242" t="s">
        <v>1064</v>
      </c>
      <c r="E937" s="275">
        <v>19.0</v>
      </c>
      <c r="F937" s="242" t="s">
        <v>1170</v>
      </c>
      <c r="G937" s="244"/>
    </row>
    <row r="938" ht="14.25" hidden="1" customHeight="1" outlineLevel="2">
      <c r="A938" s="102">
        <v>45862.0</v>
      </c>
      <c r="B938" s="97">
        <f>A938</f>
        <v>45862</v>
      </c>
      <c r="C938" s="313">
        <v>0.2916666666666667</v>
      </c>
      <c r="D938" s="242" t="s">
        <v>119</v>
      </c>
      <c r="E938" s="275">
        <v>45.0</v>
      </c>
      <c r="F938" s="242" t="s">
        <v>1103</v>
      </c>
      <c r="G938" s="244"/>
    </row>
    <row r="939" ht="14.25" hidden="1" customHeight="1" outlineLevel="2">
      <c r="A939" s="10"/>
      <c r="B939" s="10"/>
      <c r="C939" s="313">
        <v>0.5069444444444444</v>
      </c>
      <c r="D939" s="242" t="s">
        <v>720</v>
      </c>
      <c r="E939" s="275">
        <v>29.0</v>
      </c>
      <c r="F939" s="242" t="s">
        <v>1104</v>
      </c>
      <c r="G939" s="244"/>
    </row>
    <row r="940" ht="14.25" hidden="1" customHeight="1" outlineLevel="2">
      <c r="A940" s="102">
        <v>45863.0</v>
      </c>
      <c r="B940" s="97">
        <f>A940</f>
        <v>45863</v>
      </c>
      <c r="C940" s="313">
        <v>0.2916666666666667</v>
      </c>
      <c r="D940" s="242" t="s">
        <v>236</v>
      </c>
      <c r="E940" s="275">
        <v>66.0</v>
      </c>
      <c r="F940" s="242" t="s">
        <v>842</v>
      </c>
      <c r="G940" s="244"/>
    </row>
    <row r="941" ht="14.25" hidden="1" customHeight="1" outlineLevel="2">
      <c r="A941" s="10"/>
      <c r="B941" s="10"/>
      <c r="C941" s="313">
        <v>0.5069444444444444</v>
      </c>
      <c r="D941" s="242" t="s">
        <v>1062</v>
      </c>
      <c r="E941" s="275">
        <v>42.0</v>
      </c>
      <c r="F941" s="242" t="s">
        <v>219</v>
      </c>
      <c r="G941" s="244"/>
    </row>
    <row r="942" ht="14.25" hidden="1" customHeight="1" outlineLevel="2">
      <c r="A942" s="125">
        <v>45864.0</v>
      </c>
      <c r="B942" s="126">
        <f t="shared" ref="B942:B943" si="136">A942</f>
        <v>45864</v>
      </c>
      <c r="C942" s="313">
        <v>0.3333333333333333</v>
      </c>
      <c r="D942" s="242" t="s">
        <v>119</v>
      </c>
      <c r="E942" s="275">
        <v>43.0</v>
      </c>
      <c r="F942" s="242" t="s">
        <v>683</v>
      </c>
      <c r="G942" s="244"/>
    </row>
    <row r="943" ht="14.25" hidden="1" customHeight="1" outlineLevel="2">
      <c r="A943" s="102">
        <v>45865.0</v>
      </c>
      <c r="B943" s="97">
        <f t="shared" si="136"/>
        <v>45865</v>
      </c>
      <c r="C943" s="313">
        <v>0.3333333333333333</v>
      </c>
      <c r="D943" s="242" t="s">
        <v>1093</v>
      </c>
      <c r="E943" s="275">
        <v>370.0</v>
      </c>
      <c r="F943" s="242" t="s">
        <v>1171</v>
      </c>
      <c r="G943" s="244"/>
    </row>
    <row r="944" ht="14.25" hidden="1" customHeight="1" outlineLevel="2">
      <c r="A944" s="58"/>
      <c r="B944" s="58"/>
      <c r="C944" s="313">
        <v>0.4583333333333333</v>
      </c>
      <c r="D944" s="242" t="s">
        <v>980</v>
      </c>
      <c r="E944" s="275">
        <v>194.0</v>
      </c>
      <c r="F944" s="242" t="s">
        <v>268</v>
      </c>
      <c r="G944" s="244"/>
    </row>
    <row r="945" ht="14.25" hidden="1" customHeight="1" outlineLevel="2">
      <c r="A945" s="10"/>
      <c r="B945" s="10"/>
      <c r="C945" s="313">
        <v>0.7708333333333334</v>
      </c>
      <c r="D945" s="242" t="s">
        <v>272</v>
      </c>
      <c r="E945" s="275">
        <v>146.0</v>
      </c>
      <c r="F945" s="242" t="s">
        <v>1172</v>
      </c>
      <c r="G945" s="244"/>
    </row>
    <row r="946" ht="14.25" hidden="1" customHeight="1" outlineLevel="2">
      <c r="A946" s="102">
        <v>45866.0</v>
      </c>
      <c r="B946" s="97">
        <f>A946</f>
        <v>45866</v>
      </c>
      <c r="C946" s="313">
        <v>0.2916666666666667</v>
      </c>
      <c r="D946" s="242" t="s">
        <v>119</v>
      </c>
      <c r="E946" s="275">
        <v>95.0</v>
      </c>
      <c r="F946" s="242" t="s">
        <v>842</v>
      </c>
      <c r="G946" s="244"/>
    </row>
    <row r="947" ht="14.25" hidden="1" customHeight="1" outlineLevel="2">
      <c r="A947" s="10"/>
      <c r="B947" s="10"/>
      <c r="C947" s="313">
        <v>0.5069444444444444</v>
      </c>
      <c r="D947" s="242" t="s">
        <v>1062</v>
      </c>
      <c r="E947" s="275">
        <v>57.0</v>
      </c>
      <c r="F947" s="242" t="s">
        <v>630</v>
      </c>
      <c r="G947" s="244"/>
    </row>
    <row r="948" ht="14.25" hidden="1" customHeight="1" outlineLevel="2">
      <c r="A948" s="102">
        <v>45867.0</v>
      </c>
      <c r="B948" s="97">
        <f>A948</f>
        <v>45867</v>
      </c>
      <c r="C948" s="313">
        <v>0.2916666666666667</v>
      </c>
      <c r="D948" s="242" t="s">
        <v>236</v>
      </c>
      <c r="E948" s="275">
        <v>75.0</v>
      </c>
      <c r="F948" s="242" t="s">
        <v>679</v>
      </c>
      <c r="G948" s="244"/>
    </row>
    <row r="949" ht="14.25" hidden="1" customHeight="1" outlineLevel="2">
      <c r="A949" s="10"/>
      <c r="B949" s="10"/>
      <c r="C949" s="313">
        <v>0.5069444444444444</v>
      </c>
      <c r="D949" s="242" t="s">
        <v>456</v>
      </c>
      <c r="E949" s="275">
        <v>140.0</v>
      </c>
      <c r="F949" s="242" t="s">
        <v>1005</v>
      </c>
      <c r="G949" s="244"/>
    </row>
    <row r="950" ht="14.25" hidden="1" customHeight="1" outlineLevel="2">
      <c r="A950" s="102">
        <v>45868.0</v>
      </c>
      <c r="B950" s="97">
        <f>A950</f>
        <v>45868</v>
      </c>
      <c r="C950" s="313">
        <v>0.2916666666666667</v>
      </c>
      <c r="D950" s="242" t="s">
        <v>119</v>
      </c>
      <c r="E950" s="275">
        <v>25.0</v>
      </c>
      <c r="F950" s="242" t="s">
        <v>683</v>
      </c>
      <c r="G950" s="244"/>
    </row>
    <row r="951" ht="14.25" hidden="1" customHeight="1" outlineLevel="2">
      <c r="A951" s="10"/>
      <c r="B951" s="10"/>
      <c r="C951" s="313">
        <v>0.5069444444444444</v>
      </c>
      <c r="D951" s="242" t="s">
        <v>1062</v>
      </c>
      <c r="E951" s="275">
        <v>25.0</v>
      </c>
      <c r="F951" s="242" t="s">
        <v>1175</v>
      </c>
      <c r="G951" s="244"/>
    </row>
    <row r="952" ht="15.75" hidden="1" customHeight="1" outlineLevel="2">
      <c r="A952" s="102">
        <v>45869.0</v>
      </c>
      <c r="B952" s="97">
        <f>A952</f>
        <v>45869</v>
      </c>
      <c r="C952" s="313">
        <v>0.2916666666666667</v>
      </c>
      <c r="D952" s="242" t="s">
        <v>119</v>
      </c>
      <c r="E952" s="275">
        <v>72.0</v>
      </c>
      <c r="F952" s="242" t="s">
        <v>842</v>
      </c>
      <c r="G952" s="244"/>
    </row>
    <row r="953" ht="14.25" hidden="1" customHeight="1" outlineLevel="2">
      <c r="A953" s="10"/>
      <c r="B953" s="10"/>
      <c r="C953" s="313">
        <v>0.5069444444444444</v>
      </c>
      <c r="D953" s="242" t="s">
        <v>980</v>
      </c>
      <c r="E953" s="275">
        <v>70.0</v>
      </c>
      <c r="F953" s="242" t="s">
        <v>1104</v>
      </c>
      <c r="G953" s="244"/>
    </row>
    <row r="954" ht="14.25" customHeight="1" outlineLevel="1">
      <c r="A954" s="117" t="s">
        <v>195</v>
      </c>
      <c r="B954" s="27"/>
      <c r="C954" s="27"/>
      <c r="D954" s="28"/>
      <c r="E954" s="312">
        <f>SUM(E892:E953)</f>
        <v>5258.75</v>
      </c>
      <c r="F954" s="244"/>
      <c r="G954" s="244"/>
    </row>
    <row r="955" ht="14.25" customHeight="1" outlineLevel="1">
      <c r="A955" s="329"/>
      <c r="B955" s="330"/>
      <c r="C955" s="331"/>
      <c r="D955" s="332"/>
      <c r="E955" s="332"/>
      <c r="F955" s="332"/>
      <c r="G955" s="332"/>
    </row>
    <row r="956" ht="14.25" customHeight="1" outlineLevel="1" collapsed="1">
      <c r="A956" s="122" t="s">
        <v>1177</v>
      </c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3"/>
    </row>
    <row r="957" ht="14.25" hidden="1" customHeight="1" outlineLevel="2">
      <c r="A957" s="70" t="s">
        <v>90</v>
      </c>
      <c r="I957" s="72" t="s">
        <v>91</v>
      </c>
      <c r="J957" s="73"/>
      <c r="K957" s="73"/>
      <c r="L957" s="74"/>
      <c r="N957" s="72" t="s">
        <v>992</v>
      </c>
      <c r="O957" s="73"/>
      <c r="P957" s="73"/>
      <c r="Q957" s="74"/>
    </row>
    <row r="958" ht="14.25" hidden="1" customHeight="1" outlineLevel="2">
      <c r="A958" s="303" t="s">
        <v>6</v>
      </c>
      <c r="B958" s="304" t="s">
        <v>103</v>
      </c>
      <c r="C958" s="303" t="s">
        <v>104</v>
      </c>
      <c r="D958" s="303" t="s">
        <v>107</v>
      </c>
      <c r="E958" s="303" t="s">
        <v>109</v>
      </c>
      <c r="F958" s="304" t="s">
        <v>110</v>
      </c>
      <c r="G958" s="303" t="s">
        <v>13</v>
      </c>
      <c r="I958" s="81" t="s">
        <v>6</v>
      </c>
      <c r="J958" s="84" t="s">
        <v>115</v>
      </c>
      <c r="K958" s="84" t="s">
        <v>9</v>
      </c>
      <c r="L958" s="81" t="s">
        <v>13</v>
      </c>
      <c r="M958" s="51"/>
      <c r="N958" s="81" t="s">
        <v>6</v>
      </c>
      <c r="O958" s="84" t="s">
        <v>115</v>
      </c>
      <c r="P958" s="84" t="s">
        <v>9</v>
      </c>
      <c r="Q958" s="81" t="s">
        <v>13</v>
      </c>
    </row>
    <row r="959" ht="14.25" hidden="1" customHeight="1" outlineLevel="2">
      <c r="A959" s="102">
        <v>45870.0</v>
      </c>
      <c r="B959" s="97">
        <f>A959</f>
        <v>45870</v>
      </c>
      <c r="C959" s="313">
        <v>0.2916666666666667</v>
      </c>
      <c r="D959" s="242" t="s">
        <v>236</v>
      </c>
      <c r="E959" s="275">
        <v>152.0</v>
      </c>
      <c r="F959" s="242" t="s">
        <v>1126</v>
      </c>
      <c r="G959" s="244"/>
      <c r="I959" s="86">
        <v>45873.0</v>
      </c>
      <c r="J959" s="88">
        <f t="shared" ref="J959:J960" si="137">I959</f>
        <v>45873</v>
      </c>
      <c r="K959" s="93">
        <v>50.0</v>
      </c>
      <c r="L959" s="90"/>
      <c r="M959" s="51"/>
      <c r="N959" s="86">
        <v>45852.0</v>
      </c>
      <c r="O959" s="88">
        <f>N959</f>
        <v>45852</v>
      </c>
      <c r="P959" s="93">
        <v>1650.0</v>
      </c>
      <c r="Q959" s="91" t="s">
        <v>1178</v>
      </c>
    </row>
    <row r="960" ht="14.25" hidden="1" customHeight="1" outlineLevel="2">
      <c r="A960" s="10"/>
      <c r="B960" s="10"/>
      <c r="C960" s="313">
        <v>0.5069444444444444</v>
      </c>
      <c r="D960" s="242" t="s">
        <v>1062</v>
      </c>
      <c r="E960" s="275">
        <v>40.0</v>
      </c>
      <c r="F960" s="242" t="s">
        <v>219</v>
      </c>
      <c r="G960" s="244"/>
      <c r="I960" s="86">
        <v>45876.0</v>
      </c>
      <c r="J960" s="88">
        <f t="shared" si="137"/>
        <v>45876</v>
      </c>
      <c r="K960" s="93">
        <v>12.75</v>
      </c>
      <c r="L960" s="90"/>
      <c r="M960" s="51"/>
      <c r="N960" s="94">
        <v>20.0</v>
      </c>
      <c r="O960" s="94" t="s">
        <v>1179</v>
      </c>
      <c r="P960" s="333">
        <v>1650.0</v>
      </c>
      <c r="Q960" s="91" t="s">
        <v>1178</v>
      </c>
    </row>
    <row r="961" ht="14.25" hidden="1" customHeight="1" outlineLevel="2">
      <c r="A961" s="125">
        <v>45871.0</v>
      </c>
      <c r="B961" s="126">
        <f t="shared" ref="B961:B962" si="138">A961</f>
        <v>45871</v>
      </c>
      <c r="C961" s="313">
        <v>0.3333333333333333</v>
      </c>
      <c r="D961" s="242" t="s">
        <v>119</v>
      </c>
      <c r="E961" s="275">
        <v>30.0</v>
      </c>
      <c r="F961" s="242" t="s">
        <v>1180</v>
      </c>
      <c r="G961" s="244"/>
      <c r="I961" s="86"/>
      <c r="J961" s="88"/>
      <c r="K961" s="93"/>
      <c r="L961" s="90"/>
      <c r="M961" s="51"/>
      <c r="N961" s="94">
        <v>27.0</v>
      </c>
      <c r="O961" s="94" t="s">
        <v>1179</v>
      </c>
      <c r="P961" s="333">
        <v>4200.0</v>
      </c>
      <c r="Q961" s="91" t="s">
        <v>1182</v>
      </c>
    </row>
    <row r="962" ht="14.25" hidden="1" customHeight="1" outlineLevel="2">
      <c r="A962" s="102">
        <v>45872.0</v>
      </c>
      <c r="B962" s="97">
        <f t="shared" si="138"/>
        <v>45872</v>
      </c>
      <c r="C962" s="313">
        <v>0.3333333333333333</v>
      </c>
      <c r="D962" s="242" t="s">
        <v>490</v>
      </c>
      <c r="E962" s="275">
        <v>385.0</v>
      </c>
      <c r="F962" s="242" t="s">
        <v>1183</v>
      </c>
      <c r="G962" s="244"/>
      <c r="I962" s="86"/>
      <c r="J962" s="88"/>
      <c r="K962" s="93"/>
      <c r="L962" s="90"/>
      <c r="M962" s="51"/>
      <c r="N962" s="86"/>
      <c r="O962" s="88" t="str">
        <f t="shared" ref="O962:O965" si="139">N962</f>
        <v/>
      </c>
      <c r="P962" s="93">
        <v>0.0</v>
      </c>
      <c r="Q962" s="91"/>
    </row>
    <row r="963" ht="14.25" hidden="1" customHeight="1" outlineLevel="2">
      <c r="A963" s="58"/>
      <c r="B963" s="58"/>
      <c r="C963" s="313">
        <v>0.4583333333333333</v>
      </c>
      <c r="D963" s="242" t="s">
        <v>1185</v>
      </c>
      <c r="E963" s="275">
        <v>260.0</v>
      </c>
      <c r="F963" s="242" t="s">
        <v>1186</v>
      </c>
      <c r="G963" s="244"/>
      <c r="I963" s="86"/>
      <c r="J963" s="88"/>
      <c r="K963" s="93"/>
      <c r="L963" s="90"/>
      <c r="M963" s="51"/>
      <c r="N963" s="86"/>
      <c r="O963" s="88" t="str">
        <f t="shared" si="139"/>
        <v/>
      </c>
      <c r="P963" s="93">
        <v>0.0</v>
      </c>
      <c r="Q963" s="91"/>
    </row>
    <row r="964" ht="14.25" hidden="1" customHeight="1" outlineLevel="2">
      <c r="A964" s="10"/>
      <c r="B964" s="10"/>
      <c r="C964" s="313">
        <v>0.7708333333333334</v>
      </c>
      <c r="D964" s="242" t="s">
        <v>820</v>
      </c>
      <c r="E964" s="275">
        <v>153.0</v>
      </c>
      <c r="F964" s="242" t="s">
        <v>129</v>
      </c>
      <c r="G964" s="244"/>
      <c r="I964" s="86"/>
      <c r="J964" s="88"/>
      <c r="K964" s="93"/>
      <c r="L964" s="90"/>
      <c r="M964" s="51"/>
      <c r="N964" s="86"/>
      <c r="O964" s="88" t="str">
        <f t="shared" si="139"/>
        <v/>
      </c>
      <c r="P964" s="93">
        <v>0.0</v>
      </c>
      <c r="Q964" s="91"/>
    </row>
    <row r="965" ht="14.25" hidden="1" customHeight="1" outlineLevel="2">
      <c r="A965" s="102">
        <v>45873.0</v>
      </c>
      <c r="B965" s="97">
        <f>A965</f>
        <v>45873</v>
      </c>
      <c r="C965" s="313">
        <v>0.2916666666666667</v>
      </c>
      <c r="D965" s="242" t="s">
        <v>119</v>
      </c>
      <c r="E965" s="275">
        <v>52.0</v>
      </c>
      <c r="F965" s="242" t="s">
        <v>842</v>
      </c>
      <c r="G965" s="244"/>
      <c r="I965" s="86"/>
      <c r="J965" s="88"/>
      <c r="K965" s="92"/>
      <c r="L965" s="90"/>
      <c r="M965" s="51"/>
      <c r="N965" s="86"/>
      <c r="O965" s="88" t="str">
        <f t="shared" si="139"/>
        <v/>
      </c>
      <c r="P965" s="93">
        <v>0.0</v>
      </c>
      <c r="Q965" s="91"/>
    </row>
    <row r="966" ht="14.25" hidden="1" customHeight="1" outlineLevel="2">
      <c r="A966" s="10"/>
      <c r="B966" s="10"/>
      <c r="C966" s="313">
        <v>0.5069444444444444</v>
      </c>
      <c r="D966" s="242" t="s">
        <v>1062</v>
      </c>
      <c r="E966" s="275">
        <v>16.0</v>
      </c>
      <c r="F966" s="242" t="s">
        <v>875</v>
      </c>
      <c r="G966" s="244"/>
      <c r="I966" s="86"/>
      <c r="J966" s="88"/>
      <c r="K966" s="92"/>
      <c r="L966" s="90"/>
      <c r="M966" s="51"/>
      <c r="N966" s="165" t="s">
        <v>195</v>
      </c>
      <c r="O966" s="165"/>
      <c r="P966" s="291">
        <f>SUM(P959:P962)</f>
        <v>7500</v>
      </c>
      <c r="Q966" s="114"/>
    </row>
    <row r="967" ht="14.25" hidden="1" customHeight="1" outlineLevel="2">
      <c r="A967" s="102">
        <v>45874.0</v>
      </c>
      <c r="B967" s="97">
        <f>A967</f>
        <v>45874</v>
      </c>
      <c r="C967" s="313">
        <v>0.2916666666666667</v>
      </c>
      <c r="D967" s="242" t="s">
        <v>236</v>
      </c>
      <c r="E967" s="275">
        <v>50.0</v>
      </c>
      <c r="F967" s="242" t="s">
        <v>679</v>
      </c>
      <c r="G967" s="244"/>
      <c r="I967" s="108" t="s">
        <v>195</v>
      </c>
      <c r="J967" s="109"/>
      <c r="K967" s="113">
        <f>SUM(K959:K966)</f>
        <v>62.75</v>
      </c>
      <c r="L967" s="114"/>
      <c r="M967" s="51"/>
    </row>
    <row r="968" ht="14.25" hidden="1" customHeight="1" outlineLevel="2">
      <c r="A968" s="10"/>
      <c r="B968" s="10"/>
      <c r="C968" s="313">
        <v>0.5069444444444444</v>
      </c>
      <c r="D968" s="242" t="s">
        <v>456</v>
      </c>
      <c r="E968" s="275">
        <v>7.0</v>
      </c>
      <c r="F968" s="242" t="s">
        <v>1191</v>
      </c>
      <c r="G968" s="244"/>
      <c r="N968" s="235" t="s">
        <v>344</v>
      </c>
      <c r="O968" s="27"/>
      <c r="P968" s="27"/>
      <c r="Q968" s="28"/>
    </row>
    <row r="969" ht="14.25" hidden="1" customHeight="1" outlineLevel="2">
      <c r="A969" s="102">
        <v>45875.0</v>
      </c>
      <c r="B969" s="97">
        <f>A969</f>
        <v>45875</v>
      </c>
      <c r="C969" s="313">
        <v>0.2916666666666667</v>
      </c>
      <c r="D969" s="242" t="s">
        <v>119</v>
      </c>
      <c r="E969" s="275">
        <v>17.0</v>
      </c>
      <c r="F969" s="242" t="s">
        <v>219</v>
      </c>
      <c r="G969" s="244"/>
      <c r="N969" s="81" t="s">
        <v>6</v>
      </c>
      <c r="O969" s="84" t="s">
        <v>115</v>
      </c>
      <c r="P969" s="84" t="s">
        <v>9</v>
      </c>
      <c r="Q969" s="81" t="s">
        <v>13</v>
      </c>
    </row>
    <row r="970" ht="14.25" hidden="1" customHeight="1" outlineLevel="2">
      <c r="A970" s="10"/>
      <c r="B970" s="10"/>
      <c r="C970" s="313">
        <v>0.5069444444444444</v>
      </c>
      <c r="D970" s="242" t="s">
        <v>1064</v>
      </c>
      <c r="E970" s="275">
        <v>6.0</v>
      </c>
      <c r="F970" s="242" t="s">
        <v>1194</v>
      </c>
      <c r="G970" s="244"/>
      <c r="N970" s="86">
        <v>45839.0</v>
      </c>
      <c r="O970" s="88">
        <f>N970</f>
        <v>45839</v>
      </c>
      <c r="P970" s="93">
        <v>0.0</v>
      </c>
      <c r="Q970" s="91"/>
    </row>
    <row r="971" ht="14.25" hidden="1" customHeight="1" outlineLevel="2">
      <c r="A971" s="102">
        <v>45876.0</v>
      </c>
      <c r="B971" s="97">
        <f>A971</f>
        <v>45876</v>
      </c>
      <c r="C971" s="313">
        <v>0.2916666666666667</v>
      </c>
      <c r="D971" s="242" t="s">
        <v>119</v>
      </c>
      <c r="E971" s="275">
        <v>35.0</v>
      </c>
      <c r="F971" s="242" t="s">
        <v>1103</v>
      </c>
      <c r="G971" s="244"/>
      <c r="N971" s="165" t="s">
        <v>195</v>
      </c>
      <c r="O971" s="165"/>
      <c r="P971" s="282">
        <f>SUM(P968:P970)</f>
        <v>0</v>
      </c>
      <c r="Q971" s="114"/>
    </row>
    <row r="972" ht="14.25" hidden="1" customHeight="1" outlineLevel="2">
      <c r="A972" s="10"/>
      <c r="B972" s="10"/>
      <c r="C972" s="313">
        <v>0.5069444444444444</v>
      </c>
      <c r="D972" s="242" t="s">
        <v>980</v>
      </c>
      <c r="E972" s="275">
        <v>18.0</v>
      </c>
      <c r="F972" s="242" t="s">
        <v>1197</v>
      </c>
      <c r="G972" s="244"/>
    </row>
    <row r="973" ht="14.25" hidden="1" customHeight="1" outlineLevel="2">
      <c r="A973" s="102">
        <v>45877.0</v>
      </c>
      <c r="B973" s="97">
        <f>A973</f>
        <v>45877</v>
      </c>
      <c r="C973" s="313">
        <v>0.2916666666666667</v>
      </c>
      <c r="D973" s="242" t="s">
        <v>236</v>
      </c>
      <c r="E973" s="275">
        <v>36.0</v>
      </c>
      <c r="F973" s="242" t="s">
        <v>1126</v>
      </c>
      <c r="G973" s="244"/>
    </row>
    <row r="974" ht="14.25" hidden="1" customHeight="1" outlineLevel="2">
      <c r="A974" s="10"/>
      <c r="B974" s="10"/>
      <c r="C974" s="313">
        <v>0.5069444444444444</v>
      </c>
      <c r="D974" s="242" t="s">
        <v>1062</v>
      </c>
      <c r="E974" s="275">
        <v>80.0</v>
      </c>
      <c r="F974" s="242" t="s">
        <v>426</v>
      </c>
      <c r="G974" s="244"/>
    </row>
    <row r="975" ht="14.25" hidden="1" customHeight="1" outlineLevel="2">
      <c r="A975" s="125">
        <v>45878.0</v>
      </c>
      <c r="B975" s="126">
        <f t="shared" ref="B975:B976" si="140">A975</f>
        <v>45878</v>
      </c>
      <c r="C975" s="313">
        <v>0.3333333333333333</v>
      </c>
      <c r="D975" s="242" t="s">
        <v>119</v>
      </c>
      <c r="E975" s="275">
        <v>82.0</v>
      </c>
      <c r="F975" s="242" t="s">
        <v>1200</v>
      </c>
      <c r="G975" s="244"/>
    </row>
    <row r="976" ht="14.25" hidden="1" customHeight="1" outlineLevel="2">
      <c r="A976" s="102">
        <v>45879.0</v>
      </c>
      <c r="B976" s="97">
        <f t="shared" si="140"/>
        <v>45879</v>
      </c>
      <c r="C976" s="313">
        <v>0.3333333333333333</v>
      </c>
      <c r="D976" s="242" t="s">
        <v>490</v>
      </c>
      <c r="E976" s="275">
        <v>393.0</v>
      </c>
      <c r="F976" s="242" t="s">
        <v>1202</v>
      </c>
      <c r="G976" s="244"/>
    </row>
    <row r="977" ht="14.25" hidden="1" customHeight="1" outlineLevel="2">
      <c r="A977" s="58"/>
      <c r="B977" s="58"/>
      <c r="C977" s="313">
        <v>0.4583333333333333</v>
      </c>
      <c r="D977" s="242" t="s">
        <v>980</v>
      </c>
      <c r="E977" s="275">
        <v>369.0</v>
      </c>
      <c r="F977" s="242" t="s">
        <v>1203</v>
      </c>
      <c r="G977" s="244"/>
    </row>
    <row r="978" ht="14.25" hidden="1" customHeight="1" outlineLevel="2">
      <c r="A978" s="10"/>
      <c r="B978" s="10"/>
      <c r="C978" s="313">
        <v>0.7708333333333334</v>
      </c>
      <c r="D978" s="242" t="s">
        <v>342</v>
      </c>
      <c r="E978" s="275">
        <v>163.0</v>
      </c>
      <c r="F978" s="242" t="s">
        <v>802</v>
      </c>
      <c r="G978" s="244"/>
    </row>
    <row r="979" ht="14.25" hidden="1" customHeight="1" outlineLevel="2">
      <c r="A979" s="102">
        <v>45880.0</v>
      </c>
      <c r="B979" s="97">
        <f>A979</f>
        <v>45880</v>
      </c>
      <c r="C979" s="313">
        <v>0.2916666666666667</v>
      </c>
      <c r="D979" s="242" t="s">
        <v>119</v>
      </c>
      <c r="E979" s="275">
        <v>94.0</v>
      </c>
      <c r="F979" s="242" t="s">
        <v>303</v>
      </c>
      <c r="G979" s="244"/>
    </row>
    <row r="980" ht="14.25" hidden="1" customHeight="1" outlineLevel="2">
      <c r="A980" s="10"/>
      <c r="B980" s="10"/>
      <c r="C980" s="313">
        <v>0.5069444444444444</v>
      </c>
      <c r="D980" s="242" t="s">
        <v>1062</v>
      </c>
      <c r="E980" s="275">
        <v>154.0</v>
      </c>
      <c r="F980" s="242" t="s">
        <v>1082</v>
      </c>
      <c r="G980" s="244"/>
    </row>
    <row r="981" ht="14.25" hidden="1" customHeight="1" outlineLevel="2">
      <c r="A981" s="102">
        <v>45881.0</v>
      </c>
      <c r="B981" s="97">
        <f>A981</f>
        <v>45881</v>
      </c>
      <c r="C981" s="313">
        <v>0.2916666666666667</v>
      </c>
      <c r="D981" s="242" t="s">
        <v>236</v>
      </c>
      <c r="E981" s="275">
        <v>32.0</v>
      </c>
      <c r="F981" s="242" t="s">
        <v>378</v>
      </c>
      <c r="G981" s="244"/>
    </row>
    <row r="982" ht="14.25" hidden="1" customHeight="1" outlineLevel="2">
      <c r="A982" s="10"/>
      <c r="B982" s="10"/>
      <c r="C982" s="313">
        <v>0.5069444444444444</v>
      </c>
      <c r="D982" s="242" t="s">
        <v>456</v>
      </c>
      <c r="E982" s="275">
        <v>50.0</v>
      </c>
      <c r="F982" s="242" t="s">
        <v>1005</v>
      </c>
      <c r="G982" s="244"/>
    </row>
    <row r="983" ht="14.25" hidden="1" customHeight="1" outlineLevel="2">
      <c r="A983" s="102">
        <v>45882.0</v>
      </c>
      <c r="B983" s="97">
        <f>A983</f>
        <v>45882</v>
      </c>
      <c r="C983" s="313">
        <v>0.2916666666666667</v>
      </c>
      <c r="D983" s="242" t="s">
        <v>119</v>
      </c>
      <c r="E983" s="275">
        <v>77.0</v>
      </c>
      <c r="F983" s="242" t="s">
        <v>219</v>
      </c>
      <c r="G983" s="244"/>
    </row>
    <row r="984" ht="14.25" hidden="1" customHeight="1" outlineLevel="2">
      <c r="A984" s="10"/>
      <c r="B984" s="10"/>
      <c r="C984" s="313">
        <v>0.5069444444444444</v>
      </c>
      <c r="D984" s="242" t="s">
        <v>1064</v>
      </c>
      <c r="E984" s="275">
        <v>44.0</v>
      </c>
      <c r="F984" s="242"/>
      <c r="G984" s="244"/>
    </row>
    <row r="985" ht="14.25" hidden="1" customHeight="1" outlineLevel="2">
      <c r="A985" s="102">
        <v>45883.0</v>
      </c>
      <c r="B985" s="97">
        <f>A985</f>
        <v>45883</v>
      </c>
      <c r="C985" s="313">
        <v>0.2916666666666667</v>
      </c>
      <c r="D985" s="242" t="s">
        <v>119</v>
      </c>
      <c r="E985" s="275">
        <v>25.0</v>
      </c>
      <c r="F985" s="242" t="s">
        <v>387</v>
      </c>
      <c r="G985" s="244"/>
    </row>
    <row r="986" ht="14.25" hidden="1" customHeight="1" outlineLevel="2">
      <c r="A986" s="10"/>
      <c r="B986" s="10"/>
      <c r="C986" s="313">
        <v>0.5069444444444444</v>
      </c>
      <c r="D986" s="242" t="s">
        <v>980</v>
      </c>
      <c r="E986" s="275">
        <v>16.0</v>
      </c>
      <c r="F986" s="242" t="s">
        <v>1191</v>
      </c>
      <c r="G986" s="244"/>
    </row>
    <row r="987" ht="14.25" hidden="1" customHeight="1" outlineLevel="2">
      <c r="A987" s="125">
        <v>45884.0</v>
      </c>
      <c r="B987" s="126">
        <f t="shared" ref="B987:B989" si="141">A987</f>
        <v>45884</v>
      </c>
      <c r="C987" s="313">
        <v>0.3333333333333333</v>
      </c>
      <c r="D987" s="242" t="s">
        <v>210</v>
      </c>
      <c r="E987" s="275">
        <v>133.0</v>
      </c>
      <c r="F987" s="242" t="s">
        <v>1161</v>
      </c>
      <c r="G987" s="242" t="s">
        <v>1208</v>
      </c>
    </row>
    <row r="988" ht="14.25" hidden="1" customHeight="1" outlineLevel="2">
      <c r="A988" s="125">
        <v>45885.0</v>
      </c>
      <c r="B988" s="126">
        <f t="shared" si="141"/>
        <v>45885</v>
      </c>
      <c r="C988" s="313">
        <v>0.3333333333333333</v>
      </c>
      <c r="D988" s="242" t="s">
        <v>119</v>
      </c>
      <c r="E988" s="275">
        <v>20.0</v>
      </c>
      <c r="F988" s="242" t="s">
        <v>1209</v>
      </c>
      <c r="G988" s="244"/>
    </row>
    <row r="989" ht="14.25" hidden="1" customHeight="1" outlineLevel="2">
      <c r="A989" s="102">
        <v>45886.0</v>
      </c>
      <c r="B989" s="97">
        <f t="shared" si="141"/>
        <v>45886</v>
      </c>
      <c r="C989" s="313">
        <v>0.3333333333333333</v>
      </c>
      <c r="D989" s="242" t="s">
        <v>413</v>
      </c>
      <c r="E989" s="275">
        <v>365.0</v>
      </c>
      <c r="F989" s="242" t="s">
        <v>1211</v>
      </c>
      <c r="G989" s="244"/>
    </row>
    <row r="990" ht="14.25" hidden="1" customHeight="1" outlineLevel="2">
      <c r="A990" s="58"/>
      <c r="B990" s="58"/>
      <c r="C990" s="313">
        <v>0.4583333333333333</v>
      </c>
      <c r="D990" s="242" t="s">
        <v>1185</v>
      </c>
      <c r="E990" s="275">
        <v>232.0</v>
      </c>
      <c r="F990" s="242" t="s">
        <v>1212</v>
      </c>
      <c r="G990" s="244"/>
    </row>
    <row r="991" ht="14.25" hidden="1" customHeight="1" outlineLevel="2">
      <c r="A991" s="10"/>
      <c r="B991" s="10"/>
      <c r="C991" s="313">
        <v>0.7708333333333334</v>
      </c>
      <c r="D991" s="242" t="s">
        <v>413</v>
      </c>
      <c r="E991" s="275">
        <v>307.0</v>
      </c>
      <c r="F991" s="242" t="s">
        <v>1128</v>
      </c>
      <c r="G991" s="244"/>
    </row>
    <row r="992" ht="14.25" hidden="1" customHeight="1" outlineLevel="2">
      <c r="A992" s="102">
        <v>45887.0</v>
      </c>
      <c r="B992" s="97">
        <f>A992</f>
        <v>45887</v>
      </c>
      <c r="C992" s="313">
        <v>0.2916666666666667</v>
      </c>
      <c r="D992" s="242" t="s">
        <v>119</v>
      </c>
      <c r="E992" s="275">
        <v>62.0</v>
      </c>
      <c r="F992" s="242" t="s">
        <v>842</v>
      </c>
      <c r="G992" s="244"/>
    </row>
    <row r="993" ht="14.25" hidden="1" customHeight="1" outlineLevel="2">
      <c r="A993" s="10"/>
      <c r="B993" s="10"/>
      <c r="C993" s="313">
        <v>0.5069444444444444</v>
      </c>
      <c r="D993" s="242" t="s">
        <v>1062</v>
      </c>
      <c r="E993" s="275">
        <v>7.0</v>
      </c>
      <c r="F993" s="242" t="s">
        <v>697</v>
      </c>
      <c r="G993" s="244"/>
    </row>
    <row r="994" ht="14.25" hidden="1" customHeight="1" outlineLevel="2">
      <c r="A994" s="102">
        <v>45888.0</v>
      </c>
      <c r="B994" s="97">
        <f>A994</f>
        <v>45888</v>
      </c>
      <c r="C994" s="313">
        <v>0.2916666666666667</v>
      </c>
      <c r="D994" s="242" t="s">
        <v>236</v>
      </c>
      <c r="E994" s="275">
        <v>59.0</v>
      </c>
      <c r="F994" s="242" t="s">
        <v>1214</v>
      </c>
      <c r="G994" s="244"/>
    </row>
    <row r="995" ht="14.25" hidden="1" customHeight="1" outlineLevel="2">
      <c r="A995" s="10"/>
      <c r="B995" s="10"/>
      <c r="C995" s="313">
        <v>0.5069444444444444</v>
      </c>
      <c r="D995" s="242" t="s">
        <v>456</v>
      </c>
      <c r="E995" s="275">
        <v>25.0</v>
      </c>
      <c r="F995" s="242" t="s">
        <v>1005</v>
      </c>
      <c r="G995" s="244"/>
    </row>
    <row r="996" ht="14.25" hidden="1" customHeight="1" outlineLevel="2">
      <c r="A996" s="102">
        <v>45889.0</v>
      </c>
      <c r="B996" s="97">
        <f>A996</f>
        <v>45889</v>
      </c>
      <c r="C996" s="313">
        <v>0.2916666666666667</v>
      </c>
      <c r="D996" s="242" t="s">
        <v>119</v>
      </c>
      <c r="E996" s="275">
        <v>41.0</v>
      </c>
      <c r="F996" s="242" t="s">
        <v>219</v>
      </c>
      <c r="G996" s="244"/>
    </row>
    <row r="997" ht="14.25" hidden="1" customHeight="1" outlineLevel="2">
      <c r="A997" s="10"/>
      <c r="B997" s="10"/>
      <c r="C997" s="313">
        <v>0.5069444444444444</v>
      </c>
      <c r="D997" s="242" t="s">
        <v>1064</v>
      </c>
      <c r="E997" s="275">
        <v>55.0</v>
      </c>
      <c r="F997" s="242" t="s">
        <v>1215</v>
      </c>
      <c r="G997" s="244"/>
    </row>
    <row r="998" ht="14.25" hidden="1" customHeight="1" outlineLevel="2">
      <c r="A998" s="102">
        <v>45890.0</v>
      </c>
      <c r="B998" s="97">
        <f>A998</f>
        <v>45890</v>
      </c>
      <c r="C998" s="313">
        <v>0.2916666666666667</v>
      </c>
      <c r="D998" s="242" t="s">
        <v>119</v>
      </c>
      <c r="E998" s="275">
        <v>50.0</v>
      </c>
      <c r="F998" s="242" t="s">
        <v>1158</v>
      </c>
      <c r="G998" s="244"/>
    </row>
    <row r="999" ht="14.25" hidden="1" customHeight="1" outlineLevel="2">
      <c r="A999" s="10"/>
      <c r="B999" s="10"/>
      <c r="C999" s="313">
        <v>0.5069444444444444</v>
      </c>
      <c r="D999" s="242" t="s">
        <v>1185</v>
      </c>
      <c r="E999" s="275">
        <v>7.0</v>
      </c>
      <c r="F999" s="242" t="s">
        <v>1104</v>
      </c>
      <c r="G999" s="244"/>
    </row>
    <row r="1000" ht="14.25" hidden="1" customHeight="1" outlineLevel="2">
      <c r="A1000" s="102">
        <v>45891.0</v>
      </c>
      <c r="B1000" s="97">
        <f>A1000</f>
        <v>45891</v>
      </c>
      <c r="C1000" s="313">
        <v>0.2916666666666667</v>
      </c>
      <c r="D1000" s="242" t="s">
        <v>236</v>
      </c>
      <c r="E1000" s="275">
        <v>44.0</v>
      </c>
      <c r="F1000" s="242" t="s">
        <v>1126</v>
      </c>
      <c r="G1000" s="244"/>
    </row>
    <row r="1001" ht="14.25" hidden="1" customHeight="1" outlineLevel="2">
      <c r="A1001" s="10"/>
      <c r="B1001" s="10"/>
      <c r="C1001" s="313">
        <v>0.5069444444444444</v>
      </c>
      <c r="D1001" s="242" t="s">
        <v>1062</v>
      </c>
      <c r="E1001" s="275">
        <v>20.0</v>
      </c>
      <c r="F1001" s="242" t="s">
        <v>1080</v>
      </c>
      <c r="G1001" s="244"/>
    </row>
    <row r="1002" ht="14.25" hidden="1" customHeight="1" outlineLevel="2">
      <c r="A1002" s="125">
        <v>45892.0</v>
      </c>
      <c r="B1002" s="126">
        <f t="shared" ref="B1002:B1003" si="142">A1002</f>
        <v>45892</v>
      </c>
      <c r="C1002" s="313">
        <v>0.3333333333333333</v>
      </c>
      <c r="D1002" s="242" t="s">
        <v>119</v>
      </c>
      <c r="E1002" s="275">
        <v>60.0</v>
      </c>
      <c r="F1002" s="242" t="s">
        <v>1128</v>
      </c>
      <c r="G1002" s="244"/>
    </row>
    <row r="1003" ht="14.25" hidden="1" customHeight="1" outlineLevel="2">
      <c r="A1003" s="102">
        <v>45893.0</v>
      </c>
      <c r="B1003" s="97">
        <f t="shared" si="142"/>
        <v>45893</v>
      </c>
      <c r="C1003" s="313">
        <v>0.3333333333333333</v>
      </c>
      <c r="D1003" s="242" t="s">
        <v>820</v>
      </c>
      <c r="E1003" s="275">
        <v>271.0</v>
      </c>
      <c r="F1003" s="242" t="s">
        <v>1216</v>
      </c>
      <c r="G1003" s="244"/>
    </row>
    <row r="1004" ht="14.25" hidden="1" customHeight="1" outlineLevel="2">
      <c r="A1004" s="58"/>
      <c r="B1004" s="58"/>
      <c r="C1004" s="313">
        <v>0.4583333333333333</v>
      </c>
      <c r="D1004" s="242" t="s">
        <v>296</v>
      </c>
      <c r="E1004" s="275">
        <v>305.0</v>
      </c>
      <c r="F1004" s="242" t="s">
        <v>189</v>
      </c>
      <c r="G1004" s="244"/>
    </row>
    <row r="1005" ht="14.25" hidden="1" customHeight="1" outlineLevel="2">
      <c r="A1005" s="10"/>
      <c r="B1005" s="10"/>
      <c r="C1005" s="313">
        <v>0.7708333333333334</v>
      </c>
      <c r="D1005" s="242" t="s">
        <v>342</v>
      </c>
      <c r="E1005" s="275">
        <v>70.0</v>
      </c>
      <c r="F1005" s="242" t="s">
        <v>1217</v>
      </c>
      <c r="G1005" s="244"/>
    </row>
    <row r="1006" ht="14.25" hidden="1" customHeight="1" outlineLevel="2">
      <c r="A1006" s="102">
        <v>45894.0</v>
      </c>
      <c r="B1006" s="97">
        <f>A1006</f>
        <v>45894</v>
      </c>
      <c r="C1006" s="313">
        <v>0.2916666666666667</v>
      </c>
      <c r="D1006" s="242" t="s">
        <v>119</v>
      </c>
      <c r="E1006" s="275">
        <v>51.0</v>
      </c>
      <c r="F1006" s="242" t="s">
        <v>842</v>
      </c>
      <c r="G1006" s="244"/>
    </row>
    <row r="1007" ht="14.25" hidden="1" customHeight="1" outlineLevel="2">
      <c r="A1007" s="10"/>
      <c r="B1007" s="10"/>
      <c r="C1007" s="313">
        <v>0.5069444444444444</v>
      </c>
      <c r="D1007" s="242" t="s">
        <v>1185</v>
      </c>
      <c r="E1007" s="275">
        <v>26.0</v>
      </c>
      <c r="F1007" s="242" t="s">
        <v>283</v>
      </c>
      <c r="G1007" s="244"/>
    </row>
    <row r="1008" ht="14.25" hidden="1" customHeight="1" outlineLevel="2">
      <c r="A1008" s="102">
        <v>45895.0</v>
      </c>
      <c r="B1008" s="97">
        <f>A1008</f>
        <v>45895</v>
      </c>
      <c r="C1008" s="313">
        <v>0.2916666666666667</v>
      </c>
      <c r="D1008" s="242" t="s">
        <v>236</v>
      </c>
      <c r="E1008" s="275">
        <v>71.0</v>
      </c>
      <c r="F1008" s="242" t="s">
        <v>359</v>
      </c>
      <c r="G1008" s="244"/>
    </row>
    <row r="1009" ht="14.25" hidden="1" customHeight="1" outlineLevel="2">
      <c r="A1009" s="10"/>
      <c r="B1009" s="10"/>
      <c r="C1009" s="313">
        <v>0.5069444444444444</v>
      </c>
      <c r="D1009" s="242" t="s">
        <v>456</v>
      </c>
      <c r="E1009" s="275">
        <v>17.0</v>
      </c>
      <c r="F1009" s="242" t="s">
        <v>1005</v>
      </c>
      <c r="G1009" s="244"/>
    </row>
    <row r="1010" ht="14.25" hidden="1" customHeight="1" outlineLevel="2">
      <c r="A1010" s="102">
        <v>45896.0</v>
      </c>
      <c r="B1010" s="97">
        <f>A1010</f>
        <v>45896</v>
      </c>
      <c r="C1010" s="313">
        <v>0.2916666666666667</v>
      </c>
      <c r="D1010" s="242" t="s">
        <v>119</v>
      </c>
      <c r="E1010" s="275">
        <v>79.0</v>
      </c>
      <c r="F1010" s="242" t="s">
        <v>219</v>
      </c>
      <c r="G1010" s="244"/>
    </row>
    <row r="1011" ht="14.25" hidden="1" customHeight="1" outlineLevel="2">
      <c r="A1011" s="10"/>
      <c r="B1011" s="10"/>
      <c r="C1011" s="313">
        <v>0.5069444444444444</v>
      </c>
      <c r="D1011" s="242" t="s">
        <v>1062</v>
      </c>
      <c r="E1011" s="275">
        <v>31.0</v>
      </c>
      <c r="F1011" s="242" t="s">
        <v>1005</v>
      </c>
      <c r="G1011" s="244"/>
    </row>
    <row r="1012" ht="14.25" hidden="1" customHeight="1" outlineLevel="2">
      <c r="A1012" s="102">
        <v>45897.0</v>
      </c>
      <c r="B1012" s="97">
        <f>A1012</f>
        <v>45897</v>
      </c>
      <c r="C1012" s="313">
        <v>0.2916666666666667</v>
      </c>
      <c r="D1012" s="242" t="s">
        <v>119</v>
      </c>
      <c r="E1012" s="275">
        <v>57.0</v>
      </c>
      <c r="F1012" s="242" t="s">
        <v>189</v>
      </c>
      <c r="G1012" s="244"/>
    </row>
    <row r="1013" ht="14.25" hidden="1" customHeight="1" outlineLevel="2">
      <c r="A1013" s="10"/>
      <c r="B1013" s="10"/>
      <c r="C1013" s="313">
        <v>0.5069444444444444</v>
      </c>
      <c r="D1013" s="242" t="s">
        <v>1185</v>
      </c>
      <c r="E1013" s="275">
        <v>80.0</v>
      </c>
      <c r="F1013" s="242" t="s">
        <v>659</v>
      </c>
      <c r="G1013" s="244"/>
    </row>
    <row r="1014" ht="14.25" hidden="1" customHeight="1" outlineLevel="2">
      <c r="A1014" s="102">
        <v>45898.0</v>
      </c>
      <c r="B1014" s="97">
        <f>A1014</f>
        <v>45898</v>
      </c>
      <c r="C1014" s="313">
        <v>0.2916666666666667</v>
      </c>
      <c r="D1014" s="242" t="s">
        <v>236</v>
      </c>
      <c r="E1014" s="275">
        <v>50.0</v>
      </c>
      <c r="F1014" s="242" t="s">
        <v>1220</v>
      </c>
      <c r="G1014" s="244"/>
    </row>
    <row r="1015" ht="14.25" hidden="1" customHeight="1" outlineLevel="2">
      <c r="A1015" s="10"/>
      <c r="B1015" s="10"/>
      <c r="C1015" s="313">
        <v>0.5069444444444444</v>
      </c>
      <c r="D1015" s="242" t="s">
        <v>1062</v>
      </c>
      <c r="E1015" s="275">
        <v>0.0</v>
      </c>
      <c r="F1015" s="242" t="s">
        <v>659</v>
      </c>
      <c r="G1015" s="244"/>
    </row>
    <row r="1016" ht="14.25" hidden="1" customHeight="1" outlineLevel="2">
      <c r="A1016" s="125">
        <v>45899.0</v>
      </c>
      <c r="B1016" s="126">
        <f t="shared" ref="B1016:B1017" si="143">A1016</f>
        <v>45899</v>
      </c>
      <c r="C1016" s="313">
        <v>0.3333333333333333</v>
      </c>
      <c r="D1016" s="242" t="s">
        <v>119</v>
      </c>
      <c r="E1016" s="275">
        <v>60.0</v>
      </c>
      <c r="F1016" s="242" t="s">
        <v>1221</v>
      </c>
      <c r="G1016" s="244"/>
    </row>
    <row r="1017" ht="14.25" hidden="1" customHeight="1" outlineLevel="2">
      <c r="A1017" s="102">
        <v>45900.0</v>
      </c>
      <c r="B1017" s="97">
        <f t="shared" si="143"/>
        <v>45900</v>
      </c>
      <c r="C1017" s="313">
        <v>0.3333333333333333</v>
      </c>
      <c r="D1017" s="242" t="s">
        <v>490</v>
      </c>
      <c r="E1017" s="275">
        <v>490.0</v>
      </c>
      <c r="F1017" s="242" t="s">
        <v>1222</v>
      </c>
      <c r="G1017" s="244"/>
    </row>
    <row r="1018" ht="14.25" hidden="1" customHeight="1" outlineLevel="2">
      <c r="A1018" s="58"/>
      <c r="B1018" s="58"/>
      <c r="C1018" s="313">
        <v>0.4583333333333333</v>
      </c>
      <c r="D1018" s="242" t="s">
        <v>1185</v>
      </c>
      <c r="E1018" s="275">
        <v>335.0</v>
      </c>
      <c r="F1018" s="242" t="s">
        <v>1223</v>
      </c>
      <c r="G1018" s="244"/>
    </row>
    <row r="1019" ht="14.25" hidden="1" customHeight="1" outlineLevel="2">
      <c r="A1019" s="10"/>
      <c r="B1019" s="10"/>
      <c r="C1019" s="313">
        <v>0.7708333333333334</v>
      </c>
      <c r="D1019" s="242" t="s">
        <v>820</v>
      </c>
      <c r="E1019" s="275">
        <v>180.0</v>
      </c>
      <c r="F1019" s="242" t="s">
        <v>1157</v>
      </c>
      <c r="G1019" s="244"/>
    </row>
    <row r="1020" ht="14.25" customHeight="1" outlineLevel="1">
      <c r="A1020" s="117" t="s">
        <v>195</v>
      </c>
      <c r="B1020" s="27"/>
      <c r="C1020" s="27"/>
      <c r="D1020" s="28"/>
      <c r="E1020" s="312">
        <f>SUM(E959:E1019)</f>
        <v>6496</v>
      </c>
      <c r="F1020" s="244"/>
      <c r="G1020" s="244"/>
    </row>
    <row r="1021" ht="14.25" customHeight="1" outlineLevel="1">
      <c r="A1021" s="329"/>
      <c r="B1021" s="330"/>
      <c r="C1021" s="331"/>
      <c r="D1021" s="332"/>
      <c r="E1021" s="332"/>
      <c r="F1021" s="332"/>
      <c r="G1021" s="332"/>
    </row>
    <row r="1022" ht="14.25" customHeight="1" outlineLevel="1" collapsed="1">
      <c r="A1022" s="122" t="s">
        <v>1224</v>
      </c>
      <c r="B1022" s="22"/>
      <c r="C1022" s="22"/>
      <c r="D1022" s="22"/>
      <c r="E1022" s="22"/>
      <c r="F1022" s="22"/>
      <c r="G1022" s="22"/>
      <c r="H1022" s="22"/>
      <c r="I1022" s="22"/>
      <c r="J1022" s="22"/>
      <c r="K1022" s="22"/>
      <c r="L1022" s="22"/>
      <c r="M1022" s="22"/>
      <c r="N1022" s="22"/>
      <c r="O1022" s="22"/>
      <c r="P1022" s="22"/>
      <c r="Q1022" s="23"/>
    </row>
    <row r="1023" ht="14.25" hidden="1" customHeight="1" outlineLevel="2">
      <c r="A1023" s="70" t="s">
        <v>90</v>
      </c>
      <c r="I1023" s="72" t="s">
        <v>91</v>
      </c>
      <c r="J1023" s="73"/>
      <c r="K1023" s="73"/>
      <c r="L1023" s="74"/>
      <c r="N1023" s="72" t="s">
        <v>992</v>
      </c>
      <c r="O1023" s="73"/>
      <c r="P1023" s="73"/>
      <c r="Q1023" s="74"/>
    </row>
    <row r="1024" ht="14.25" hidden="1" customHeight="1" outlineLevel="2">
      <c r="A1024" s="102">
        <v>45901.0</v>
      </c>
      <c r="B1024" s="97">
        <f>A1024</f>
        <v>45901</v>
      </c>
      <c r="C1024" s="313">
        <v>0.2916666666666667</v>
      </c>
      <c r="D1024" s="242" t="s">
        <v>119</v>
      </c>
      <c r="E1024" s="275">
        <v>87.0</v>
      </c>
      <c r="F1024" s="242" t="s">
        <v>842</v>
      </c>
      <c r="G1024" s="244"/>
      <c r="I1024" s="81" t="s">
        <v>6</v>
      </c>
      <c r="J1024" s="84" t="s">
        <v>115</v>
      </c>
      <c r="K1024" s="84" t="s">
        <v>9</v>
      </c>
      <c r="L1024" s="81" t="s">
        <v>13</v>
      </c>
      <c r="M1024" s="51"/>
      <c r="N1024" s="81" t="s">
        <v>6</v>
      </c>
      <c r="O1024" s="84" t="s">
        <v>115</v>
      </c>
      <c r="P1024" s="84" t="s">
        <v>9</v>
      </c>
      <c r="Q1024" s="81" t="s">
        <v>13</v>
      </c>
    </row>
    <row r="1025" ht="14.25" hidden="1" customHeight="1" outlineLevel="2">
      <c r="A1025" s="10"/>
      <c r="B1025" s="10"/>
      <c r="C1025" s="313">
        <v>0.5069444444444444</v>
      </c>
      <c r="D1025" s="242" t="s">
        <v>1062</v>
      </c>
      <c r="E1025" s="275">
        <v>30.0</v>
      </c>
      <c r="F1025" s="242" t="s">
        <v>697</v>
      </c>
      <c r="G1025" s="244"/>
      <c r="I1025" s="86">
        <v>45910.0</v>
      </c>
      <c r="J1025" s="88">
        <f t="shared" ref="J1025:J1028" si="144">I1025</f>
        <v>45910</v>
      </c>
      <c r="K1025" s="93">
        <v>8.9</v>
      </c>
      <c r="L1025" s="90"/>
      <c r="M1025" s="51"/>
      <c r="N1025" s="86">
        <v>45910.0</v>
      </c>
      <c r="O1025" s="88">
        <f t="shared" ref="O1025:O1031" si="145">N1025</f>
        <v>45910</v>
      </c>
      <c r="P1025" s="93">
        <v>1650.0</v>
      </c>
      <c r="Q1025" s="91"/>
    </row>
    <row r="1026" ht="14.25" hidden="1" customHeight="1" outlineLevel="2">
      <c r="A1026" s="102">
        <v>45902.0</v>
      </c>
      <c r="B1026" s="97">
        <f>A1026</f>
        <v>45902</v>
      </c>
      <c r="C1026" s="313">
        <v>0.2916666666666667</v>
      </c>
      <c r="D1026" s="242" t="s">
        <v>236</v>
      </c>
      <c r="E1026" s="275">
        <v>70.0</v>
      </c>
      <c r="F1026" s="242" t="s">
        <v>1159</v>
      </c>
      <c r="G1026" s="244"/>
      <c r="I1026" s="86">
        <v>45912.0</v>
      </c>
      <c r="J1026" s="88">
        <f t="shared" si="144"/>
        <v>45912</v>
      </c>
      <c r="K1026" s="93">
        <v>24.0</v>
      </c>
      <c r="L1026" s="90"/>
      <c r="M1026" s="51"/>
      <c r="N1026" s="86">
        <v>45922.0</v>
      </c>
      <c r="O1026" s="88">
        <f t="shared" si="145"/>
        <v>45922</v>
      </c>
      <c r="P1026" s="93">
        <v>1650.0</v>
      </c>
      <c r="Q1026" s="91"/>
    </row>
    <row r="1027" ht="14.25" hidden="1" customHeight="1" outlineLevel="2">
      <c r="A1027" s="10"/>
      <c r="B1027" s="10"/>
      <c r="C1027" s="313">
        <v>0.5069444444444444</v>
      </c>
      <c r="D1027" s="242" t="s">
        <v>1062</v>
      </c>
      <c r="E1027" s="275">
        <v>20.0</v>
      </c>
      <c r="F1027" s="242" t="s">
        <v>1228</v>
      </c>
      <c r="G1027" s="244"/>
      <c r="I1027" s="86">
        <v>45920.0</v>
      </c>
      <c r="J1027" s="88">
        <f t="shared" si="144"/>
        <v>45920</v>
      </c>
      <c r="K1027" s="93">
        <v>35.0</v>
      </c>
      <c r="L1027" s="90"/>
      <c r="M1027" s="51"/>
      <c r="N1027" s="86">
        <v>45926.0</v>
      </c>
      <c r="O1027" s="88">
        <f t="shared" si="145"/>
        <v>45926</v>
      </c>
      <c r="P1027" s="93">
        <v>5500.0</v>
      </c>
      <c r="Q1027" s="91"/>
    </row>
    <row r="1028" ht="14.25" hidden="1" customHeight="1" outlineLevel="2">
      <c r="A1028" s="102">
        <v>45903.0</v>
      </c>
      <c r="B1028" s="97">
        <f>A1028</f>
        <v>45903</v>
      </c>
      <c r="C1028" s="313">
        <v>0.2916666666666667</v>
      </c>
      <c r="D1028" s="242" t="s">
        <v>1062</v>
      </c>
      <c r="E1028" s="275">
        <v>32.0</v>
      </c>
      <c r="F1028" s="242" t="s">
        <v>219</v>
      </c>
      <c r="G1028" s="244"/>
      <c r="I1028" s="86">
        <v>45925.0</v>
      </c>
      <c r="J1028" s="88">
        <f t="shared" si="144"/>
        <v>45925</v>
      </c>
      <c r="K1028" s="93">
        <v>49.4</v>
      </c>
      <c r="L1028" s="90"/>
      <c r="M1028" s="51"/>
      <c r="N1028" s="86"/>
      <c r="O1028" s="88" t="str">
        <f t="shared" si="145"/>
        <v/>
      </c>
      <c r="P1028" s="93">
        <v>0.0</v>
      </c>
      <c r="Q1028" s="91"/>
    </row>
    <row r="1029" ht="14.25" hidden="1" customHeight="1" outlineLevel="2">
      <c r="A1029" s="10"/>
      <c r="B1029" s="10"/>
      <c r="C1029" s="313">
        <v>0.5069444444444444</v>
      </c>
      <c r="D1029" s="242" t="s">
        <v>1062</v>
      </c>
      <c r="E1029" s="275">
        <v>109.0</v>
      </c>
      <c r="F1029" s="242" t="s">
        <v>659</v>
      </c>
      <c r="G1029" s="244"/>
      <c r="I1029" s="86"/>
      <c r="J1029" s="88"/>
      <c r="K1029" s="93"/>
      <c r="L1029" s="90"/>
      <c r="M1029" s="51"/>
      <c r="N1029" s="86"/>
      <c r="O1029" s="88" t="str">
        <f t="shared" si="145"/>
        <v/>
      </c>
      <c r="P1029" s="93">
        <v>0.0</v>
      </c>
      <c r="Q1029" s="91"/>
    </row>
    <row r="1030" ht="14.25" hidden="1" customHeight="1" outlineLevel="2">
      <c r="A1030" s="102">
        <v>45904.0</v>
      </c>
      <c r="B1030" s="97">
        <f>A1030</f>
        <v>45904</v>
      </c>
      <c r="C1030" s="313">
        <v>0.2916666666666667</v>
      </c>
      <c r="D1030" s="242" t="s">
        <v>119</v>
      </c>
      <c r="E1030" s="275">
        <v>149.0</v>
      </c>
      <c r="F1030" s="242" t="s">
        <v>1056</v>
      </c>
      <c r="G1030" s="244"/>
      <c r="I1030" s="86"/>
      <c r="J1030" s="88"/>
      <c r="K1030" s="93"/>
      <c r="L1030" s="90"/>
      <c r="M1030" s="51"/>
      <c r="N1030" s="86"/>
      <c r="O1030" s="88" t="str">
        <f t="shared" si="145"/>
        <v/>
      </c>
      <c r="P1030" s="93">
        <v>0.0</v>
      </c>
      <c r="Q1030" s="91"/>
    </row>
    <row r="1031" ht="14.25" hidden="1" customHeight="1" outlineLevel="2">
      <c r="A1031" s="10"/>
      <c r="B1031" s="10"/>
      <c r="C1031" s="313">
        <v>0.5069444444444444</v>
      </c>
      <c r="D1031" s="242" t="s">
        <v>980</v>
      </c>
      <c r="E1031" s="275">
        <v>20.0</v>
      </c>
      <c r="F1031" s="242" t="s">
        <v>659</v>
      </c>
      <c r="G1031" s="244"/>
      <c r="I1031" s="86"/>
      <c r="J1031" s="88"/>
      <c r="K1031" s="92"/>
      <c r="L1031" s="90"/>
      <c r="M1031" s="51"/>
      <c r="N1031" s="86"/>
      <c r="O1031" s="88" t="str">
        <f t="shared" si="145"/>
        <v/>
      </c>
      <c r="P1031" s="93">
        <v>0.0</v>
      </c>
      <c r="Q1031" s="91"/>
    </row>
    <row r="1032" ht="14.25" hidden="1" customHeight="1" outlineLevel="2">
      <c r="A1032" s="102">
        <v>45905.0</v>
      </c>
      <c r="B1032" s="97">
        <f>A1032</f>
        <v>45905</v>
      </c>
      <c r="C1032" s="313">
        <v>0.2916666666666667</v>
      </c>
      <c r="D1032" s="242" t="s">
        <v>236</v>
      </c>
      <c r="E1032" s="275">
        <v>100.0</v>
      </c>
      <c r="F1032" s="242" t="s">
        <v>1135</v>
      </c>
      <c r="G1032" s="244"/>
      <c r="I1032" s="86"/>
      <c r="J1032" s="88"/>
      <c r="K1032" s="92"/>
      <c r="L1032" s="90"/>
      <c r="M1032" s="51"/>
      <c r="N1032" s="165" t="s">
        <v>195</v>
      </c>
      <c r="O1032" s="165"/>
      <c r="P1032" s="291">
        <f>SUM(P1025:P1028)</f>
        <v>8800</v>
      </c>
      <c r="Q1032" s="114"/>
    </row>
    <row r="1033" ht="14.25" hidden="1" customHeight="1" outlineLevel="2">
      <c r="A1033" s="10"/>
      <c r="B1033" s="10"/>
      <c r="C1033" s="313">
        <v>0.5069444444444444</v>
      </c>
      <c r="D1033" s="242" t="s">
        <v>1062</v>
      </c>
      <c r="E1033" s="275">
        <v>0.0</v>
      </c>
      <c r="F1033" s="242" t="s">
        <v>790</v>
      </c>
      <c r="G1033" s="244"/>
      <c r="I1033" s="108" t="s">
        <v>195</v>
      </c>
      <c r="J1033" s="109"/>
      <c r="K1033" s="113">
        <f>SUM(K1025:K1032)</f>
        <v>117.3</v>
      </c>
      <c r="L1033" s="114"/>
      <c r="M1033" s="51"/>
    </row>
    <row r="1034" ht="14.25" hidden="1" customHeight="1" outlineLevel="2">
      <c r="A1034" s="125">
        <v>45906.0</v>
      </c>
      <c r="B1034" s="126">
        <f t="shared" ref="B1034:B1035" si="146">A1034</f>
        <v>45906</v>
      </c>
      <c r="C1034" s="313">
        <v>0.3333333333333333</v>
      </c>
      <c r="D1034" s="242" t="s">
        <v>119</v>
      </c>
      <c r="E1034" s="275">
        <v>112.0</v>
      </c>
      <c r="F1034" s="242" t="s">
        <v>1230</v>
      </c>
      <c r="G1034" s="244"/>
      <c r="N1034" s="235" t="s">
        <v>344</v>
      </c>
      <c r="O1034" s="27"/>
      <c r="P1034" s="27"/>
      <c r="Q1034" s="28"/>
    </row>
    <row r="1035" ht="14.25" hidden="1" customHeight="1" outlineLevel="2">
      <c r="A1035" s="102">
        <v>45907.0</v>
      </c>
      <c r="B1035" s="97">
        <f t="shared" si="146"/>
        <v>45907</v>
      </c>
      <c r="C1035" s="313">
        <v>0.3333333333333333</v>
      </c>
      <c r="D1035" s="242" t="s">
        <v>490</v>
      </c>
      <c r="E1035" s="275">
        <v>491.0</v>
      </c>
      <c r="F1035" s="242" t="s">
        <v>579</v>
      </c>
      <c r="G1035" s="244"/>
      <c r="N1035" s="81" t="s">
        <v>6</v>
      </c>
      <c r="O1035" s="84" t="s">
        <v>115</v>
      </c>
      <c r="P1035" s="84" t="s">
        <v>9</v>
      </c>
      <c r="Q1035" s="81" t="s">
        <v>13</v>
      </c>
    </row>
    <row r="1036" ht="14.25" hidden="1" customHeight="1" outlineLevel="2">
      <c r="A1036" s="58"/>
      <c r="B1036" s="58"/>
      <c r="C1036" s="313">
        <v>0.4583333333333333</v>
      </c>
      <c r="D1036" s="242" t="s">
        <v>1020</v>
      </c>
      <c r="E1036" s="275">
        <v>252.0</v>
      </c>
      <c r="F1036" s="242" t="s">
        <v>1231</v>
      </c>
      <c r="G1036" s="244"/>
      <c r="N1036" s="86">
        <v>45839.0</v>
      </c>
      <c r="O1036" s="88">
        <f>N1036</f>
        <v>45839</v>
      </c>
      <c r="P1036" s="93">
        <v>0.0</v>
      </c>
      <c r="Q1036" s="91"/>
    </row>
    <row r="1037" ht="14.25" hidden="1" customHeight="1" outlineLevel="2">
      <c r="A1037" s="10"/>
      <c r="B1037" s="10"/>
      <c r="C1037" s="313">
        <v>0.7708333333333334</v>
      </c>
      <c r="D1037" s="242" t="s">
        <v>272</v>
      </c>
      <c r="E1037" s="275">
        <v>693.0</v>
      </c>
      <c r="F1037" s="242" t="s">
        <v>1232</v>
      </c>
      <c r="G1037" s="244"/>
      <c r="N1037" s="165" t="s">
        <v>195</v>
      </c>
      <c r="O1037" s="165"/>
      <c r="P1037" s="282">
        <f>SUM(P1034:P1036)</f>
        <v>0</v>
      </c>
      <c r="Q1037" s="114"/>
    </row>
    <row r="1038" ht="14.25" hidden="1" customHeight="1" outlineLevel="2">
      <c r="A1038" s="102">
        <v>45908.0</v>
      </c>
      <c r="B1038" s="97">
        <f>A1038</f>
        <v>45908</v>
      </c>
      <c r="C1038" s="313">
        <v>0.2916666666666667</v>
      </c>
      <c r="D1038" s="242" t="s">
        <v>119</v>
      </c>
      <c r="E1038" s="275">
        <v>40.0</v>
      </c>
      <c r="F1038" s="242" t="s">
        <v>1233</v>
      </c>
      <c r="G1038" s="244"/>
    </row>
    <row r="1039" ht="14.25" hidden="1" customHeight="1" outlineLevel="2">
      <c r="A1039" s="10"/>
      <c r="B1039" s="10"/>
      <c r="C1039" s="313">
        <v>0.5069444444444444</v>
      </c>
      <c r="D1039" s="242" t="s">
        <v>1062</v>
      </c>
      <c r="E1039" s="275">
        <v>5.0</v>
      </c>
      <c r="F1039" s="242" t="s">
        <v>1082</v>
      </c>
      <c r="G1039" s="244"/>
    </row>
    <row r="1040" ht="14.25" hidden="1" customHeight="1" outlineLevel="2">
      <c r="A1040" s="102">
        <v>45909.0</v>
      </c>
      <c r="B1040" s="97">
        <f>A1040</f>
        <v>45909</v>
      </c>
      <c r="C1040" s="313">
        <v>0.2916666666666667</v>
      </c>
      <c r="D1040" s="242" t="s">
        <v>236</v>
      </c>
      <c r="E1040" s="275">
        <v>90.0</v>
      </c>
      <c r="F1040" s="242" t="s">
        <v>759</v>
      </c>
      <c r="G1040" s="244"/>
    </row>
    <row r="1041" ht="14.25" hidden="1" customHeight="1" outlineLevel="2">
      <c r="A1041" s="10"/>
      <c r="B1041" s="10"/>
      <c r="C1041" s="313">
        <v>0.5069444444444444</v>
      </c>
      <c r="D1041" s="242" t="s">
        <v>456</v>
      </c>
      <c r="E1041" s="275">
        <v>90.0</v>
      </c>
      <c r="F1041" s="242" t="s">
        <v>1235</v>
      </c>
      <c r="G1041" s="244"/>
    </row>
    <row r="1042" ht="14.25" hidden="1" customHeight="1" outlineLevel="2">
      <c r="A1042" s="102">
        <v>45910.0</v>
      </c>
      <c r="B1042" s="97">
        <f>A1042</f>
        <v>45910</v>
      </c>
      <c r="C1042" s="313">
        <v>0.2916666666666667</v>
      </c>
      <c r="D1042" s="283" t="s">
        <v>119</v>
      </c>
      <c r="E1042" s="275">
        <v>60.0</v>
      </c>
      <c r="F1042" s="283" t="s">
        <v>219</v>
      </c>
      <c r="G1042" s="244"/>
    </row>
    <row r="1043" ht="14.25" hidden="1" customHeight="1" outlineLevel="2">
      <c r="A1043" s="10"/>
      <c r="B1043" s="10"/>
      <c r="C1043" s="313">
        <v>0.5069444444444444</v>
      </c>
      <c r="D1043" s="242" t="s">
        <v>1062</v>
      </c>
      <c r="E1043" s="275">
        <v>0.0</v>
      </c>
      <c r="F1043" s="242" t="s">
        <v>153</v>
      </c>
      <c r="G1043" s="244"/>
    </row>
    <row r="1044" ht="14.25" hidden="1" customHeight="1" outlineLevel="2">
      <c r="A1044" s="102">
        <v>45911.0</v>
      </c>
      <c r="B1044" s="97">
        <f>A1044</f>
        <v>45911</v>
      </c>
      <c r="C1044" s="313">
        <v>0.2916666666666667</v>
      </c>
      <c r="D1044" s="242" t="s">
        <v>119</v>
      </c>
      <c r="E1044" s="275">
        <v>31.0</v>
      </c>
      <c r="F1044" s="242" t="s">
        <v>1236</v>
      </c>
      <c r="G1044" s="244"/>
    </row>
    <row r="1045" ht="14.25" hidden="1" customHeight="1" outlineLevel="2">
      <c r="A1045" s="10"/>
      <c r="B1045" s="10"/>
      <c r="C1045" s="313">
        <v>0.5069444444444444</v>
      </c>
      <c r="D1045" s="242" t="s">
        <v>980</v>
      </c>
      <c r="E1045" s="275">
        <v>11.0</v>
      </c>
      <c r="F1045" s="242" t="s">
        <v>1104</v>
      </c>
      <c r="G1045" s="244"/>
    </row>
    <row r="1046" ht="14.25" hidden="1" customHeight="1" outlineLevel="2">
      <c r="A1046" s="102">
        <v>45912.0</v>
      </c>
      <c r="B1046" s="97">
        <f>A1046</f>
        <v>45912</v>
      </c>
      <c r="C1046" s="313">
        <v>0.2916666666666667</v>
      </c>
      <c r="D1046" s="242" t="s">
        <v>296</v>
      </c>
      <c r="E1046" s="275">
        <v>57.0</v>
      </c>
      <c r="F1046" s="242" t="s">
        <v>1126</v>
      </c>
      <c r="G1046" s="244"/>
    </row>
    <row r="1047" ht="14.25" hidden="1" customHeight="1" outlineLevel="2">
      <c r="A1047" s="10"/>
      <c r="B1047" s="10"/>
      <c r="C1047" s="313">
        <v>0.5069444444444444</v>
      </c>
      <c r="D1047" s="242" t="s">
        <v>1062</v>
      </c>
      <c r="E1047" s="275">
        <v>20.0</v>
      </c>
      <c r="F1047" s="242" t="s">
        <v>426</v>
      </c>
      <c r="G1047" s="244"/>
    </row>
    <row r="1048" ht="14.25" hidden="1" customHeight="1" outlineLevel="2">
      <c r="A1048" s="125">
        <v>45913.0</v>
      </c>
      <c r="B1048" s="126">
        <f t="shared" ref="B1048:B1049" si="147">A1048</f>
        <v>45913</v>
      </c>
      <c r="C1048" s="313">
        <v>0.3333333333333333</v>
      </c>
      <c r="D1048" s="242" t="s">
        <v>119</v>
      </c>
      <c r="E1048" s="275">
        <v>36.0</v>
      </c>
      <c r="F1048" s="242" t="s">
        <v>1238</v>
      </c>
      <c r="G1048" s="244"/>
    </row>
    <row r="1049" ht="14.25" hidden="1" customHeight="1" outlineLevel="2">
      <c r="A1049" s="102">
        <v>45914.0</v>
      </c>
      <c r="B1049" s="97">
        <f t="shared" si="147"/>
        <v>45914</v>
      </c>
      <c r="C1049" s="313">
        <v>0.3333333333333333</v>
      </c>
      <c r="D1049" s="242" t="s">
        <v>355</v>
      </c>
      <c r="E1049" s="275">
        <v>290.0</v>
      </c>
      <c r="F1049" s="242" t="s">
        <v>1239</v>
      </c>
      <c r="G1049" s="244"/>
    </row>
    <row r="1050" ht="14.25" hidden="1" customHeight="1" outlineLevel="2">
      <c r="A1050" s="58"/>
      <c r="B1050" s="58"/>
      <c r="C1050" s="313">
        <v>0.4583333333333333</v>
      </c>
      <c r="D1050" s="242" t="s">
        <v>980</v>
      </c>
      <c r="E1050" s="275">
        <v>193.0</v>
      </c>
      <c r="F1050" s="242"/>
      <c r="G1050" s="244"/>
    </row>
    <row r="1051" ht="14.25" hidden="1" customHeight="1" outlineLevel="2">
      <c r="A1051" s="10"/>
      <c r="B1051" s="10"/>
      <c r="C1051" s="313">
        <v>0.7708333333333334</v>
      </c>
      <c r="D1051" s="242" t="s">
        <v>342</v>
      </c>
      <c r="E1051" s="275">
        <v>265.0</v>
      </c>
      <c r="F1051" s="242" t="s">
        <v>1241</v>
      </c>
      <c r="G1051" s="244"/>
    </row>
    <row r="1052" ht="14.25" hidden="1" customHeight="1" outlineLevel="2">
      <c r="A1052" s="102">
        <v>45915.0</v>
      </c>
      <c r="B1052" s="97">
        <f>A1052</f>
        <v>45915</v>
      </c>
      <c r="C1052" s="313">
        <v>0.2916666666666667</v>
      </c>
      <c r="D1052" s="242" t="s">
        <v>119</v>
      </c>
      <c r="E1052" s="275">
        <v>110.0</v>
      </c>
      <c r="F1052" s="242" t="s">
        <v>1233</v>
      </c>
      <c r="G1052" s="244"/>
    </row>
    <row r="1053" ht="14.25" hidden="1" customHeight="1" outlineLevel="2">
      <c r="A1053" s="10"/>
      <c r="B1053" s="10"/>
      <c r="C1053" s="313">
        <v>0.5069444444444444</v>
      </c>
      <c r="D1053" s="242" t="s">
        <v>1062</v>
      </c>
      <c r="E1053" s="275">
        <v>16.0</v>
      </c>
      <c r="F1053" s="242" t="s">
        <v>1244</v>
      </c>
      <c r="G1053" s="244"/>
    </row>
    <row r="1054" ht="14.25" hidden="1" customHeight="1" outlineLevel="2">
      <c r="A1054" s="102">
        <v>45916.0</v>
      </c>
      <c r="B1054" s="97">
        <f>A1054</f>
        <v>45916</v>
      </c>
      <c r="C1054" s="313">
        <v>0.2916666666666667</v>
      </c>
      <c r="D1054" s="242" t="s">
        <v>236</v>
      </c>
      <c r="E1054" s="275">
        <v>65.0</v>
      </c>
      <c r="F1054" s="242" t="s">
        <v>359</v>
      </c>
      <c r="G1054" s="244"/>
    </row>
    <row r="1055" ht="14.25" hidden="1" customHeight="1" outlineLevel="2">
      <c r="A1055" s="10"/>
      <c r="B1055" s="10"/>
      <c r="C1055" s="313">
        <v>0.5069444444444444</v>
      </c>
      <c r="D1055" s="242" t="s">
        <v>1062</v>
      </c>
      <c r="E1055" s="275">
        <v>79.0</v>
      </c>
      <c r="F1055" s="242" t="s">
        <v>996</v>
      </c>
      <c r="G1055" s="244"/>
    </row>
    <row r="1056" ht="14.25" hidden="1" customHeight="1" outlineLevel="2">
      <c r="A1056" s="102">
        <v>45917.0</v>
      </c>
      <c r="B1056" s="97">
        <f>A1056</f>
        <v>45917</v>
      </c>
      <c r="C1056" s="313">
        <v>0.2916666666666667</v>
      </c>
      <c r="D1056" s="242" t="s">
        <v>119</v>
      </c>
      <c r="E1056" s="275">
        <v>37.0</v>
      </c>
      <c r="F1056" s="242" t="s">
        <v>219</v>
      </c>
      <c r="G1056" s="244"/>
    </row>
    <row r="1057" ht="14.25" hidden="1" customHeight="1" outlineLevel="2">
      <c r="A1057" s="10"/>
      <c r="B1057" s="10"/>
      <c r="C1057" s="313">
        <v>0.5069444444444444</v>
      </c>
      <c r="D1057" s="242" t="s">
        <v>1064</v>
      </c>
      <c r="E1057" s="275">
        <v>12.0</v>
      </c>
      <c r="F1057" s="242" t="s">
        <v>626</v>
      </c>
      <c r="G1057" s="244"/>
    </row>
    <row r="1058" ht="14.25" hidden="1" customHeight="1" outlineLevel="2">
      <c r="A1058" s="102">
        <v>45918.0</v>
      </c>
      <c r="B1058" s="97">
        <f>A1058</f>
        <v>45918</v>
      </c>
      <c r="C1058" s="313">
        <v>0.2916666666666667</v>
      </c>
      <c r="D1058" s="242" t="s">
        <v>119</v>
      </c>
      <c r="E1058" s="275">
        <v>35.0</v>
      </c>
      <c r="F1058" s="242" t="s">
        <v>548</v>
      </c>
      <c r="G1058" s="244"/>
    </row>
    <row r="1059" ht="14.25" hidden="1" customHeight="1" outlineLevel="2">
      <c r="A1059" s="10"/>
      <c r="B1059" s="10"/>
      <c r="C1059" s="313">
        <v>0.5069444444444444</v>
      </c>
      <c r="D1059" s="242" t="s">
        <v>980</v>
      </c>
      <c r="E1059" s="275">
        <v>50.0</v>
      </c>
      <c r="F1059" s="242" t="s">
        <v>1245</v>
      </c>
      <c r="G1059" s="244"/>
    </row>
    <row r="1060" ht="14.25" hidden="1" customHeight="1" outlineLevel="2">
      <c r="A1060" s="102">
        <v>45919.0</v>
      </c>
      <c r="B1060" s="97">
        <f>A1060</f>
        <v>45919</v>
      </c>
      <c r="C1060" s="313">
        <v>0.2916666666666667</v>
      </c>
      <c r="D1060" s="242" t="s">
        <v>236</v>
      </c>
      <c r="E1060" s="275">
        <v>90.0</v>
      </c>
      <c r="F1060" s="242" t="s">
        <v>1246</v>
      </c>
      <c r="G1060" s="244"/>
    </row>
    <row r="1061" ht="14.25" hidden="1" customHeight="1" outlineLevel="2">
      <c r="A1061" s="10"/>
      <c r="B1061" s="10"/>
      <c r="C1061" s="313">
        <v>0.5069444444444444</v>
      </c>
      <c r="D1061" s="242" t="s">
        <v>1062</v>
      </c>
      <c r="E1061" s="275">
        <v>43.0</v>
      </c>
      <c r="F1061" s="242" t="s">
        <v>626</v>
      </c>
      <c r="G1061" s="244"/>
    </row>
    <row r="1062" ht="14.25" hidden="1" customHeight="1" outlineLevel="2">
      <c r="A1062" s="125">
        <v>45920.0</v>
      </c>
      <c r="B1062" s="126">
        <f t="shared" ref="B1062:B1063" si="148">A1062</f>
        <v>45920</v>
      </c>
      <c r="C1062" s="313">
        <v>0.3333333333333333</v>
      </c>
      <c r="D1062" s="242" t="s">
        <v>119</v>
      </c>
      <c r="E1062" s="275">
        <v>78.0</v>
      </c>
      <c r="F1062" s="242" t="s">
        <v>683</v>
      </c>
      <c r="G1062" s="244"/>
    </row>
    <row r="1063" ht="14.25" hidden="1" customHeight="1" outlineLevel="2">
      <c r="A1063" s="102">
        <v>45921.0</v>
      </c>
      <c r="B1063" s="97">
        <f t="shared" si="148"/>
        <v>45921</v>
      </c>
      <c r="C1063" s="313">
        <v>0.3333333333333333</v>
      </c>
      <c r="D1063" s="242" t="s">
        <v>820</v>
      </c>
      <c r="E1063" s="275">
        <v>434.0</v>
      </c>
      <c r="F1063" s="242" t="s">
        <v>1247</v>
      </c>
      <c r="G1063" s="244"/>
    </row>
    <row r="1064" ht="14.25" hidden="1" customHeight="1" outlineLevel="2">
      <c r="A1064" s="58"/>
      <c r="B1064" s="58"/>
      <c r="C1064" s="313">
        <v>0.4583333333333333</v>
      </c>
      <c r="D1064" s="242" t="s">
        <v>296</v>
      </c>
      <c r="E1064" s="275">
        <v>195.0</v>
      </c>
      <c r="F1064" s="242" t="s">
        <v>1186</v>
      </c>
      <c r="G1064" s="244"/>
    </row>
    <row r="1065" ht="14.25" hidden="1" customHeight="1" outlineLevel="2">
      <c r="A1065" s="10"/>
      <c r="B1065" s="10"/>
      <c r="C1065" s="313">
        <v>0.7708333333333334</v>
      </c>
      <c r="D1065" s="242" t="s">
        <v>355</v>
      </c>
      <c r="E1065" s="275">
        <v>660.0</v>
      </c>
      <c r="F1065" s="242" t="s">
        <v>1157</v>
      </c>
      <c r="G1065" s="244"/>
    </row>
    <row r="1066" ht="14.25" hidden="1" customHeight="1" outlineLevel="2">
      <c r="A1066" s="102">
        <v>45922.0</v>
      </c>
      <c r="B1066" s="97">
        <f>A1066</f>
        <v>45922</v>
      </c>
      <c r="C1066" s="313">
        <v>0.2916666666666667</v>
      </c>
      <c r="D1066" s="242" t="s">
        <v>119</v>
      </c>
      <c r="E1066" s="275">
        <v>46.0</v>
      </c>
      <c r="F1066" s="242" t="s">
        <v>842</v>
      </c>
      <c r="G1066" s="244"/>
    </row>
    <row r="1067" ht="14.25" hidden="1" customHeight="1" outlineLevel="2">
      <c r="A1067" s="10"/>
      <c r="B1067" s="10"/>
      <c r="C1067" s="313">
        <v>0.5069444444444444</v>
      </c>
      <c r="D1067" s="242" t="s">
        <v>1062</v>
      </c>
      <c r="E1067" s="275">
        <v>54.0</v>
      </c>
      <c r="F1067" s="242" t="s">
        <v>1249</v>
      </c>
      <c r="G1067" s="244"/>
    </row>
    <row r="1068" ht="14.25" hidden="1" customHeight="1" outlineLevel="2">
      <c r="A1068" s="102">
        <v>45923.0</v>
      </c>
      <c r="B1068" s="97">
        <f>A1068</f>
        <v>45923</v>
      </c>
      <c r="C1068" s="313">
        <v>0.2916666666666667</v>
      </c>
      <c r="D1068" s="242" t="s">
        <v>236</v>
      </c>
      <c r="E1068" s="275">
        <v>60.0</v>
      </c>
      <c r="F1068" s="242" t="s">
        <v>218</v>
      </c>
      <c r="G1068" s="244"/>
    </row>
    <row r="1069" ht="14.25" hidden="1" customHeight="1" outlineLevel="2">
      <c r="A1069" s="10"/>
      <c r="B1069" s="10"/>
      <c r="C1069" s="313">
        <v>0.5069444444444444</v>
      </c>
      <c r="D1069" s="242" t="s">
        <v>1062</v>
      </c>
      <c r="E1069" s="275">
        <v>7.0</v>
      </c>
      <c r="F1069" s="242" t="s">
        <v>1051</v>
      </c>
      <c r="G1069" s="244"/>
    </row>
    <row r="1070" ht="14.25" hidden="1" customHeight="1" outlineLevel="2">
      <c r="A1070" s="102">
        <v>45924.0</v>
      </c>
      <c r="B1070" s="97">
        <f>A1070</f>
        <v>45924</v>
      </c>
      <c r="C1070" s="313">
        <v>0.2916666666666667</v>
      </c>
      <c r="D1070" s="242" t="s">
        <v>119</v>
      </c>
      <c r="E1070" s="275">
        <v>121.0</v>
      </c>
      <c r="F1070" s="242" t="s">
        <v>219</v>
      </c>
      <c r="G1070" s="244"/>
    </row>
    <row r="1071" ht="14.25" hidden="1" customHeight="1" outlineLevel="2">
      <c r="A1071" s="10"/>
      <c r="B1071" s="10"/>
      <c r="C1071" s="313">
        <v>0.5069444444444444</v>
      </c>
      <c r="D1071" s="242" t="s">
        <v>1064</v>
      </c>
      <c r="E1071" s="275">
        <v>7.0</v>
      </c>
      <c r="F1071" s="242" t="s">
        <v>1116</v>
      </c>
      <c r="G1071" s="244"/>
    </row>
    <row r="1072" ht="14.25" hidden="1" customHeight="1" outlineLevel="2">
      <c r="A1072" s="102">
        <v>45925.0</v>
      </c>
      <c r="B1072" s="97">
        <f>A1072</f>
        <v>45925</v>
      </c>
      <c r="C1072" s="313">
        <v>0.2916666666666667</v>
      </c>
      <c r="D1072" s="242" t="s">
        <v>119</v>
      </c>
      <c r="E1072" s="275">
        <v>22.0</v>
      </c>
      <c r="F1072" s="242" t="s">
        <v>1250</v>
      </c>
      <c r="G1072" s="244"/>
    </row>
    <row r="1073" ht="14.25" hidden="1" customHeight="1" outlineLevel="2">
      <c r="A1073" s="10"/>
      <c r="B1073" s="10"/>
      <c r="C1073" s="313">
        <v>0.5069444444444444</v>
      </c>
      <c r="D1073" s="242" t="s">
        <v>1251</v>
      </c>
      <c r="E1073" s="275">
        <v>22.0</v>
      </c>
      <c r="F1073" s="242" t="s">
        <v>659</v>
      </c>
      <c r="G1073" s="244"/>
    </row>
    <row r="1074" ht="14.25" hidden="1" customHeight="1" outlineLevel="2">
      <c r="A1074" s="102">
        <v>45926.0</v>
      </c>
      <c r="B1074" s="97">
        <f>A1074</f>
        <v>45926</v>
      </c>
      <c r="C1074" s="313">
        <v>0.2916666666666667</v>
      </c>
      <c r="D1074" s="242" t="s">
        <v>236</v>
      </c>
      <c r="E1074" s="275">
        <v>103.0</v>
      </c>
      <c r="F1074" s="242" t="s">
        <v>550</v>
      </c>
      <c r="G1074" s="244"/>
    </row>
    <row r="1075" ht="14.25" hidden="1" customHeight="1" outlineLevel="2">
      <c r="A1075" s="10"/>
      <c r="B1075" s="10"/>
      <c r="C1075" s="313">
        <v>0.5069444444444444</v>
      </c>
      <c r="D1075" s="242" t="s">
        <v>1062</v>
      </c>
      <c r="E1075" s="275">
        <v>29.0</v>
      </c>
      <c r="F1075" s="242" t="s">
        <v>1252</v>
      </c>
      <c r="G1075" s="244"/>
    </row>
    <row r="1076" ht="14.25" hidden="1" customHeight="1" outlineLevel="2">
      <c r="A1076" s="125">
        <v>45927.0</v>
      </c>
      <c r="B1076" s="126">
        <f t="shared" ref="B1076:B1077" si="149">A1076</f>
        <v>45927</v>
      </c>
      <c r="C1076" s="313">
        <v>0.3333333333333333</v>
      </c>
      <c r="D1076" s="242" t="s">
        <v>119</v>
      </c>
      <c r="E1076" s="275">
        <v>87.0</v>
      </c>
      <c r="F1076" s="242" t="s">
        <v>940</v>
      </c>
      <c r="G1076" s="244"/>
    </row>
    <row r="1077" ht="14.25" hidden="1" customHeight="1" outlineLevel="2">
      <c r="A1077" s="102">
        <v>45928.0</v>
      </c>
      <c r="B1077" s="97">
        <f t="shared" si="149"/>
        <v>45928</v>
      </c>
      <c r="C1077" s="313">
        <v>0.3333333333333333</v>
      </c>
      <c r="D1077" s="242" t="s">
        <v>490</v>
      </c>
      <c r="E1077" s="275">
        <v>234.0</v>
      </c>
      <c r="F1077" s="242" t="s">
        <v>1120</v>
      </c>
      <c r="G1077" s="244"/>
    </row>
    <row r="1078" ht="14.25" hidden="1" customHeight="1" outlineLevel="2">
      <c r="A1078" s="58"/>
      <c r="B1078" s="58"/>
      <c r="C1078" s="313">
        <v>0.4583333333333333</v>
      </c>
      <c r="D1078" s="242" t="s">
        <v>980</v>
      </c>
      <c r="E1078" s="275">
        <v>162.0</v>
      </c>
      <c r="F1078" s="242" t="s">
        <v>1255</v>
      </c>
      <c r="G1078" s="244"/>
    </row>
    <row r="1079" ht="14.25" hidden="1" customHeight="1" outlineLevel="2">
      <c r="A1079" s="10"/>
      <c r="B1079" s="10"/>
      <c r="C1079" s="313">
        <v>0.7708333333333334</v>
      </c>
      <c r="D1079" s="242" t="s">
        <v>355</v>
      </c>
      <c r="E1079" s="275">
        <v>352.0</v>
      </c>
      <c r="F1079" s="242" t="s">
        <v>1257</v>
      </c>
      <c r="G1079" s="244"/>
    </row>
    <row r="1080" ht="14.25" hidden="1" customHeight="1" outlineLevel="2">
      <c r="A1080" s="102">
        <v>45929.0</v>
      </c>
      <c r="B1080" s="97">
        <f>A1080</f>
        <v>45929</v>
      </c>
      <c r="C1080" s="313">
        <v>0.2916666666666667</v>
      </c>
      <c r="D1080" s="242" t="s">
        <v>119</v>
      </c>
      <c r="E1080" s="275">
        <v>34.0</v>
      </c>
      <c r="F1080" s="242" t="s">
        <v>842</v>
      </c>
      <c r="G1080" s="244"/>
    </row>
    <row r="1081" ht="14.25" hidden="1" customHeight="1" outlineLevel="2">
      <c r="A1081" s="10"/>
      <c r="B1081" s="10"/>
      <c r="C1081" s="313">
        <v>0.5069444444444444</v>
      </c>
      <c r="D1081" s="242"/>
      <c r="E1081" s="275"/>
      <c r="F1081" s="242"/>
      <c r="G1081" s="244"/>
    </row>
    <row r="1082" ht="14.25" hidden="1" customHeight="1" outlineLevel="2">
      <c r="A1082" s="102">
        <v>45930.0</v>
      </c>
      <c r="B1082" s="97">
        <f>A1082</f>
        <v>45930</v>
      </c>
      <c r="C1082" s="313">
        <v>0.2916666666666667</v>
      </c>
      <c r="D1082" s="242"/>
      <c r="E1082" s="275"/>
      <c r="F1082" s="242"/>
      <c r="G1082" s="244"/>
    </row>
    <row r="1083" ht="14.25" hidden="1" customHeight="1" outlineLevel="2">
      <c r="A1083" s="10"/>
      <c r="B1083" s="10"/>
      <c r="C1083" s="313">
        <v>0.5069444444444444</v>
      </c>
      <c r="D1083" s="242"/>
      <c r="E1083" s="275"/>
      <c r="F1083" s="242"/>
      <c r="G1083" s="244"/>
    </row>
    <row r="1084" ht="14.25" customHeight="1" outlineLevel="1">
      <c r="A1084" s="117" t="s">
        <v>195</v>
      </c>
      <c r="B1084" s="27"/>
      <c r="C1084" s="27"/>
      <c r="D1084" s="28"/>
      <c r="E1084" s="312">
        <f>SUM(E1024:E1083)</f>
        <v>6597</v>
      </c>
      <c r="F1084" s="244"/>
      <c r="G1084" s="244"/>
    </row>
    <row r="1085" ht="14.25" customHeight="1" outlineLevel="1">
      <c r="A1085" s="329"/>
      <c r="B1085" s="330"/>
      <c r="C1085" s="331"/>
      <c r="D1085" s="335"/>
      <c r="E1085" s="336"/>
      <c r="F1085" s="335"/>
      <c r="G1085" s="332"/>
    </row>
    <row r="1086" ht="14.25" customHeight="1" outlineLevel="1" collapsed="1">
      <c r="A1086" s="122" t="s">
        <v>1260</v>
      </c>
      <c r="B1086" s="22"/>
      <c r="C1086" s="22"/>
      <c r="D1086" s="22"/>
      <c r="E1086" s="22"/>
      <c r="F1086" s="22"/>
      <c r="G1086" s="22"/>
      <c r="H1086" s="22"/>
      <c r="I1086" s="22"/>
      <c r="J1086" s="22"/>
      <c r="K1086" s="22"/>
      <c r="L1086" s="22"/>
      <c r="M1086" s="22"/>
      <c r="N1086" s="22"/>
      <c r="O1086" s="22"/>
      <c r="P1086" s="22"/>
      <c r="Q1086" s="23"/>
    </row>
    <row r="1087" ht="14.25" hidden="1" customHeight="1" outlineLevel="2">
      <c r="A1087" s="70" t="s">
        <v>90</v>
      </c>
      <c r="I1087" s="72" t="s">
        <v>91</v>
      </c>
      <c r="J1087" s="73"/>
      <c r="K1087" s="73"/>
      <c r="L1087" s="74"/>
      <c r="N1087" s="72" t="s">
        <v>992</v>
      </c>
      <c r="O1087" s="73"/>
      <c r="P1087" s="73"/>
      <c r="Q1087" s="74"/>
    </row>
    <row r="1088" ht="14.25" hidden="1" customHeight="1" outlineLevel="2">
      <c r="A1088" s="102">
        <v>45931.0</v>
      </c>
      <c r="B1088" s="97">
        <f>A1088</f>
        <v>45931</v>
      </c>
      <c r="C1088" s="313">
        <v>0.2916666666666667</v>
      </c>
      <c r="D1088" s="242" t="s">
        <v>119</v>
      </c>
      <c r="E1088" s="275">
        <v>24.0</v>
      </c>
      <c r="F1088" s="242" t="s">
        <v>219</v>
      </c>
      <c r="G1088" s="244"/>
      <c r="I1088" s="81" t="s">
        <v>6</v>
      </c>
      <c r="J1088" s="84" t="s">
        <v>115</v>
      </c>
      <c r="K1088" s="84" t="s">
        <v>9</v>
      </c>
      <c r="L1088" s="81" t="s">
        <v>13</v>
      </c>
      <c r="M1088" s="51"/>
      <c r="N1088" s="81" t="s">
        <v>6</v>
      </c>
      <c r="O1088" s="84" t="s">
        <v>115</v>
      </c>
      <c r="P1088" s="84" t="s">
        <v>9</v>
      </c>
      <c r="Q1088" s="81" t="s">
        <v>13</v>
      </c>
    </row>
    <row r="1089" ht="14.25" hidden="1" customHeight="1" outlineLevel="2">
      <c r="A1089" s="58"/>
      <c r="B1089" s="58"/>
      <c r="C1089" s="313">
        <v>0.5069444444444444</v>
      </c>
      <c r="D1089" s="242" t="s">
        <v>1064</v>
      </c>
      <c r="E1089" s="275">
        <v>20.0</v>
      </c>
      <c r="F1089" s="242" t="s">
        <v>1102</v>
      </c>
      <c r="G1089" s="244"/>
      <c r="I1089" s="86">
        <v>45938.0</v>
      </c>
      <c r="J1089" s="88">
        <f t="shared" ref="J1089:J1092" si="150">I1089</f>
        <v>45938</v>
      </c>
      <c r="K1089" s="93">
        <v>79.55</v>
      </c>
      <c r="L1089" s="90"/>
      <c r="M1089" s="51"/>
      <c r="N1089" s="86">
        <v>45959.0</v>
      </c>
      <c r="O1089" s="88">
        <f>N1089</f>
        <v>45959</v>
      </c>
      <c r="P1089" s="93">
        <v>3900.0</v>
      </c>
      <c r="Q1089" s="91"/>
    </row>
    <row r="1090" ht="14.25" hidden="1" customHeight="1" outlineLevel="2">
      <c r="A1090" s="10"/>
      <c r="B1090" s="10"/>
      <c r="C1090" s="313">
        <v>0.7916666666666666</v>
      </c>
      <c r="D1090" s="242" t="s">
        <v>1185</v>
      </c>
      <c r="E1090" s="275">
        <v>599.0</v>
      </c>
      <c r="F1090" s="242" t="s">
        <v>566</v>
      </c>
      <c r="G1090" s="242" t="s">
        <v>1264</v>
      </c>
      <c r="I1090" s="86">
        <v>45943.0</v>
      </c>
      <c r="J1090" s="88">
        <f t="shared" si="150"/>
        <v>45943</v>
      </c>
      <c r="K1090" s="93">
        <v>50.0</v>
      </c>
      <c r="L1090" s="90"/>
      <c r="M1090" s="51"/>
      <c r="N1090" s="86"/>
      <c r="O1090" s="88"/>
      <c r="P1090" s="93"/>
      <c r="Q1090" s="91"/>
    </row>
    <row r="1091" ht="14.25" hidden="1" customHeight="1" outlineLevel="2">
      <c r="A1091" s="102">
        <v>45932.0</v>
      </c>
      <c r="B1091" s="97">
        <f>A1091</f>
        <v>45932</v>
      </c>
      <c r="C1091" s="313">
        <v>0.2916666666666667</v>
      </c>
      <c r="D1091" s="242" t="s">
        <v>119</v>
      </c>
      <c r="E1091" s="275">
        <v>99.0</v>
      </c>
      <c r="F1091" s="242" t="s">
        <v>1056</v>
      </c>
      <c r="G1091" s="244"/>
      <c r="I1091" s="86">
        <v>45945.0</v>
      </c>
      <c r="J1091" s="88">
        <f t="shared" si="150"/>
        <v>45945</v>
      </c>
      <c r="K1091" s="93">
        <v>53.5</v>
      </c>
      <c r="L1091" s="90"/>
      <c r="M1091" s="51"/>
      <c r="N1091" s="86"/>
      <c r="O1091" s="88"/>
      <c r="P1091" s="93">
        <v>0.0</v>
      </c>
      <c r="Q1091" s="91"/>
    </row>
    <row r="1092" ht="14.25" hidden="1" customHeight="1" outlineLevel="2">
      <c r="A1092" s="10"/>
      <c r="B1092" s="10"/>
      <c r="C1092" s="313">
        <v>0.5069444444444444</v>
      </c>
      <c r="D1092" s="242" t="s">
        <v>980</v>
      </c>
      <c r="E1092" s="275">
        <v>7.0</v>
      </c>
      <c r="F1092" s="242" t="s">
        <v>1104</v>
      </c>
      <c r="G1092" s="244"/>
      <c r="I1092" s="86">
        <v>45950.0</v>
      </c>
      <c r="J1092" s="88">
        <f t="shared" si="150"/>
        <v>45950</v>
      </c>
      <c r="K1092" s="93">
        <v>46.3</v>
      </c>
      <c r="L1092" s="90"/>
      <c r="M1092" s="51"/>
      <c r="N1092" s="86"/>
      <c r="O1092" s="88"/>
      <c r="P1092" s="93">
        <v>0.0</v>
      </c>
      <c r="Q1092" s="91"/>
    </row>
    <row r="1093" ht="14.25" hidden="1" customHeight="1" outlineLevel="2">
      <c r="A1093" s="102">
        <v>45933.0</v>
      </c>
      <c r="B1093" s="97">
        <f>A1093</f>
        <v>45933</v>
      </c>
      <c r="C1093" s="313">
        <v>0.2916666666666667</v>
      </c>
      <c r="D1093" s="242" t="s">
        <v>236</v>
      </c>
      <c r="E1093" s="275">
        <v>80.0</v>
      </c>
      <c r="F1093" s="242" t="s">
        <v>958</v>
      </c>
      <c r="G1093" s="244"/>
      <c r="I1093" s="86"/>
      <c r="J1093" s="88"/>
      <c r="K1093" s="93"/>
      <c r="L1093" s="90"/>
      <c r="M1093" s="51"/>
      <c r="N1093" s="86"/>
      <c r="O1093" s="88" t="str">
        <f t="shared" ref="O1093:O1096" si="151">N1093</f>
        <v/>
      </c>
      <c r="P1093" s="93">
        <v>0.0</v>
      </c>
      <c r="Q1093" s="91"/>
    </row>
    <row r="1094" ht="14.25" hidden="1" customHeight="1" outlineLevel="2">
      <c r="A1094" s="10"/>
      <c r="B1094" s="10"/>
      <c r="C1094" s="313">
        <v>0.5069444444444444</v>
      </c>
      <c r="D1094" s="242" t="s">
        <v>1062</v>
      </c>
      <c r="E1094" s="275">
        <v>14.0</v>
      </c>
      <c r="F1094" s="242" t="s">
        <v>1082</v>
      </c>
      <c r="G1094" s="244"/>
      <c r="I1094" s="86"/>
      <c r="J1094" s="88"/>
      <c r="K1094" s="93"/>
      <c r="L1094" s="90"/>
      <c r="M1094" s="51"/>
      <c r="N1094" s="86"/>
      <c r="O1094" s="88" t="str">
        <f t="shared" si="151"/>
        <v/>
      </c>
      <c r="P1094" s="93">
        <v>0.0</v>
      </c>
      <c r="Q1094" s="91"/>
    </row>
    <row r="1095" ht="14.25" hidden="1" customHeight="1" outlineLevel="2">
      <c r="A1095" s="125">
        <v>45934.0</v>
      </c>
      <c r="B1095" s="126">
        <f t="shared" ref="B1095:B1096" si="152">A1095</f>
        <v>45934</v>
      </c>
      <c r="C1095" s="313">
        <v>0.3333333333333333</v>
      </c>
      <c r="D1095" s="242" t="s">
        <v>456</v>
      </c>
      <c r="E1095" s="275">
        <v>385.0</v>
      </c>
      <c r="F1095" s="242" t="s">
        <v>703</v>
      </c>
      <c r="G1095" s="244"/>
      <c r="I1095" s="86"/>
      <c r="J1095" s="88"/>
      <c r="K1095" s="93"/>
      <c r="L1095" s="90"/>
      <c r="M1095" s="51"/>
      <c r="N1095" s="86"/>
      <c r="O1095" s="88" t="str">
        <f t="shared" si="151"/>
        <v/>
      </c>
      <c r="P1095" s="93">
        <v>0.0</v>
      </c>
      <c r="Q1095" s="91"/>
    </row>
    <row r="1096" ht="14.25" hidden="1" customHeight="1" outlineLevel="2">
      <c r="A1096" s="102">
        <v>45935.0</v>
      </c>
      <c r="B1096" s="97">
        <f t="shared" si="152"/>
        <v>45935</v>
      </c>
      <c r="C1096" s="313">
        <v>0.3333333333333333</v>
      </c>
      <c r="D1096" s="242" t="s">
        <v>980</v>
      </c>
      <c r="E1096" s="275">
        <v>440.0</v>
      </c>
      <c r="F1096" s="242" t="s">
        <v>913</v>
      </c>
      <c r="G1096" s="244"/>
      <c r="I1096" s="86"/>
      <c r="J1096" s="88"/>
      <c r="K1096" s="92"/>
      <c r="L1096" s="90"/>
      <c r="M1096" s="51"/>
      <c r="N1096" s="86"/>
      <c r="O1096" s="88" t="str">
        <f t="shared" si="151"/>
        <v/>
      </c>
      <c r="P1096" s="93">
        <v>0.0</v>
      </c>
      <c r="Q1096" s="91"/>
    </row>
    <row r="1097" ht="14.25" hidden="1" customHeight="1" outlineLevel="2">
      <c r="A1097" s="58"/>
      <c r="B1097" s="58"/>
      <c r="C1097" s="313">
        <v>0.4583333333333333</v>
      </c>
      <c r="D1097" s="242" t="s">
        <v>456</v>
      </c>
      <c r="E1097" s="275">
        <v>652.0</v>
      </c>
      <c r="F1097" s="242" t="s">
        <v>1266</v>
      </c>
      <c r="G1097" s="244"/>
      <c r="I1097" s="86"/>
      <c r="J1097" s="88"/>
      <c r="K1097" s="92"/>
      <c r="L1097" s="90"/>
      <c r="M1097" s="51"/>
      <c r="N1097" s="165" t="s">
        <v>195</v>
      </c>
      <c r="O1097" s="165"/>
      <c r="P1097" s="291">
        <f>SUM(P1089:P1093)</f>
        <v>3900</v>
      </c>
      <c r="Q1097" s="114"/>
    </row>
    <row r="1098" ht="14.25" hidden="1" customHeight="1" outlineLevel="2">
      <c r="A1098" s="10"/>
      <c r="B1098" s="10"/>
      <c r="C1098" s="313">
        <v>0.7708333333333334</v>
      </c>
      <c r="D1098" s="242" t="s">
        <v>413</v>
      </c>
      <c r="E1098" s="275">
        <v>69.0</v>
      </c>
      <c r="F1098" s="242" t="s">
        <v>1267</v>
      </c>
      <c r="G1098" s="244"/>
      <c r="I1098" s="108" t="s">
        <v>195</v>
      </c>
      <c r="J1098" s="109"/>
      <c r="K1098" s="113">
        <f>SUM(K1089:K1097)</f>
        <v>229.35</v>
      </c>
      <c r="L1098" s="114"/>
      <c r="M1098" s="51"/>
    </row>
    <row r="1099" ht="14.25" hidden="1" customHeight="1" outlineLevel="2">
      <c r="A1099" s="102">
        <v>45936.0</v>
      </c>
      <c r="B1099" s="97">
        <f>A1099</f>
        <v>45936</v>
      </c>
      <c r="C1099" s="313">
        <v>0.2916666666666667</v>
      </c>
      <c r="D1099" s="242" t="s">
        <v>119</v>
      </c>
      <c r="E1099" s="275">
        <v>72.0</v>
      </c>
      <c r="F1099" s="242" t="s">
        <v>842</v>
      </c>
      <c r="G1099" s="244"/>
      <c r="N1099" s="235" t="s">
        <v>344</v>
      </c>
      <c r="O1099" s="27"/>
      <c r="P1099" s="27"/>
      <c r="Q1099" s="28"/>
    </row>
    <row r="1100" ht="14.25" hidden="1" customHeight="1" outlineLevel="2">
      <c r="A1100" s="58"/>
      <c r="B1100" s="58"/>
      <c r="C1100" s="313">
        <v>0.5069444444444444</v>
      </c>
      <c r="D1100" s="242" t="s">
        <v>1062</v>
      </c>
      <c r="E1100" s="275">
        <v>35.0</v>
      </c>
      <c r="F1100" s="242" t="s">
        <v>1005</v>
      </c>
      <c r="G1100" s="244"/>
      <c r="N1100" s="81" t="s">
        <v>6</v>
      </c>
      <c r="O1100" s="84" t="s">
        <v>115</v>
      </c>
      <c r="P1100" s="84" t="s">
        <v>9</v>
      </c>
      <c r="Q1100" s="81" t="s">
        <v>13</v>
      </c>
    </row>
    <row r="1101" ht="14.25" hidden="1" customHeight="1" outlineLevel="2">
      <c r="A1101" s="10"/>
      <c r="B1101" s="10"/>
      <c r="C1101" s="313">
        <v>0.7916666666666666</v>
      </c>
      <c r="D1101" s="242" t="s">
        <v>296</v>
      </c>
      <c r="E1101" s="275">
        <v>111.0</v>
      </c>
      <c r="F1101" s="242" t="s">
        <v>1268</v>
      </c>
      <c r="G1101" s="242" t="s">
        <v>1269</v>
      </c>
      <c r="N1101" s="86">
        <v>45931.0</v>
      </c>
      <c r="O1101" s="88">
        <f t="shared" ref="O1101:O1102" si="153">N1101</f>
        <v>45931</v>
      </c>
      <c r="P1101" s="93">
        <v>0.0</v>
      </c>
      <c r="Q1101" s="91"/>
    </row>
    <row r="1102" ht="14.25" hidden="1" customHeight="1" outlineLevel="2">
      <c r="A1102" s="102">
        <v>45937.0</v>
      </c>
      <c r="B1102" s="97">
        <f>A1102</f>
        <v>45937</v>
      </c>
      <c r="C1102" s="313">
        <v>0.2916666666666667</v>
      </c>
      <c r="D1102" s="242" t="s">
        <v>236</v>
      </c>
      <c r="E1102" s="275">
        <v>35.0</v>
      </c>
      <c r="F1102" s="242" t="s">
        <v>218</v>
      </c>
      <c r="G1102" s="244"/>
      <c r="N1102" s="86">
        <v>45931.0</v>
      </c>
      <c r="O1102" s="88">
        <f t="shared" si="153"/>
        <v>45931</v>
      </c>
      <c r="P1102" s="93">
        <v>0.0</v>
      </c>
      <c r="Q1102" s="91"/>
    </row>
    <row r="1103" ht="14.25" hidden="1" customHeight="1" outlineLevel="2">
      <c r="A1103" s="10"/>
      <c r="B1103" s="10"/>
      <c r="C1103" s="313">
        <v>0.5069444444444444</v>
      </c>
      <c r="D1103" s="242" t="s">
        <v>456</v>
      </c>
      <c r="E1103" s="275">
        <v>52.0</v>
      </c>
      <c r="F1103" s="242" t="s">
        <v>1271</v>
      </c>
      <c r="G1103" s="244"/>
      <c r="N1103" s="165" t="s">
        <v>195</v>
      </c>
      <c r="O1103" s="165"/>
      <c r="P1103" s="282">
        <f>SUM(P1099:P1102)</f>
        <v>0</v>
      </c>
      <c r="Q1103" s="114"/>
    </row>
    <row r="1104" ht="14.25" hidden="1" customHeight="1" outlineLevel="2">
      <c r="A1104" s="102">
        <v>45938.0</v>
      </c>
      <c r="B1104" s="97">
        <f>A1104</f>
        <v>45938</v>
      </c>
      <c r="C1104" s="313">
        <v>0.2916666666666667</v>
      </c>
      <c r="D1104" s="242" t="s">
        <v>119</v>
      </c>
      <c r="E1104" s="275">
        <v>48.0</v>
      </c>
      <c r="F1104" s="242" t="s">
        <v>219</v>
      </c>
      <c r="G1104" s="244"/>
    </row>
    <row r="1105" ht="14.25" hidden="1" customHeight="1" outlineLevel="2">
      <c r="A1105" s="10"/>
      <c r="B1105" s="10"/>
      <c r="C1105" s="313">
        <v>0.5069444444444444</v>
      </c>
      <c r="D1105" s="242" t="s">
        <v>1064</v>
      </c>
      <c r="E1105" s="275">
        <v>12.0</v>
      </c>
      <c r="F1105" s="242" t="s">
        <v>1102</v>
      </c>
      <c r="G1105" s="244"/>
    </row>
    <row r="1106" ht="14.25" hidden="1" customHeight="1" outlineLevel="2">
      <c r="A1106" s="102">
        <v>45939.0</v>
      </c>
      <c r="B1106" s="97">
        <f>A1106</f>
        <v>45939</v>
      </c>
      <c r="C1106" s="313">
        <v>0.2916666666666667</v>
      </c>
      <c r="D1106" s="242" t="s">
        <v>119</v>
      </c>
      <c r="E1106" s="275">
        <v>29.0</v>
      </c>
      <c r="F1106" s="242" t="s">
        <v>1272</v>
      </c>
      <c r="G1106" s="244"/>
    </row>
    <row r="1107" ht="14.25" hidden="1" customHeight="1" outlineLevel="2">
      <c r="A1107" s="10"/>
      <c r="B1107" s="10"/>
      <c r="C1107" s="313">
        <v>0.5069444444444444</v>
      </c>
      <c r="D1107" s="242" t="s">
        <v>980</v>
      </c>
      <c r="E1107" s="275">
        <v>27.0</v>
      </c>
      <c r="F1107" s="242" t="s">
        <v>1104</v>
      </c>
      <c r="G1107" s="244"/>
    </row>
    <row r="1108" ht="14.25" hidden="1" customHeight="1" outlineLevel="2">
      <c r="A1108" s="102">
        <v>45940.0</v>
      </c>
      <c r="B1108" s="97">
        <f>A1108</f>
        <v>45940</v>
      </c>
      <c r="C1108" s="313">
        <v>0.2916666666666667</v>
      </c>
      <c r="D1108" s="242" t="s">
        <v>236</v>
      </c>
      <c r="E1108" s="275">
        <v>97.0</v>
      </c>
      <c r="F1108" s="242" t="s">
        <v>1135</v>
      </c>
      <c r="G1108" s="244"/>
    </row>
    <row r="1109" ht="14.25" hidden="1" customHeight="1" outlineLevel="2">
      <c r="A1109" s="10"/>
      <c r="B1109" s="10"/>
      <c r="C1109" s="313">
        <v>0.5069444444444444</v>
      </c>
      <c r="D1109" s="242" t="s">
        <v>1064</v>
      </c>
      <c r="E1109" s="275">
        <v>19.0</v>
      </c>
      <c r="F1109" s="242" t="s">
        <v>426</v>
      </c>
      <c r="G1109" s="244"/>
    </row>
    <row r="1110" ht="14.25" hidden="1" customHeight="1" outlineLevel="2">
      <c r="A1110" s="125">
        <v>45941.0</v>
      </c>
      <c r="B1110" s="126">
        <f t="shared" ref="B1110:B1111" si="154">A1110</f>
        <v>45941</v>
      </c>
      <c r="C1110" s="313">
        <v>0.3333333333333333</v>
      </c>
      <c r="D1110" s="242" t="s">
        <v>1277</v>
      </c>
      <c r="E1110" s="275">
        <v>54.0</v>
      </c>
      <c r="F1110" s="242" t="s">
        <v>1168</v>
      </c>
      <c r="G1110" s="244"/>
    </row>
    <row r="1111" ht="14.25" hidden="1" customHeight="1" outlineLevel="2">
      <c r="A1111" s="102">
        <v>45942.0</v>
      </c>
      <c r="B1111" s="97">
        <f t="shared" si="154"/>
        <v>45942</v>
      </c>
      <c r="C1111" s="313">
        <v>0.3333333333333333</v>
      </c>
      <c r="D1111" s="242" t="s">
        <v>490</v>
      </c>
      <c r="E1111" s="275">
        <v>283.0</v>
      </c>
      <c r="F1111" s="242" t="s">
        <v>1279</v>
      </c>
      <c r="G1111" s="244"/>
    </row>
    <row r="1112" ht="14.25" hidden="1" customHeight="1" outlineLevel="2">
      <c r="A1112" s="58"/>
      <c r="B1112" s="58"/>
      <c r="C1112" s="313">
        <v>0.4583333333333333</v>
      </c>
      <c r="D1112" s="242" t="s">
        <v>1281</v>
      </c>
      <c r="E1112" s="275">
        <v>245.0</v>
      </c>
      <c r="F1112" s="242" t="s">
        <v>1282</v>
      </c>
      <c r="G1112" s="244"/>
    </row>
    <row r="1113" ht="14.25" hidden="1" customHeight="1" outlineLevel="2">
      <c r="A1113" s="10"/>
      <c r="B1113" s="10"/>
      <c r="C1113" s="313">
        <v>0.7708333333333334</v>
      </c>
      <c r="D1113" s="242" t="s">
        <v>342</v>
      </c>
      <c r="E1113" s="275">
        <v>216.0</v>
      </c>
      <c r="F1113" s="242" t="s">
        <v>1283</v>
      </c>
      <c r="G1113" s="244"/>
    </row>
    <row r="1114" ht="14.25" hidden="1" customHeight="1" outlineLevel="2">
      <c r="A1114" s="102">
        <v>45943.0</v>
      </c>
      <c r="B1114" s="97">
        <f>A1114</f>
        <v>45943</v>
      </c>
      <c r="C1114" s="313">
        <v>0.2916666666666667</v>
      </c>
      <c r="D1114" s="242" t="s">
        <v>119</v>
      </c>
      <c r="E1114" s="275">
        <v>82.0</v>
      </c>
      <c r="F1114" s="242" t="s">
        <v>842</v>
      </c>
      <c r="G1114" s="244"/>
    </row>
    <row r="1115" ht="14.25" hidden="1" customHeight="1" outlineLevel="2">
      <c r="A1115" s="58"/>
      <c r="B1115" s="58"/>
      <c r="C1115" s="313">
        <v>0.5069444444444444</v>
      </c>
      <c r="D1115" s="242" t="s">
        <v>1185</v>
      </c>
      <c r="E1115" s="275">
        <v>47.0</v>
      </c>
      <c r="F1115" s="242" t="s">
        <v>1249</v>
      </c>
      <c r="G1115" s="244"/>
    </row>
    <row r="1116" ht="14.25" hidden="1" customHeight="1" outlineLevel="2">
      <c r="A1116" s="10"/>
      <c r="B1116" s="10"/>
      <c r="C1116" s="313">
        <v>0.7916666666666666</v>
      </c>
      <c r="D1116" s="242" t="s">
        <v>265</v>
      </c>
      <c r="E1116" s="275">
        <v>335.0</v>
      </c>
      <c r="F1116" s="242" t="s">
        <v>1101</v>
      </c>
      <c r="G1116" s="244"/>
    </row>
    <row r="1117" ht="14.25" hidden="1" customHeight="1" outlineLevel="2">
      <c r="A1117" s="102">
        <v>45944.0</v>
      </c>
      <c r="B1117" s="97">
        <f>A1117</f>
        <v>45944</v>
      </c>
      <c r="C1117" s="313">
        <v>0.2916666666666667</v>
      </c>
      <c r="D1117" s="242" t="s">
        <v>236</v>
      </c>
      <c r="E1117" s="275">
        <v>40.0</v>
      </c>
      <c r="F1117" s="242" t="s">
        <v>1159</v>
      </c>
      <c r="G1117" s="244"/>
    </row>
    <row r="1118" ht="14.25" hidden="1" customHeight="1" outlineLevel="2">
      <c r="A1118" s="10"/>
      <c r="B1118" s="10"/>
      <c r="C1118" s="313">
        <v>0.5069444444444444</v>
      </c>
      <c r="D1118" s="242" t="s">
        <v>456</v>
      </c>
      <c r="E1118" s="275">
        <v>36.0</v>
      </c>
      <c r="F1118" s="242" t="s">
        <v>1284</v>
      </c>
      <c r="G1118" s="244"/>
    </row>
    <row r="1119" ht="14.25" hidden="1" customHeight="1" outlineLevel="2">
      <c r="A1119" s="102">
        <v>45945.0</v>
      </c>
      <c r="B1119" s="97">
        <f>A1119</f>
        <v>45945</v>
      </c>
      <c r="C1119" s="313">
        <v>0.2916666666666667</v>
      </c>
      <c r="D1119" s="242" t="s">
        <v>119</v>
      </c>
      <c r="E1119" s="275">
        <v>92.0</v>
      </c>
      <c r="F1119" s="242" t="s">
        <v>219</v>
      </c>
      <c r="G1119" s="244"/>
    </row>
    <row r="1120" ht="14.25" hidden="1" customHeight="1" outlineLevel="2">
      <c r="A1120" s="10"/>
      <c r="B1120" s="10"/>
      <c r="C1120" s="313">
        <v>0.5069444444444444</v>
      </c>
      <c r="D1120" s="242" t="s">
        <v>1064</v>
      </c>
      <c r="E1120" s="275">
        <v>77.0</v>
      </c>
      <c r="F1120" s="242" t="s">
        <v>153</v>
      </c>
      <c r="G1120" s="244"/>
    </row>
    <row r="1121" ht="14.25" hidden="1" customHeight="1" outlineLevel="2">
      <c r="A1121" s="102">
        <v>45946.0</v>
      </c>
      <c r="B1121" s="97">
        <f>A1121</f>
        <v>45946</v>
      </c>
      <c r="C1121" s="313">
        <v>0.2916666666666667</v>
      </c>
      <c r="D1121" s="242" t="s">
        <v>119</v>
      </c>
      <c r="E1121" s="275">
        <v>44.0</v>
      </c>
      <c r="F1121" s="242" t="s">
        <v>414</v>
      </c>
      <c r="G1121" s="244"/>
    </row>
    <row r="1122" ht="14.25" hidden="1" customHeight="1" outlineLevel="2">
      <c r="A1122" s="10"/>
      <c r="B1122" s="10"/>
      <c r="C1122" s="313">
        <v>0.5069444444444444</v>
      </c>
      <c r="D1122" s="242" t="s">
        <v>980</v>
      </c>
      <c r="E1122" s="275">
        <v>17.0</v>
      </c>
      <c r="F1122" s="242" t="s">
        <v>1287</v>
      </c>
      <c r="G1122" s="244"/>
    </row>
    <row r="1123" ht="14.25" hidden="1" customHeight="1" outlineLevel="2">
      <c r="A1123" s="102">
        <v>45947.0</v>
      </c>
      <c r="B1123" s="97">
        <f>A1123</f>
        <v>45947</v>
      </c>
      <c r="C1123" s="313">
        <v>0.2916666666666667</v>
      </c>
      <c r="D1123" s="242" t="s">
        <v>296</v>
      </c>
      <c r="E1123" s="275">
        <v>75.0</v>
      </c>
      <c r="F1123" s="242" t="s">
        <v>1126</v>
      </c>
      <c r="G1123" s="244"/>
    </row>
    <row r="1124" ht="14.25" hidden="1" customHeight="1" outlineLevel="2">
      <c r="A1124" s="10"/>
      <c r="B1124" s="10"/>
      <c r="C1124" s="313">
        <v>0.5069444444444444</v>
      </c>
      <c r="D1124" s="242" t="s">
        <v>1062</v>
      </c>
      <c r="E1124" s="275">
        <v>27.0</v>
      </c>
      <c r="F1124" s="242" t="s">
        <v>1158</v>
      </c>
      <c r="G1124" s="244"/>
    </row>
    <row r="1125" ht="14.25" hidden="1" customHeight="1" outlineLevel="2">
      <c r="A1125" s="125">
        <v>45948.0</v>
      </c>
      <c r="B1125" s="126">
        <f t="shared" ref="B1125:B1126" si="155">A1125</f>
        <v>45948</v>
      </c>
      <c r="C1125" s="313">
        <v>0.3333333333333333</v>
      </c>
      <c r="D1125" s="242" t="s">
        <v>1288</v>
      </c>
      <c r="E1125" s="275">
        <v>145.0</v>
      </c>
      <c r="F1125" s="242" t="s">
        <v>1239</v>
      </c>
      <c r="G1125" s="244"/>
    </row>
    <row r="1126" ht="14.25" hidden="1" customHeight="1" outlineLevel="2">
      <c r="A1126" s="102">
        <v>45949.0</v>
      </c>
      <c r="B1126" s="97">
        <f t="shared" si="155"/>
        <v>45949</v>
      </c>
      <c r="C1126" s="313">
        <v>0.3333333333333333</v>
      </c>
      <c r="D1126" s="242" t="s">
        <v>456</v>
      </c>
      <c r="E1126" s="275">
        <v>201.0</v>
      </c>
      <c r="F1126" s="242" t="s">
        <v>1289</v>
      </c>
      <c r="G1126" s="244"/>
    </row>
    <row r="1127" ht="14.25" hidden="1" customHeight="1" outlineLevel="2">
      <c r="A1127" s="58"/>
      <c r="B1127" s="58"/>
      <c r="C1127" s="313">
        <v>0.4583333333333333</v>
      </c>
      <c r="D1127" s="242" t="s">
        <v>1185</v>
      </c>
      <c r="E1127" s="275">
        <v>170.0</v>
      </c>
      <c r="F1127" s="242" t="s">
        <v>1290</v>
      </c>
      <c r="G1127" s="244"/>
    </row>
    <row r="1128" ht="14.25" hidden="1" customHeight="1" outlineLevel="2">
      <c r="A1128" s="10"/>
      <c r="B1128" s="10"/>
      <c r="C1128" s="313">
        <v>0.7708333333333334</v>
      </c>
      <c r="D1128" s="242" t="s">
        <v>820</v>
      </c>
      <c r="E1128" s="275">
        <v>529.0</v>
      </c>
      <c r="F1128" s="242" t="s">
        <v>1128</v>
      </c>
      <c r="G1128" s="244"/>
    </row>
    <row r="1129" ht="14.25" hidden="1" customHeight="1" outlineLevel="2">
      <c r="A1129" s="102">
        <v>45950.0</v>
      </c>
      <c r="B1129" s="97">
        <f>A1129</f>
        <v>45950</v>
      </c>
      <c r="C1129" s="313">
        <v>0.2916666666666667</v>
      </c>
      <c r="D1129" s="242" t="s">
        <v>119</v>
      </c>
      <c r="E1129" s="275">
        <v>141.0</v>
      </c>
      <c r="F1129" s="242" t="s">
        <v>516</v>
      </c>
      <c r="G1129" s="244"/>
    </row>
    <row r="1130" ht="14.25" hidden="1" customHeight="1" outlineLevel="2">
      <c r="A1130" s="10"/>
      <c r="B1130" s="10"/>
      <c r="C1130" s="313">
        <v>0.5069444444444444</v>
      </c>
      <c r="D1130" s="242" t="s">
        <v>1062</v>
      </c>
      <c r="E1130" s="275">
        <v>80.0</v>
      </c>
      <c r="F1130" s="242" t="s">
        <v>300</v>
      </c>
      <c r="G1130" s="244"/>
    </row>
    <row r="1131" ht="14.25" hidden="1" customHeight="1" outlineLevel="2">
      <c r="A1131" s="102">
        <v>45951.0</v>
      </c>
      <c r="B1131" s="97">
        <f>A1131</f>
        <v>45951</v>
      </c>
      <c r="C1131" s="313">
        <v>0.2916666666666667</v>
      </c>
      <c r="D1131" s="242" t="s">
        <v>236</v>
      </c>
      <c r="E1131" s="275">
        <v>61.0</v>
      </c>
      <c r="F1131" s="242" t="s">
        <v>218</v>
      </c>
      <c r="G1131" s="244"/>
    </row>
    <row r="1132" ht="14.25" hidden="1" customHeight="1" outlineLevel="2">
      <c r="A1132" s="10"/>
      <c r="B1132" s="10"/>
      <c r="C1132" s="313">
        <v>0.5069444444444444</v>
      </c>
      <c r="D1132" s="242" t="s">
        <v>456</v>
      </c>
      <c r="E1132" s="275">
        <v>59.0</v>
      </c>
      <c r="F1132" s="242" t="s">
        <v>1235</v>
      </c>
      <c r="G1132" s="244"/>
    </row>
    <row r="1133" ht="14.25" hidden="1" customHeight="1" outlineLevel="2">
      <c r="A1133" s="102">
        <v>45952.0</v>
      </c>
      <c r="B1133" s="97">
        <f>A1133</f>
        <v>45952</v>
      </c>
      <c r="C1133" s="313">
        <v>0.2916666666666667</v>
      </c>
      <c r="D1133" s="242" t="s">
        <v>119</v>
      </c>
      <c r="E1133" s="275">
        <v>29.0</v>
      </c>
      <c r="F1133" s="242" t="s">
        <v>219</v>
      </c>
      <c r="G1133" s="244"/>
    </row>
    <row r="1134" ht="14.25" hidden="1" customHeight="1" outlineLevel="2">
      <c r="A1134" s="58"/>
      <c r="B1134" s="58"/>
      <c r="C1134" s="313">
        <v>0.5069444444444444</v>
      </c>
      <c r="D1134" s="242" t="s">
        <v>1064</v>
      </c>
      <c r="E1134" s="275">
        <v>22.0</v>
      </c>
      <c r="F1134" s="242" t="s">
        <v>1297</v>
      </c>
      <c r="G1134" s="244"/>
    </row>
    <row r="1135" ht="14.25" hidden="1" customHeight="1" outlineLevel="2">
      <c r="A1135" s="10"/>
      <c r="B1135" s="10"/>
      <c r="C1135" s="313">
        <v>0.7916666666666666</v>
      </c>
      <c r="D1135" s="242" t="s">
        <v>1185</v>
      </c>
      <c r="E1135" s="275">
        <v>188.0</v>
      </c>
      <c r="F1135" s="242" t="s">
        <v>285</v>
      </c>
      <c r="G1135" s="244"/>
    </row>
    <row r="1136" ht="14.25" hidden="1" customHeight="1" outlineLevel="2">
      <c r="A1136" s="102">
        <v>45953.0</v>
      </c>
      <c r="B1136" s="97">
        <f>A1136</f>
        <v>45953</v>
      </c>
      <c r="C1136" s="313">
        <v>0.2916666666666667</v>
      </c>
      <c r="D1136" s="242" t="s">
        <v>119</v>
      </c>
      <c r="E1136" s="275">
        <v>25.0</v>
      </c>
      <c r="F1136" s="242" t="s">
        <v>1298</v>
      </c>
      <c r="G1136" s="244"/>
    </row>
    <row r="1137" ht="14.25" hidden="1" customHeight="1" outlineLevel="2">
      <c r="A1137" s="10"/>
      <c r="B1137" s="10"/>
      <c r="C1137" s="313">
        <v>0.5069444444444444</v>
      </c>
      <c r="D1137" s="242" t="s">
        <v>980</v>
      </c>
      <c r="E1137" s="275">
        <v>74.0</v>
      </c>
      <c r="F1137" s="242" t="s">
        <v>1104</v>
      </c>
      <c r="G1137" s="244"/>
    </row>
    <row r="1138" ht="14.25" hidden="1" customHeight="1" outlineLevel="2">
      <c r="A1138" s="102">
        <v>45954.0</v>
      </c>
      <c r="B1138" s="97">
        <f>A1138</f>
        <v>45954</v>
      </c>
      <c r="C1138" s="313">
        <v>0.2916666666666667</v>
      </c>
      <c r="D1138" s="242" t="s">
        <v>236</v>
      </c>
      <c r="E1138" s="275">
        <v>100.0</v>
      </c>
      <c r="F1138" s="242" t="s">
        <v>894</v>
      </c>
      <c r="G1138" s="244"/>
    </row>
    <row r="1139" ht="14.25" hidden="1" customHeight="1" outlineLevel="2">
      <c r="A1139" s="58"/>
      <c r="B1139" s="58"/>
      <c r="C1139" s="313">
        <v>0.5069444444444444</v>
      </c>
      <c r="D1139" s="242" t="s">
        <v>1062</v>
      </c>
      <c r="E1139" s="275">
        <v>49.0</v>
      </c>
      <c r="F1139" s="242" t="s">
        <v>219</v>
      </c>
      <c r="G1139" s="244"/>
    </row>
    <row r="1140" ht="14.25" hidden="1" customHeight="1" outlineLevel="2">
      <c r="A1140" s="10"/>
      <c r="B1140" s="10"/>
      <c r="C1140" s="313">
        <v>0.8125</v>
      </c>
      <c r="D1140" s="242" t="s">
        <v>1251</v>
      </c>
      <c r="E1140" s="275">
        <v>69.0</v>
      </c>
      <c r="F1140" s="242" t="s">
        <v>727</v>
      </c>
      <c r="G1140" s="244"/>
    </row>
    <row r="1141" ht="14.25" hidden="1" customHeight="1" outlineLevel="2">
      <c r="A1141" s="125">
        <v>45955.0</v>
      </c>
      <c r="B1141" s="126">
        <f t="shared" ref="B1141:B1142" si="156">A1141</f>
        <v>45955</v>
      </c>
      <c r="C1141" s="313">
        <v>0.3333333333333333</v>
      </c>
      <c r="D1141" s="242" t="s">
        <v>119</v>
      </c>
      <c r="E1141" s="275">
        <v>60.0</v>
      </c>
      <c r="F1141" s="242" t="s">
        <v>802</v>
      </c>
      <c r="G1141" s="244"/>
    </row>
    <row r="1142" ht="14.25" hidden="1" customHeight="1" outlineLevel="2">
      <c r="A1142" s="102">
        <v>45956.0</v>
      </c>
      <c r="B1142" s="97">
        <f t="shared" si="156"/>
        <v>45956</v>
      </c>
      <c r="C1142" s="313">
        <v>0.3333333333333333</v>
      </c>
      <c r="D1142" s="242" t="s">
        <v>1299</v>
      </c>
      <c r="E1142" s="275">
        <v>1960.0</v>
      </c>
      <c r="F1142" s="242" t="s">
        <v>438</v>
      </c>
      <c r="G1142" s="242" t="s">
        <v>1300</v>
      </c>
    </row>
    <row r="1143" ht="14.25" hidden="1" customHeight="1" outlineLevel="2">
      <c r="A1143" s="58"/>
      <c r="B1143" s="58"/>
      <c r="C1143" s="313">
        <v>0.4583333333333333</v>
      </c>
      <c r="D1143" s="242" t="s">
        <v>980</v>
      </c>
      <c r="E1143" s="275">
        <v>77.0</v>
      </c>
      <c r="F1143" s="242" t="s">
        <v>438</v>
      </c>
      <c r="G1143" s="244"/>
    </row>
    <row r="1144" ht="14.25" hidden="1" customHeight="1" outlineLevel="2">
      <c r="A1144" s="10"/>
      <c r="B1144" s="10"/>
      <c r="C1144" s="313">
        <v>0.7708333333333334</v>
      </c>
      <c r="D1144" s="338" t="s">
        <v>1301</v>
      </c>
      <c r="E1144" s="275">
        <v>180.0</v>
      </c>
      <c r="F1144" s="242" t="s">
        <v>1303</v>
      </c>
      <c r="G1144" s="244"/>
    </row>
    <row r="1145" ht="14.25" hidden="1" customHeight="1" outlineLevel="2">
      <c r="A1145" s="102">
        <v>45957.0</v>
      </c>
      <c r="B1145" s="97">
        <f>A1145</f>
        <v>45957</v>
      </c>
      <c r="C1145" s="313">
        <v>0.2916666666666667</v>
      </c>
      <c r="D1145" s="242" t="s">
        <v>119</v>
      </c>
      <c r="E1145" s="275">
        <v>116.0</v>
      </c>
      <c r="F1145" s="242" t="s">
        <v>414</v>
      </c>
      <c r="G1145" s="244"/>
    </row>
    <row r="1146" ht="14.25" hidden="1" customHeight="1" outlineLevel="2">
      <c r="A1146" s="10"/>
      <c r="B1146" s="10"/>
      <c r="C1146" s="313">
        <v>0.5069444444444444</v>
      </c>
      <c r="D1146" s="242" t="s">
        <v>296</v>
      </c>
      <c r="E1146" s="275">
        <v>23.0</v>
      </c>
      <c r="F1146" s="242" t="s">
        <v>428</v>
      </c>
      <c r="G1146" s="244"/>
    </row>
    <row r="1147" ht="14.25" hidden="1" customHeight="1" outlineLevel="2">
      <c r="A1147" s="102">
        <v>45958.0</v>
      </c>
      <c r="B1147" s="97">
        <f>A1147</f>
        <v>45958</v>
      </c>
      <c r="C1147" s="313">
        <v>0.2916666666666667</v>
      </c>
      <c r="D1147" s="242" t="s">
        <v>236</v>
      </c>
      <c r="E1147" s="275">
        <v>97.0</v>
      </c>
      <c r="F1147" s="242" t="s">
        <v>1304</v>
      </c>
      <c r="G1147" s="244"/>
    </row>
    <row r="1148" ht="14.25" hidden="1" customHeight="1" outlineLevel="2">
      <c r="A1148" s="10"/>
      <c r="B1148" s="10"/>
      <c r="C1148" s="313">
        <v>0.5069444444444444</v>
      </c>
      <c r="D1148" s="242" t="s">
        <v>456</v>
      </c>
      <c r="E1148" s="275">
        <v>21.0</v>
      </c>
      <c r="F1148" s="242" t="s">
        <v>1235</v>
      </c>
      <c r="G1148" s="244"/>
    </row>
    <row r="1149" ht="14.25" hidden="1" customHeight="1" outlineLevel="2">
      <c r="A1149" s="102">
        <v>45959.0</v>
      </c>
      <c r="B1149" s="97">
        <f>A1149</f>
        <v>45959</v>
      </c>
      <c r="C1149" s="313">
        <v>0.2916666666666667</v>
      </c>
      <c r="D1149" s="242" t="s">
        <v>119</v>
      </c>
      <c r="E1149" s="275">
        <v>62.0</v>
      </c>
      <c r="F1149" s="242" t="s">
        <v>1305</v>
      </c>
      <c r="G1149" s="244"/>
    </row>
    <row r="1150" ht="14.25" hidden="1" customHeight="1" outlineLevel="2">
      <c r="A1150" s="10"/>
      <c r="B1150" s="10"/>
      <c r="C1150" s="313">
        <v>0.5069444444444444</v>
      </c>
      <c r="D1150" s="242" t="s">
        <v>1064</v>
      </c>
      <c r="E1150" s="275">
        <v>129.0</v>
      </c>
      <c r="F1150" s="242" t="s">
        <v>1102</v>
      </c>
      <c r="G1150" s="244"/>
    </row>
    <row r="1151" ht="14.25" hidden="1" customHeight="1" outlineLevel="2">
      <c r="A1151" s="102">
        <v>45960.0</v>
      </c>
      <c r="B1151" s="97">
        <f>A1151</f>
        <v>45960</v>
      </c>
      <c r="C1151" s="313">
        <v>0.2916666666666667</v>
      </c>
      <c r="D1151" s="242" t="s">
        <v>119</v>
      </c>
      <c r="E1151" s="275">
        <v>27.0</v>
      </c>
      <c r="F1151" s="242" t="s">
        <v>956</v>
      </c>
      <c r="G1151" s="244"/>
    </row>
    <row r="1152" ht="14.25" hidden="1" customHeight="1" outlineLevel="2">
      <c r="A1152" s="10"/>
      <c r="B1152" s="10"/>
      <c r="C1152" s="313">
        <v>0.5069444444444444</v>
      </c>
      <c r="D1152" s="242" t="s">
        <v>980</v>
      </c>
      <c r="E1152" s="275">
        <v>19.0</v>
      </c>
      <c r="F1152" s="242" t="s">
        <v>349</v>
      </c>
      <c r="G1152" s="244"/>
    </row>
    <row r="1153" ht="14.25" hidden="1" customHeight="1" outlineLevel="2">
      <c r="A1153" s="102">
        <v>45961.0</v>
      </c>
      <c r="B1153" s="97">
        <f>A1153</f>
        <v>45961</v>
      </c>
      <c r="C1153" s="313">
        <v>0.2916666666666667</v>
      </c>
      <c r="D1153" s="242" t="s">
        <v>236</v>
      </c>
      <c r="E1153" s="275">
        <v>80.0</v>
      </c>
      <c r="F1153" s="242" t="s">
        <v>601</v>
      </c>
      <c r="G1153" s="244"/>
    </row>
    <row r="1154" ht="14.25" hidden="1" customHeight="1" outlineLevel="2">
      <c r="A1154" s="10"/>
      <c r="B1154" s="10"/>
      <c r="C1154" s="313">
        <v>0.5069444444444444</v>
      </c>
      <c r="D1154" s="242" t="s">
        <v>1062</v>
      </c>
      <c r="E1154" s="275">
        <v>62.0</v>
      </c>
      <c r="F1154" s="242" t="s">
        <v>1082</v>
      </c>
      <c r="G1154" s="244"/>
    </row>
    <row r="1155" ht="14.25" customHeight="1" outlineLevel="1">
      <c r="A1155" s="117" t="s">
        <v>195</v>
      </c>
      <c r="B1155" s="27"/>
      <c r="C1155" s="27"/>
      <c r="D1155" s="28"/>
      <c r="E1155" s="312">
        <f>SUM(E1088:E1154)</f>
        <v>9451</v>
      </c>
      <c r="F1155" s="244"/>
      <c r="G1155" s="244"/>
    </row>
    <row r="1156" ht="14.25" customHeight="1" outlineLevel="1">
      <c r="A1156" s="329"/>
      <c r="B1156" s="330"/>
      <c r="C1156" s="331"/>
      <c r="D1156" s="335"/>
      <c r="E1156" s="336"/>
      <c r="F1156" s="335"/>
      <c r="G1156" s="332"/>
    </row>
    <row r="1157" ht="14.25" customHeight="1" outlineLevel="1" collapsed="1">
      <c r="A1157" s="122" t="s">
        <v>1307</v>
      </c>
      <c r="B1157" s="22"/>
      <c r="C1157" s="22"/>
      <c r="D1157" s="22"/>
      <c r="E1157" s="22"/>
      <c r="F1157" s="22"/>
      <c r="G1157" s="22"/>
      <c r="H1157" s="22"/>
      <c r="I1157" s="22"/>
      <c r="J1157" s="22"/>
      <c r="K1157" s="22"/>
      <c r="L1157" s="22"/>
      <c r="M1157" s="22"/>
      <c r="N1157" s="22"/>
      <c r="O1157" s="22"/>
      <c r="P1157" s="22"/>
      <c r="Q1157" s="23"/>
    </row>
    <row r="1158" ht="14.25" hidden="1" customHeight="1" outlineLevel="2">
      <c r="A1158" s="125">
        <v>45962.0</v>
      </c>
      <c r="B1158" s="126">
        <f t="shared" ref="B1158:B1159" si="157">A1158</f>
        <v>45962</v>
      </c>
      <c r="C1158" s="313">
        <v>0.3333333333333333</v>
      </c>
      <c r="D1158" s="242" t="s">
        <v>119</v>
      </c>
      <c r="E1158" s="275">
        <v>299.0</v>
      </c>
      <c r="F1158" s="242" t="s">
        <v>1308</v>
      </c>
      <c r="G1158" s="244"/>
      <c r="I1158" s="72" t="s">
        <v>91</v>
      </c>
      <c r="J1158" s="73"/>
      <c r="K1158" s="73"/>
      <c r="L1158" s="74"/>
      <c r="N1158" s="72" t="s">
        <v>992</v>
      </c>
      <c r="O1158" s="73"/>
      <c r="P1158" s="73"/>
      <c r="Q1158" s="74"/>
    </row>
    <row r="1159" ht="14.25" hidden="1" customHeight="1" outlineLevel="2">
      <c r="A1159" s="102">
        <v>45963.0</v>
      </c>
      <c r="B1159" s="97">
        <f t="shared" si="157"/>
        <v>45963</v>
      </c>
      <c r="C1159" s="313">
        <v>0.3333333333333333</v>
      </c>
      <c r="D1159" s="242" t="s">
        <v>490</v>
      </c>
      <c r="E1159" s="275">
        <v>484.0</v>
      </c>
      <c r="F1159" s="242" t="s">
        <v>396</v>
      </c>
      <c r="G1159" s="244"/>
      <c r="I1159" s="81" t="s">
        <v>6</v>
      </c>
      <c r="J1159" s="84" t="s">
        <v>115</v>
      </c>
      <c r="K1159" s="84" t="s">
        <v>9</v>
      </c>
      <c r="L1159" s="81" t="s">
        <v>13</v>
      </c>
      <c r="M1159" s="51"/>
      <c r="N1159" s="81" t="s">
        <v>6</v>
      </c>
      <c r="O1159" s="84" t="s">
        <v>115</v>
      </c>
      <c r="P1159" s="84" t="s">
        <v>9</v>
      </c>
      <c r="Q1159" s="81" t="s">
        <v>13</v>
      </c>
    </row>
    <row r="1160" ht="14.25" hidden="1" customHeight="1" outlineLevel="2">
      <c r="A1160" s="58"/>
      <c r="B1160" s="58"/>
      <c r="C1160" s="313">
        <v>0.4583333333333333</v>
      </c>
      <c r="D1160" s="242" t="s">
        <v>1020</v>
      </c>
      <c r="E1160" s="275">
        <v>450.0</v>
      </c>
      <c r="F1160" s="242" t="s">
        <v>219</v>
      </c>
      <c r="G1160" s="244"/>
      <c r="I1160" s="86">
        <v>45963.0</v>
      </c>
      <c r="J1160" s="88">
        <f t="shared" ref="J1160:J1163" si="158">I1160</f>
        <v>45963</v>
      </c>
      <c r="K1160" s="93">
        <v>205.55</v>
      </c>
      <c r="L1160" s="90"/>
      <c r="M1160" s="51"/>
      <c r="N1160" s="86">
        <v>45974.0</v>
      </c>
      <c r="O1160" s="88">
        <f t="shared" ref="O1160:O1161" si="159">N1160</f>
        <v>45974</v>
      </c>
      <c r="P1160" s="93">
        <v>1650.0</v>
      </c>
      <c r="Q1160" s="91"/>
    </row>
    <row r="1161" ht="14.25" hidden="1" customHeight="1" outlineLevel="2">
      <c r="A1161" s="10"/>
      <c r="B1161" s="10"/>
      <c r="C1161" s="313">
        <v>0.7708333333333334</v>
      </c>
      <c r="D1161" s="242" t="s">
        <v>1309</v>
      </c>
      <c r="E1161" s="275">
        <v>550.0</v>
      </c>
      <c r="F1161" s="242" t="s">
        <v>1310</v>
      </c>
      <c r="G1161" s="244"/>
      <c r="I1161" s="86">
        <v>45975.0</v>
      </c>
      <c r="J1161" s="88">
        <f t="shared" si="158"/>
        <v>45975</v>
      </c>
      <c r="K1161" s="93">
        <v>40.15</v>
      </c>
      <c r="L1161" s="90"/>
      <c r="M1161" s="51"/>
      <c r="N1161" s="86">
        <v>45987.0</v>
      </c>
      <c r="O1161" s="88">
        <f t="shared" si="159"/>
        <v>45987</v>
      </c>
      <c r="P1161" s="93">
        <v>3900.0</v>
      </c>
      <c r="Q1161" s="91"/>
    </row>
    <row r="1162" ht="14.25" hidden="1" customHeight="1" outlineLevel="2">
      <c r="A1162" s="102">
        <v>45964.0</v>
      </c>
      <c r="B1162" s="97">
        <f>A1162</f>
        <v>45964</v>
      </c>
      <c r="C1162" s="313">
        <v>0.2916666666666667</v>
      </c>
      <c r="D1162" s="242" t="s">
        <v>119</v>
      </c>
      <c r="E1162" s="275">
        <v>49.0</v>
      </c>
      <c r="F1162" s="242" t="s">
        <v>545</v>
      </c>
      <c r="G1162" s="244"/>
      <c r="I1162" s="86">
        <v>45981.0</v>
      </c>
      <c r="J1162" s="88">
        <f t="shared" si="158"/>
        <v>45981</v>
      </c>
      <c r="K1162" s="93">
        <v>62.3</v>
      </c>
      <c r="L1162" s="90"/>
      <c r="M1162" s="51"/>
      <c r="N1162" s="86"/>
      <c r="O1162" s="88"/>
      <c r="P1162" s="93">
        <v>0.0</v>
      </c>
      <c r="Q1162" s="91"/>
    </row>
    <row r="1163" ht="14.25" hidden="1" customHeight="1" outlineLevel="2">
      <c r="A1163" s="10"/>
      <c r="B1163" s="10"/>
      <c r="C1163" s="313">
        <v>0.5069444444444444</v>
      </c>
      <c r="D1163" s="242" t="s">
        <v>1062</v>
      </c>
      <c r="E1163" s="275">
        <v>36.0</v>
      </c>
      <c r="F1163" s="242" t="s">
        <v>428</v>
      </c>
      <c r="G1163" s="244"/>
      <c r="I1163" s="86">
        <v>45991.0</v>
      </c>
      <c r="J1163" s="88">
        <f t="shared" si="158"/>
        <v>45991</v>
      </c>
      <c r="K1163" s="93">
        <v>55.0</v>
      </c>
      <c r="L1163" s="90"/>
      <c r="M1163" s="51"/>
      <c r="N1163" s="86"/>
      <c r="O1163" s="88"/>
      <c r="P1163" s="93">
        <v>0.0</v>
      </c>
      <c r="Q1163" s="91"/>
    </row>
    <row r="1164" ht="14.25" hidden="1" customHeight="1" outlineLevel="2">
      <c r="A1164" s="102">
        <v>45965.0</v>
      </c>
      <c r="B1164" s="97">
        <f>A1164</f>
        <v>45965</v>
      </c>
      <c r="C1164" s="313">
        <v>0.2916666666666667</v>
      </c>
      <c r="D1164" s="242" t="s">
        <v>236</v>
      </c>
      <c r="E1164" s="275">
        <v>47.0</v>
      </c>
      <c r="F1164" s="242" t="s">
        <v>1315</v>
      </c>
      <c r="G1164" s="244"/>
      <c r="I1164" s="86"/>
      <c r="J1164" s="88"/>
      <c r="K1164" s="93"/>
      <c r="L1164" s="90"/>
      <c r="M1164" s="51"/>
      <c r="N1164" s="86"/>
      <c r="O1164" s="88" t="str">
        <f t="shared" ref="O1164:O1166" si="160">N1164</f>
        <v/>
      </c>
      <c r="P1164" s="93">
        <v>0.0</v>
      </c>
      <c r="Q1164" s="91"/>
    </row>
    <row r="1165" ht="14.25" hidden="1" customHeight="1" outlineLevel="2">
      <c r="A1165" s="10"/>
      <c r="B1165" s="10"/>
      <c r="C1165" s="313">
        <v>0.5069444444444444</v>
      </c>
      <c r="D1165" s="242" t="s">
        <v>456</v>
      </c>
      <c r="E1165" s="275">
        <v>69.0</v>
      </c>
      <c r="F1165" s="242" t="s">
        <v>837</v>
      </c>
      <c r="G1165" s="244"/>
      <c r="I1165" s="86"/>
      <c r="J1165" s="88"/>
      <c r="K1165" s="93"/>
      <c r="L1165" s="90"/>
      <c r="M1165" s="51"/>
      <c r="N1165" s="86"/>
      <c r="O1165" s="88" t="str">
        <f t="shared" si="160"/>
        <v/>
      </c>
      <c r="P1165" s="93">
        <v>0.0</v>
      </c>
      <c r="Q1165" s="91"/>
    </row>
    <row r="1166" ht="14.25" hidden="1" customHeight="1" outlineLevel="2">
      <c r="A1166" s="102">
        <v>45966.0</v>
      </c>
      <c r="B1166" s="97">
        <f>A1166</f>
        <v>45966</v>
      </c>
      <c r="C1166" s="313">
        <v>0.2916666666666667</v>
      </c>
      <c r="D1166" s="242" t="s">
        <v>119</v>
      </c>
      <c r="E1166" s="275">
        <v>41.0</v>
      </c>
      <c r="F1166" s="242" t="s">
        <v>219</v>
      </c>
      <c r="G1166" s="244"/>
      <c r="I1166" s="86"/>
      <c r="J1166" s="88"/>
      <c r="K1166" s="92"/>
      <c r="L1166" s="90"/>
      <c r="M1166" s="51"/>
      <c r="N1166" s="86"/>
      <c r="O1166" s="88" t="str">
        <f t="shared" si="160"/>
        <v/>
      </c>
      <c r="P1166" s="93">
        <v>0.0</v>
      </c>
      <c r="Q1166" s="91"/>
    </row>
    <row r="1167" ht="14.25" hidden="1" customHeight="1" outlineLevel="2">
      <c r="A1167" s="10"/>
      <c r="B1167" s="10"/>
      <c r="C1167" s="313">
        <v>0.5069444444444444</v>
      </c>
      <c r="D1167" s="242" t="s">
        <v>1064</v>
      </c>
      <c r="E1167" s="275">
        <v>52.0</v>
      </c>
      <c r="F1167" s="242" t="s">
        <v>1102</v>
      </c>
      <c r="G1167" s="244"/>
      <c r="I1167" s="86"/>
      <c r="J1167" s="88"/>
      <c r="K1167" s="92"/>
      <c r="L1167" s="90"/>
      <c r="M1167" s="51"/>
      <c r="N1167" s="165" t="s">
        <v>195</v>
      </c>
      <c r="O1167" s="165"/>
      <c r="P1167" s="291">
        <f>SUM(P1160:P1164)</f>
        <v>5550</v>
      </c>
      <c r="Q1167" s="114"/>
    </row>
    <row r="1168" ht="14.25" hidden="1" customHeight="1" outlineLevel="2">
      <c r="A1168" s="102">
        <v>45967.0</v>
      </c>
      <c r="B1168" s="97">
        <f>A1168</f>
        <v>45967</v>
      </c>
      <c r="C1168" s="313">
        <v>0.2916666666666667</v>
      </c>
      <c r="D1168" s="242" t="s">
        <v>119</v>
      </c>
      <c r="E1168" s="275">
        <v>57.0</v>
      </c>
      <c r="F1168" s="242" t="s">
        <v>387</v>
      </c>
      <c r="G1168" s="244"/>
      <c r="I1168" s="108" t="s">
        <v>195</v>
      </c>
      <c r="J1168" s="109"/>
      <c r="K1168" s="113">
        <f>SUM(K1160:K1167)</f>
        <v>363</v>
      </c>
      <c r="L1168" s="114"/>
      <c r="M1168" s="51"/>
    </row>
    <row r="1169" ht="14.25" hidden="1" customHeight="1" outlineLevel="2">
      <c r="A1169" s="10"/>
      <c r="B1169" s="10"/>
      <c r="C1169" s="313">
        <v>0.5069444444444444</v>
      </c>
      <c r="D1169" s="242" t="s">
        <v>720</v>
      </c>
      <c r="E1169" s="275">
        <v>65.0</v>
      </c>
      <c r="F1169" s="242" t="s">
        <v>1104</v>
      </c>
      <c r="G1169" s="244"/>
      <c r="N1169" s="235" t="s">
        <v>344</v>
      </c>
      <c r="O1169" s="27"/>
      <c r="P1169" s="27"/>
      <c r="Q1169" s="28"/>
    </row>
    <row r="1170" ht="14.25" hidden="1" customHeight="1" outlineLevel="2">
      <c r="A1170" s="102">
        <v>45968.0</v>
      </c>
      <c r="B1170" s="97">
        <f>A1170</f>
        <v>45968</v>
      </c>
      <c r="C1170" s="313">
        <v>0.2916666666666667</v>
      </c>
      <c r="D1170" s="242" t="s">
        <v>1318</v>
      </c>
      <c r="E1170" s="275">
        <v>26.0</v>
      </c>
      <c r="F1170" s="242" t="s">
        <v>1135</v>
      </c>
      <c r="G1170" s="244"/>
      <c r="N1170" s="81" t="s">
        <v>6</v>
      </c>
      <c r="O1170" s="84" t="s">
        <v>115</v>
      </c>
      <c r="P1170" s="84" t="s">
        <v>9</v>
      </c>
      <c r="Q1170" s="81" t="s">
        <v>13</v>
      </c>
    </row>
    <row r="1171" ht="14.25" hidden="1" customHeight="1" outlineLevel="2">
      <c r="A1171" s="10"/>
      <c r="B1171" s="10"/>
      <c r="C1171" s="313">
        <v>0.5069444444444444</v>
      </c>
      <c r="D1171" s="242" t="s">
        <v>1062</v>
      </c>
      <c r="E1171" s="275">
        <v>15.0</v>
      </c>
      <c r="F1171" s="242" t="s">
        <v>1006</v>
      </c>
      <c r="G1171" s="244"/>
      <c r="N1171" s="86">
        <v>45962.0</v>
      </c>
      <c r="O1171" s="88">
        <f t="shared" ref="O1171:O1172" si="161">N1171</f>
        <v>45962</v>
      </c>
      <c r="P1171" s="93">
        <v>0.0</v>
      </c>
      <c r="Q1171" s="91"/>
    </row>
    <row r="1172" ht="14.25" hidden="1" customHeight="1" outlineLevel="2">
      <c r="A1172" s="125">
        <v>45969.0</v>
      </c>
      <c r="B1172" s="126">
        <f t="shared" ref="B1172:B1173" si="162">A1172</f>
        <v>45969</v>
      </c>
      <c r="C1172" s="313">
        <v>0.3333333333333333</v>
      </c>
      <c r="D1172" s="242" t="s">
        <v>119</v>
      </c>
      <c r="E1172" s="275">
        <v>34.0</v>
      </c>
      <c r="F1172" s="242" t="s">
        <v>674</v>
      </c>
      <c r="G1172" s="244"/>
      <c r="N1172" s="86">
        <v>45962.0</v>
      </c>
      <c r="O1172" s="88">
        <f t="shared" si="161"/>
        <v>45962</v>
      </c>
      <c r="P1172" s="93">
        <v>0.0</v>
      </c>
      <c r="Q1172" s="91"/>
    </row>
    <row r="1173" ht="14.25" hidden="1" customHeight="1" outlineLevel="2">
      <c r="A1173" s="102">
        <v>45970.0</v>
      </c>
      <c r="B1173" s="97">
        <f t="shared" si="162"/>
        <v>45970</v>
      </c>
      <c r="C1173" s="313">
        <v>0.3333333333333333</v>
      </c>
      <c r="D1173" s="242" t="s">
        <v>490</v>
      </c>
      <c r="E1173" s="275">
        <v>423.0</v>
      </c>
      <c r="F1173" s="242" t="s">
        <v>1319</v>
      </c>
      <c r="G1173" s="244"/>
      <c r="N1173" s="165" t="s">
        <v>195</v>
      </c>
      <c r="O1173" s="165"/>
      <c r="P1173" s="282">
        <f>SUM(P1169:P1172)</f>
        <v>0</v>
      </c>
      <c r="Q1173" s="114"/>
    </row>
    <row r="1174" ht="14.25" hidden="1" customHeight="1" outlineLevel="2">
      <c r="A1174" s="58"/>
      <c r="B1174" s="58"/>
      <c r="C1174" s="313">
        <v>0.4583333333333333</v>
      </c>
      <c r="D1174" s="242" t="s">
        <v>1320</v>
      </c>
      <c r="E1174" s="275">
        <v>250.0</v>
      </c>
      <c r="F1174" s="242" t="s">
        <v>278</v>
      </c>
      <c r="G1174" s="244"/>
    </row>
    <row r="1175" ht="14.25" hidden="1" customHeight="1" outlineLevel="2">
      <c r="A1175" s="10"/>
      <c r="B1175" s="10"/>
      <c r="C1175" s="313">
        <v>0.7708333333333334</v>
      </c>
      <c r="D1175" s="242" t="s">
        <v>342</v>
      </c>
      <c r="E1175" s="275">
        <v>331.0</v>
      </c>
      <c r="F1175" s="242" t="s">
        <v>1321</v>
      </c>
      <c r="G1175" s="244"/>
    </row>
    <row r="1176" ht="14.25" hidden="1" customHeight="1" outlineLevel="2">
      <c r="A1176" s="102">
        <v>45971.0</v>
      </c>
      <c r="B1176" s="97">
        <f>A1176</f>
        <v>45971</v>
      </c>
      <c r="C1176" s="313">
        <v>0.2916666666666667</v>
      </c>
      <c r="D1176" s="242" t="s">
        <v>119</v>
      </c>
      <c r="E1176" s="275">
        <v>136.0</v>
      </c>
      <c r="F1176" s="242" t="s">
        <v>773</v>
      </c>
      <c r="G1176" s="244"/>
    </row>
    <row r="1177" ht="14.25" hidden="1" customHeight="1" outlineLevel="2">
      <c r="A1177" s="10"/>
      <c r="B1177" s="10"/>
      <c r="C1177" s="313">
        <v>0.5069444444444444</v>
      </c>
      <c r="D1177" s="242" t="s">
        <v>1062</v>
      </c>
      <c r="E1177" s="275">
        <v>35.0</v>
      </c>
      <c r="F1177" s="242" t="s">
        <v>1082</v>
      </c>
      <c r="G1177" s="244"/>
    </row>
    <row r="1178" ht="14.25" hidden="1" customHeight="1" outlineLevel="2">
      <c r="A1178" s="102">
        <v>45972.0</v>
      </c>
      <c r="B1178" s="97">
        <f>A1178</f>
        <v>45972</v>
      </c>
      <c r="C1178" s="313">
        <v>0.2916666666666667</v>
      </c>
      <c r="D1178" s="242" t="s">
        <v>236</v>
      </c>
      <c r="E1178" s="275">
        <v>46.0</v>
      </c>
      <c r="F1178" s="242" t="s">
        <v>378</v>
      </c>
      <c r="G1178" s="244"/>
    </row>
    <row r="1179" ht="14.25" hidden="1" customHeight="1" outlineLevel="2">
      <c r="A1179" s="10"/>
      <c r="B1179" s="10"/>
      <c r="C1179" s="313">
        <v>0.5069444444444444</v>
      </c>
      <c r="D1179" s="242" t="s">
        <v>296</v>
      </c>
      <c r="E1179" s="275">
        <v>67.0</v>
      </c>
      <c r="F1179" s="242" t="s">
        <v>1024</v>
      </c>
      <c r="G1179" s="244"/>
    </row>
    <row r="1180" ht="14.25" hidden="1" customHeight="1" outlineLevel="2">
      <c r="A1180" s="102">
        <v>45973.0</v>
      </c>
      <c r="B1180" s="97">
        <f>A1180</f>
        <v>45973</v>
      </c>
      <c r="C1180" s="313">
        <v>0.2916666666666667</v>
      </c>
      <c r="D1180" s="242" t="s">
        <v>119</v>
      </c>
      <c r="E1180" s="275">
        <v>25.0</v>
      </c>
      <c r="F1180" s="242" t="s">
        <v>300</v>
      </c>
      <c r="G1180" s="244"/>
    </row>
    <row r="1181" ht="14.25" hidden="1" customHeight="1" outlineLevel="2">
      <c r="A1181" s="58"/>
      <c r="B1181" s="58"/>
      <c r="C1181" s="313">
        <v>0.5069444444444444</v>
      </c>
      <c r="D1181" s="242" t="s">
        <v>1064</v>
      </c>
      <c r="E1181" s="275">
        <v>41.0</v>
      </c>
      <c r="F1181" s="242" t="s">
        <v>1326</v>
      </c>
      <c r="G1181" s="244"/>
    </row>
    <row r="1182" ht="14.25" hidden="1" customHeight="1" outlineLevel="2">
      <c r="A1182" s="10"/>
      <c r="B1182" s="10"/>
      <c r="C1182" s="313">
        <v>0.7916666666666666</v>
      </c>
      <c r="D1182" s="242" t="s">
        <v>1327</v>
      </c>
      <c r="E1182" s="275">
        <v>220.0</v>
      </c>
      <c r="F1182" s="242" t="s">
        <v>706</v>
      </c>
      <c r="G1182" s="244"/>
    </row>
    <row r="1183" ht="14.25" hidden="1" customHeight="1" outlineLevel="2">
      <c r="A1183" s="102">
        <v>45974.0</v>
      </c>
      <c r="B1183" s="97">
        <f>A1183</f>
        <v>45974</v>
      </c>
      <c r="C1183" s="313">
        <v>0.2916666666666667</v>
      </c>
      <c r="D1183" s="242" t="s">
        <v>119</v>
      </c>
      <c r="E1183" s="275">
        <v>57.0</v>
      </c>
      <c r="F1183" s="242" t="s">
        <v>1158</v>
      </c>
      <c r="G1183" s="244"/>
    </row>
    <row r="1184" ht="14.25" hidden="1" customHeight="1" outlineLevel="2">
      <c r="A1184" s="10"/>
      <c r="B1184" s="10"/>
      <c r="C1184" s="313">
        <v>0.5069444444444444</v>
      </c>
      <c r="D1184" s="242" t="s">
        <v>119</v>
      </c>
      <c r="E1184" s="275">
        <v>11.0</v>
      </c>
      <c r="F1184" s="242" t="s">
        <v>1104</v>
      </c>
      <c r="G1184" s="244"/>
    </row>
    <row r="1185" ht="14.25" hidden="1" customHeight="1" outlineLevel="2">
      <c r="A1185" s="102">
        <v>45975.0</v>
      </c>
      <c r="B1185" s="97">
        <f>A1185</f>
        <v>45975</v>
      </c>
      <c r="C1185" s="313">
        <v>0.2916666666666667</v>
      </c>
      <c r="D1185" s="242" t="s">
        <v>236</v>
      </c>
      <c r="E1185" s="275">
        <v>66.0</v>
      </c>
      <c r="F1185" s="242" t="s">
        <v>494</v>
      </c>
      <c r="G1185" s="244"/>
    </row>
    <row r="1186" ht="14.25" hidden="1" customHeight="1" outlineLevel="2">
      <c r="A1186" s="10"/>
      <c r="B1186" s="10"/>
      <c r="C1186" s="313">
        <v>0.5069444444444444</v>
      </c>
      <c r="D1186" s="242" t="s">
        <v>1062</v>
      </c>
      <c r="E1186" s="275">
        <v>16.0</v>
      </c>
      <c r="F1186" s="242" t="s">
        <v>426</v>
      </c>
      <c r="G1186" s="244"/>
    </row>
    <row r="1187" ht="14.25" hidden="1" customHeight="1" outlineLevel="2">
      <c r="A1187" s="125">
        <v>45976.0</v>
      </c>
      <c r="B1187" s="126">
        <f t="shared" ref="B1187:B1188" si="163">A1187</f>
        <v>45976</v>
      </c>
      <c r="C1187" s="313">
        <v>0.3333333333333333</v>
      </c>
      <c r="D1187" s="242" t="s">
        <v>119</v>
      </c>
      <c r="E1187" s="275">
        <v>45.0</v>
      </c>
      <c r="F1187" s="242" t="s">
        <v>1120</v>
      </c>
      <c r="G1187" s="244"/>
    </row>
    <row r="1188" ht="14.25" hidden="1" customHeight="1" outlineLevel="2">
      <c r="A1188" s="102">
        <v>45977.0</v>
      </c>
      <c r="B1188" s="97">
        <f t="shared" si="163"/>
        <v>45977</v>
      </c>
      <c r="C1188" s="313">
        <v>0.3333333333333333</v>
      </c>
      <c r="D1188" s="242" t="s">
        <v>1329</v>
      </c>
      <c r="E1188" s="275">
        <v>400.0</v>
      </c>
      <c r="F1188" s="242" t="s">
        <v>1319</v>
      </c>
      <c r="G1188" s="244"/>
    </row>
    <row r="1189" ht="14.25" hidden="1" customHeight="1" outlineLevel="2">
      <c r="A1189" s="58"/>
      <c r="B1189" s="58"/>
      <c r="C1189" s="313">
        <v>0.4583333333333333</v>
      </c>
      <c r="D1189" s="242" t="s">
        <v>1320</v>
      </c>
      <c r="E1189" s="275">
        <v>235.0</v>
      </c>
      <c r="F1189" s="242" t="s">
        <v>1331</v>
      </c>
      <c r="G1189" s="244"/>
    </row>
    <row r="1190" ht="14.25" hidden="1" customHeight="1" outlineLevel="2">
      <c r="A1190" s="10"/>
      <c r="B1190" s="10"/>
      <c r="C1190" s="313">
        <v>0.7708333333333334</v>
      </c>
      <c r="D1190" s="242" t="s">
        <v>820</v>
      </c>
      <c r="E1190" s="275">
        <v>450.0</v>
      </c>
      <c r="F1190" s="242" t="s">
        <v>579</v>
      </c>
      <c r="G1190" s="244"/>
    </row>
    <row r="1191" ht="14.25" hidden="1" customHeight="1" outlineLevel="2">
      <c r="A1191" s="102">
        <v>45978.0</v>
      </c>
      <c r="B1191" s="97">
        <f>A1191</f>
        <v>45978</v>
      </c>
      <c r="C1191" s="313">
        <v>0.2916666666666667</v>
      </c>
      <c r="D1191" s="242" t="s">
        <v>119</v>
      </c>
      <c r="E1191" s="275">
        <v>69.0</v>
      </c>
      <c r="F1191" s="242" t="s">
        <v>842</v>
      </c>
      <c r="G1191" s="244"/>
    </row>
    <row r="1192" ht="14.25" hidden="1" customHeight="1" outlineLevel="2">
      <c r="A1192" s="10"/>
      <c r="B1192" s="10"/>
      <c r="C1192" s="313">
        <v>0.5069444444444444</v>
      </c>
      <c r="D1192" s="242" t="s">
        <v>1185</v>
      </c>
      <c r="E1192" s="275">
        <v>92.0</v>
      </c>
      <c r="F1192" s="242" t="s">
        <v>1082</v>
      </c>
      <c r="G1192" s="244"/>
    </row>
    <row r="1193" ht="14.25" hidden="1" customHeight="1" outlineLevel="2">
      <c r="A1193" s="102">
        <v>45979.0</v>
      </c>
      <c r="B1193" s="97">
        <f>A1193</f>
        <v>45979</v>
      </c>
      <c r="C1193" s="313">
        <v>0.2916666666666667</v>
      </c>
      <c r="D1193" s="242" t="s">
        <v>236</v>
      </c>
      <c r="E1193" s="275">
        <v>20.0</v>
      </c>
      <c r="F1193" s="242" t="s">
        <v>218</v>
      </c>
      <c r="G1193" s="244"/>
    </row>
    <row r="1194" ht="14.25" hidden="1" customHeight="1" outlineLevel="2">
      <c r="A1194" s="10"/>
      <c r="B1194" s="10"/>
      <c r="C1194" s="313">
        <v>0.5069444444444444</v>
      </c>
      <c r="D1194" s="242" t="s">
        <v>1020</v>
      </c>
      <c r="E1194" s="275">
        <v>56.0</v>
      </c>
      <c r="F1194" s="242" t="s">
        <v>837</v>
      </c>
      <c r="G1194" s="244"/>
    </row>
    <row r="1195" ht="14.25" hidden="1" customHeight="1" outlineLevel="2">
      <c r="A1195" s="102">
        <v>45980.0</v>
      </c>
      <c r="B1195" s="97">
        <f>A1195</f>
        <v>45980</v>
      </c>
      <c r="C1195" s="313">
        <v>0.2916666666666667</v>
      </c>
      <c r="D1195" s="242" t="s">
        <v>119</v>
      </c>
      <c r="E1195" s="275">
        <v>20.0</v>
      </c>
      <c r="F1195" s="242" t="s">
        <v>1001</v>
      </c>
      <c r="G1195" s="244"/>
    </row>
    <row r="1196" ht="14.25" hidden="1" customHeight="1" outlineLevel="2">
      <c r="A1196" s="10"/>
      <c r="B1196" s="10"/>
      <c r="C1196" s="313">
        <v>0.5069444444444444</v>
      </c>
      <c r="D1196" s="242" t="s">
        <v>1020</v>
      </c>
      <c r="E1196" s="275">
        <v>55.0</v>
      </c>
      <c r="F1196" s="242" t="s">
        <v>300</v>
      </c>
      <c r="G1196" s="244"/>
    </row>
    <row r="1197" ht="14.25" hidden="1" customHeight="1" outlineLevel="2">
      <c r="A1197" s="125">
        <v>45981.0</v>
      </c>
      <c r="B1197" s="126">
        <f t="shared" ref="B1197:B1198" si="164">A1197</f>
        <v>45981</v>
      </c>
      <c r="C1197" s="313">
        <v>0.2916666666666667</v>
      </c>
      <c r="D1197" s="242" t="s">
        <v>119</v>
      </c>
      <c r="E1197" s="275">
        <v>79.0</v>
      </c>
      <c r="F1197" s="242" t="s">
        <v>1335</v>
      </c>
      <c r="G1197" s="244"/>
    </row>
    <row r="1198" ht="14.25" hidden="1" customHeight="1" outlineLevel="2">
      <c r="A1198" s="102">
        <v>45982.0</v>
      </c>
      <c r="B1198" s="97">
        <f t="shared" si="164"/>
        <v>45982</v>
      </c>
      <c r="C1198" s="313">
        <v>0.2916666666666667</v>
      </c>
      <c r="D1198" s="242" t="s">
        <v>236</v>
      </c>
      <c r="E1198" s="275">
        <v>239.0</v>
      </c>
      <c r="F1198" s="242" t="s">
        <v>560</v>
      </c>
      <c r="G1198" s="244"/>
    </row>
    <row r="1199" ht="14.25" hidden="1" customHeight="1" outlineLevel="2">
      <c r="A1199" s="10"/>
      <c r="B1199" s="10"/>
      <c r="C1199" s="313">
        <v>0.5069444444444444</v>
      </c>
      <c r="D1199" s="242" t="s">
        <v>1062</v>
      </c>
      <c r="E1199" s="275">
        <v>24.0</v>
      </c>
      <c r="F1199" s="242" t="s">
        <v>842</v>
      </c>
      <c r="G1199" s="244"/>
    </row>
    <row r="1200" ht="14.25" hidden="1" customHeight="1" outlineLevel="2">
      <c r="A1200" s="125">
        <v>45983.0</v>
      </c>
      <c r="B1200" s="126">
        <f t="shared" ref="B1200:B1201" si="165">A1200</f>
        <v>45983</v>
      </c>
      <c r="C1200" s="313">
        <v>0.3333333333333333</v>
      </c>
      <c r="D1200" s="242" t="s">
        <v>119</v>
      </c>
      <c r="E1200" s="275">
        <v>50.0</v>
      </c>
      <c r="F1200" s="242" t="s">
        <v>1168</v>
      </c>
      <c r="G1200" s="244"/>
    </row>
    <row r="1201" ht="14.25" hidden="1" customHeight="1" outlineLevel="2">
      <c r="A1201" s="102">
        <v>45984.0</v>
      </c>
      <c r="B1201" s="97">
        <f t="shared" si="165"/>
        <v>45984</v>
      </c>
      <c r="C1201" s="313">
        <v>0.3333333333333333</v>
      </c>
      <c r="D1201" s="242" t="s">
        <v>490</v>
      </c>
      <c r="E1201" s="275">
        <v>385.0</v>
      </c>
      <c r="F1201" s="242" t="s">
        <v>1337</v>
      </c>
      <c r="G1201" s="244"/>
    </row>
    <row r="1202" ht="14.25" hidden="1" customHeight="1" outlineLevel="2">
      <c r="A1202" s="58"/>
      <c r="B1202" s="58"/>
      <c r="C1202" s="313">
        <v>0.4583333333333333</v>
      </c>
      <c r="D1202" s="242" t="s">
        <v>720</v>
      </c>
      <c r="E1202" s="275">
        <v>350.0</v>
      </c>
      <c r="F1202" s="242" t="s">
        <v>288</v>
      </c>
      <c r="G1202" s="244"/>
    </row>
    <row r="1203" ht="14.25" hidden="1" customHeight="1" outlineLevel="2">
      <c r="A1203" s="10"/>
      <c r="B1203" s="10"/>
      <c r="C1203" s="313">
        <v>0.7708333333333334</v>
      </c>
      <c r="D1203" s="242" t="s">
        <v>1020</v>
      </c>
      <c r="E1203" s="275">
        <v>445.0</v>
      </c>
      <c r="F1203" s="242" t="s">
        <v>607</v>
      </c>
      <c r="G1203" s="244"/>
    </row>
    <row r="1204" ht="14.25" hidden="1" customHeight="1" outlineLevel="2">
      <c r="A1204" s="102">
        <v>45985.0</v>
      </c>
      <c r="B1204" s="97">
        <f>A1204</f>
        <v>45985</v>
      </c>
      <c r="C1204" s="313">
        <v>0.2916666666666667</v>
      </c>
      <c r="D1204" s="242" t="s">
        <v>119</v>
      </c>
      <c r="E1204" s="275">
        <v>114.0</v>
      </c>
      <c r="F1204" s="242" t="s">
        <v>842</v>
      </c>
      <c r="G1204" s="244"/>
    </row>
    <row r="1205" ht="14.25" hidden="1" customHeight="1" outlineLevel="2">
      <c r="A1205" s="10"/>
      <c r="B1205" s="10"/>
      <c r="C1205" s="313">
        <v>0.5069444444444444</v>
      </c>
      <c r="D1205" s="242" t="s">
        <v>1062</v>
      </c>
      <c r="E1205" s="275">
        <v>11.0</v>
      </c>
      <c r="F1205" s="242" t="s">
        <v>300</v>
      </c>
      <c r="G1205" s="244"/>
    </row>
    <row r="1206" ht="14.25" hidden="1" customHeight="1" outlineLevel="2">
      <c r="A1206" s="102">
        <v>45986.0</v>
      </c>
      <c r="B1206" s="97">
        <f>A1206</f>
        <v>45986</v>
      </c>
      <c r="C1206" s="313">
        <v>0.2916666666666667</v>
      </c>
      <c r="D1206" s="242" t="s">
        <v>236</v>
      </c>
      <c r="E1206" s="275">
        <v>27.0</v>
      </c>
      <c r="F1206" s="242" t="s">
        <v>324</v>
      </c>
      <c r="G1206" s="244"/>
    </row>
    <row r="1207" ht="14.25" hidden="1" customHeight="1" outlineLevel="2">
      <c r="A1207" s="10"/>
      <c r="B1207" s="10"/>
      <c r="C1207" s="313">
        <v>0.5069444444444444</v>
      </c>
      <c r="D1207" s="242" t="s">
        <v>1327</v>
      </c>
      <c r="E1207" s="275">
        <v>17.0</v>
      </c>
      <c r="F1207" s="242" t="s">
        <v>1015</v>
      </c>
      <c r="G1207" s="244"/>
    </row>
    <row r="1208" ht="14.25" hidden="1" customHeight="1" outlineLevel="2">
      <c r="A1208" s="102">
        <v>45987.0</v>
      </c>
      <c r="B1208" s="97">
        <f>A1208</f>
        <v>45987</v>
      </c>
      <c r="C1208" s="313">
        <v>0.2916666666666667</v>
      </c>
      <c r="D1208" s="242" t="s">
        <v>119</v>
      </c>
      <c r="E1208" s="275">
        <v>39.0</v>
      </c>
      <c r="F1208" s="242" t="s">
        <v>1001</v>
      </c>
      <c r="G1208" s="244"/>
    </row>
    <row r="1209" ht="14.25" hidden="1" customHeight="1" outlineLevel="2">
      <c r="A1209" s="10"/>
      <c r="B1209" s="10"/>
      <c r="C1209" s="313">
        <v>0.5069444444444444</v>
      </c>
      <c r="D1209" s="242" t="s">
        <v>1064</v>
      </c>
      <c r="E1209" s="275">
        <v>77.0</v>
      </c>
      <c r="F1209" s="242" t="s">
        <v>1338</v>
      </c>
      <c r="G1209" s="244"/>
    </row>
    <row r="1210" ht="14.25" hidden="1" customHeight="1" outlineLevel="2">
      <c r="A1210" s="102">
        <v>45988.0</v>
      </c>
      <c r="B1210" s="97">
        <f>A1210</f>
        <v>45988</v>
      </c>
      <c r="C1210" s="313">
        <v>0.2916666666666667</v>
      </c>
      <c r="D1210" s="242" t="s">
        <v>119</v>
      </c>
      <c r="E1210" s="275">
        <v>50.0</v>
      </c>
      <c r="F1210" s="242" t="s">
        <v>717</v>
      </c>
      <c r="G1210" s="244"/>
    </row>
    <row r="1211" ht="14.25" hidden="1" customHeight="1" outlineLevel="2">
      <c r="A1211" s="10"/>
      <c r="B1211" s="10"/>
      <c r="C1211" s="313">
        <v>0.5069444444444444</v>
      </c>
      <c r="D1211" s="242" t="s">
        <v>720</v>
      </c>
      <c r="E1211" s="275">
        <v>5.0</v>
      </c>
      <c r="F1211" s="242" t="s">
        <v>1104</v>
      </c>
      <c r="G1211" s="244"/>
    </row>
    <row r="1212" ht="14.25" hidden="1" customHeight="1" outlineLevel="2">
      <c r="A1212" s="102">
        <v>45989.0</v>
      </c>
      <c r="B1212" s="97">
        <f>A1212</f>
        <v>45989</v>
      </c>
      <c r="C1212" s="313">
        <v>0.2916666666666667</v>
      </c>
      <c r="D1212" s="242" t="s">
        <v>236</v>
      </c>
      <c r="E1212" s="275">
        <v>36.0</v>
      </c>
      <c r="F1212" s="242" t="s">
        <v>1135</v>
      </c>
      <c r="G1212" s="244"/>
    </row>
    <row r="1213" ht="14.25" hidden="1" customHeight="1" outlineLevel="2">
      <c r="A1213" s="10"/>
      <c r="B1213" s="10"/>
      <c r="C1213" s="313">
        <v>0.5069444444444444</v>
      </c>
      <c r="D1213" s="242" t="s">
        <v>1062</v>
      </c>
      <c r="E1213" s="275">
        <v>5.0</v>
      </c>
      <c r="F1213" s="242" t="s">
        <v>566</v>
      </c>
      <c r="G1213" s="244"/>
    </row>
    <row r="1214" ht="14.25" hidden="1" customHeight="1" outlineLevel="2">
      <c r="A1214" s="125">
        <v>45990.0</v>
      </c>
      <c r="B1214" s="126">
        <f t="shared" ref="B1214:B1215" si="166">A1214</f>
        <v>45990</v>
      </c>
      <c r="C1214" s="313">
        <v>0.3333333333333333</v>
      </c>
      <c r="D1214" s="242" t="s">
        <v>119</v>
      </c>
      <c r="E1214" s="275">
        <v>36.0</v>
      </c>
      <c r="F1214" s="242" t="s">
        <v>1247</v>
      </c>
      <c r="G1214" s="244"/>
    </row>
    <row r="1215" ht="14.25" hidden="1" customHeight="1" outlineLevel="2">
      <c r="A1215" s="102">
        <v>45991.0</v>
      </c>
      <c r="B1215" s="97">
        <f t="shared" si="166"/>
        <v>45991</v>
      </c>
      <c r="C1215" s="313">
        <v>0.3333333333333333</v>
      </c>
      <c r="D1215" s="242" t="s">
        <v>325</v>
      </c>
      <c r="E1215" s="275">
        <v>519.0</v>
      </c>
      <c r="F1215" s="242" t="s">
        <v>1340</v>
      </c>
      <c r="G1215" s="244"/>
    </row>
    <row r="1216" ht="14.25" hidden="1" customHeight="1" outlineLevel="2">
      <c r="A1216" s="58"/>
      <c r="B1216" s="58"/>
      <c r="C1216" s="313">
        <v>0.4583333333333333</v>
      </c>
      <c r="D1216" s="242" t="s">
        <v>1185</v>
      </c>
      <c r="E1216" s="275">
        <v>352.0</v>
      </c>
      <c r="F1216" s="242" t="s">
        <v>438</v>
      </c>
      <c r="G1216" s="244"/>
    </row>
    <row r="1217" ht="14.25" hidden="1" customHeight="1" outlineLevel="2">
      <c r="A1217" s="10"/>
      <c r="B1217" s="10"/>
      <c r="C1217" s="313">
        <v>0.7708333333333334</v>
      </c>
      <c r="D1217" s="242" t="s">
        <v>272</v>
      </c>
      <c r="E1217" s="275">
        <v>239.0</v>
      </c>
      <c r="F1217" s="242" t="s">
        <v>1341</v>
      </c>
      <c r="G1217" s="244"/>
    </row>
    <row r="1218" ht="14.25" customHeight="1" outlineLevel="1">
      <c r="A1218" s="117" t="s">
        <v>195</v>
      </c>
      <c r="B1218" s="27"/>
      <c r="C1218" s="27"/>
      <c r="D1218" s="28"/>
      <c r="E1218" s="312">
        <f>SUM(E1158:E1217)</f>
        <v>8539</v>
      </c>
      <c r="F1218" s="244"/>
      <c r="G1218" s="244"/>
    </row>
    <row r="1219" ht="14.25" customHeight="1" outlineLevel="1">
      <c r="A1219" s="329"/>
      <c r="B1219" s="330"/>
      <c r="C1219" s="331"/>
      <c r="D1219" s="335"/>
      <c r="F1219" s="335"/>
      <c r="G1219" s="332"/>
    </row>
    <row r="1220" ht="14.25" customHeight="1" outlineLevel="1" collapsed="1">
      <c r="A1220" s="339" t="s">
        <v>1343</v>
      </c>
      <c r="B1220" s="246"/>
      <c r="C1220" s="246"/>
      <c r="D1220" s="246"/>
      <c r="E1220" s="246"/>
      <c r="F1220" s="246"/>
      <c r="G1220" s="246"/>
      <c r="H1220" s="246"/>
      <c r="I1220" s="246"/>
      <c r="J1220" s="246"/>
      <c r="K1220" s="246"/>
      <c r="L1220" s="246"/>
      <c r="M1220" s="246"/>
      <c r="N1220" s="246"/>
      <c r="O1220" s="246"/>
      <c r="P1220" s="246"/>
      <c r="Q1220" s="247"/>
    </row>
    <row r="1221" ht="14.25" hidden="1" customHeight="1" outlineLevel="2">
      <c r="A1221" s="102">
        <v>45992.0</v>
      </c>
      <c r="B1221" s="97">
        <f>A1221</f>
        <v>45992</v>
      </c>
      <c r="C1221" s="313">
        <v>0.2916666666666667</v>
      </c>
      <c r="D1221" s="242" t="s">
        <v>119</v>
      </c>
      <c r="E1221" s="275">
        <v>9.0</v>
      </c>
      <c r="F1221" s="242" t="s">
        <v>842</v>
      </c>
      <c r="G1221" s="244"/>
      <c r="I1221" s="72" t="s">
        <v>91</v>
      </c>
      <c r="J1221" s="73"/>
      <c r="K1221" s="73"/>
      <c r="L1221" s="74"/>
      <c r="N1221" s="72" t="s">
        <v>992</v>
      </c>
      <c r="O1221" s="73"/>
      <c r="P1221" s="73"/>
      <c r="Q1221" s="74"/>
    </row>
    <row r="1222" ht="14.25" hidden="1" customHeight="1" outlineLevel="2">
      <c r="A1222" s="58"/>
      <c r="B1222" s="10"/>
      <c r="C1222" s="313">
        <v>0.5069444444444444</v>
      </c>
      <c r="D1222" s="242" t="s">
        <v>1062</v>
      </c>
      <c r="E1222" s="275">
        <v>22.0</v>
      </c>
      <c r="F1222" s="242" t="s">
        <v>1082</v>
      </c>
      <c r="G1222" s="244"/>
      <c r="I1222" s="86">
        <v>46001.0</v>
      </c>
      <c r="J1222" s="88">
        <f t="shared" ref="J1222:J1226" si="167">I1222</f>
        <v>46001</v>
      </c>
      <c r="K1222" s="93">
        <v>76.45</v>
      </c>
      <c r="L1222" s="90"/>
      <c r="M1222" s="51"/>
      <c r="N1222" s="86">
        <v>46010.0</v>
      </c>
      <c r="O1222" s="88">
        <f t="shared" ref="O1222:O1223" si="168">N1222</f>
        <v>46010</v>
      </c>
      <c r="P1222" s="93">
        <v>1450.0</v>
      </c>
      <c r="Q1222" s="91" t="s">
        <v>1344</v>
      </c>
    </row>
    <row r="1223" ht="14.25" hidden="1" customHeight="1" outlineLevel="2">
      <c r="A1223" s="102">
        <v>45993.0</v>
      </c>
      <c r="B1223" s="97">
        <f>A1223</f>
        <v>45993</v>
      </c>
      <c r="C1223" s="313">
        <v>0.2916666666666667</v>
      </c>
      <c r="D1223" s="242" t="s">
        <v>236</v>
      </c>
      <c r="E1223" s="275">
        <v>45.0</v>
      </c>
      <c r="F1223" s="242" t="s">
        <v>218</v>
      </c>
      <c r="G1223" s="244"/>
      <c r="I1223" s="86">
        <v>46003.0</v>
      </c>
      <c r="J1223" s="88">
        <f t="shared" si="167"/>
        <v>46003</v>
      </c>
      <c r="K1223" s="93">
        <v>35.0</v>
      </c>
      <c r="L1223" s="90"/>
      <c r="M1223" s="51"/>
      <c r="N1223" s="86">
        <v>46014.0</v>
      </c>
      <c r="O1223" s="88">
        <f t="shared" si="168"/>
        <v>46014</v>
      </c>
      <c r="P1223" s="93">
        <v>3750.0</v>
      </c>
      <c r="Q1223" s="91" t="s">
        <v>1345</v>
      </c>
    </row>
    <row r="1224" ht="14.25" hidden="1" customHeight="1" outlineLevel="2">
      <c r="A1224" s="58"/>
      <c r="B1224" s="10"/>
      <c r="C1224" s="313">
        <v>0.5069444444444444</v>
      </c>
      <c r="D1224" s="242" t="s">
        <v>456</v>
      </c>
      <c r="E1224" s="275">
        <v>19.0</v>
      </c>
      <c r="F1224" s="242" t="s">
        <v>837</v>
      </c>
      <c r="G1224" s="244"/>
      <c r="I1224" s="86">
        <v>46005.0</v>
      </c>
      <c r="J1224" s="88">
        <f t="shared" si="167"/>
        <v>46005</v>
      </c>
      <c r="K1224" s="93">
        <v>120.0</v>
      </c>
      <c r="L1224" s="90"/>
      <c r="M1224" s="51"/>
      <c r="N1224" s="86"/>
      <c r="O1224" s="88"/>
      <c r="P1224" s="93">
        <v>0.0</v>
      </c>
      <c r="Q1224" s="91"/>
    </row>
    <row r="1225" ht="14.25" hidden="1" customHeight="1" outlineLevel="2">
      <c r="A1225" s="102">
        <v>45994.0</v>
      </c>
      <c r="B1225" s="97">
        <f>A1225</f>
        <v>45994</v>
      </c>
      <c r="C1225" s="313">
        <v>0.2916666666666667</v>
      </c>
      <c r="D1225" s="242" t="s">
        <v>119</v>
      </c>
      <c r="E1225" s="275">
        <v>22.0</v>
      </c>
      <c r="F1225" s="242" t="s">
        <v>1001</v>
      </c>
      <c r="G1225" s="244"/>
      <c r="I1225" s="86">
        <v>46009.0</v>
      </c>
      <c r="J1225" s="88">
        <f t="shared" si="167"/>
        <v>46009</v>
      </c>
      <c r="K1225" s="93">
        <v>24.0</v>
      </c>
      <c r="L1225" s="90"/>
      <c r="M1225" s="51"/>
      <c r="N1225" s="86"/>
      <c r="O1225" s="88"/>
      <c r="P1225" s="93">
        <v>0.0</v>
      </c>
      <c r="Q1225" s="91"/>
    </row>
    <row r="1226" ht="14.25" hidden="1" customHeight="1" outlineLevel="2">
      <c r="A1226" s="10"/>
      <c r="B1226" s="10"/>
      <c r="C1226" s="313">
        <v>0.5069444444444444</v>
      </c>
      <c r="D1226" s="242" t="s">
        <v>1064</v>
      </c>
      <c r="E1226" s="275">
        <v>184.0</v>
      </c>
      <c r="F1226" s="242" t="s">
        <v>1346</v>
      </c>
      <c r="G1226" s="244"/>
      <c r="I1226" s="86">
        <v>46015.0</v>
      </c>
      <c r="J1226" s="88">
        <f t="shared" si="167"/>
        <v>46015</v>
      </c>
      <c r="K1226" s="93">
        <v>10.0</v>
      </c>
      <c r="L1226" s="133" t="s">
        <v>1347</v>
      </c>
      <c r="M1226" s="51"/>
      <c r="N1226" s="86"/>
      <c r="O1226" s="88" t="str">
        <f t="shared" ref="O1226:O1227" si="169">N1226</f>
        <v/>
      </c>
      <c r="P1226" s="93">
        <v>0.0</v>
      </c>
      <c r="Q1226" s="91"/>
    </row>
    <row r="1227" ht="14.25" hidden="1" customHeight="1" outlineLevel="2">
      <c r="A1227" s="102">
        <v>45995.0</v>
      </c>
      <c r="B1227" s="97">
        <f>A1227</f>
        <v>45995</v>
      </c>
      <c r="C1227" s="313">
        <v>0.2916666666666667</v>
      </c>
      <c r="D1227" s="242" t="s">
        <v>119</v>
      </c>
      <c r="E1227" s="275">
        <v>21.0</v>
      </c>
      <c r="F1227" s="242" t="s">
        <v>1348</v>
      </c>
      <c r="G1227" s="244"/>
      <c r="I1227" s="86"/>
      <c r="J1227" s="88"/>
      <c r="K1227" s="92"/>
      <c r="L1227" s="90"/>
      <c r="M1227" s="51"/>
      <c r="N1227" s="86"/>
      <c r="O1227" s="88" t="str">
        <f t="shared" si="169"/>
        <v/>
      </c>
      <c r="P1227" s="93">
        <v>0.0</v>
      </c>
      <c r="Q1227" s="91"/>
    </row>
    <row r="1228" ht="14.25" hidden="1" customHeight="1" outlineLevel="2">
      <c r="A1228" s="10"/>
      <c r="B1228" s="10"/>
      <c r="C1228" s="313">
        <v>0.5069444444444444</v>
      </c>
      <c r="D1228" s="242" t="s">
        <v>980</v>
      </c>
      <c r="E1228" s="275">
        <v>2.0</v>
      </c>
      <c r="F1228" s="242" t="s">
        <v>1349</v>
      </c>
      <c r="G1228" s="244"/>
      <c r="I1228" s="86"/>
      <c r="J1228" s="88"/>
      <c r="K1228" s="92"/>
      <c r="L1228" s="90"/>
      <c r="M1228" s="51"/>
      <c r="N1228" s="165" t="s">
        <v>195</v>
      </c>
      <c r="O1228" s="165"/>
      <c r="P1228" s="291">
        <f>SUM(P1222:P1226)</f>
        <v>5200</v>
      </c>
      <c r="Q1228" s="114"/>
    </row>
    <row r="1229" ht="14.25" hidden="1" customHeight="1" outlineLevel="2">
      <c r="A1229" s="102">
        <v>45996.0</v>
      </c>
      <c r="B1229" s="97">
        <f>A1229</f>
        <v>45996</v>
      </c>
      <c r="C1229" s="313">
        <v>0.2916666666666667</v>
      </c>
      <c r="D1229" s="242" t="s">
        <v>236</v>
      </c>
      <c r="E1229" s="275">
        <v>79.0</v>
      </c>
      <c r="F1229" s="242" t="s">
        <v>1029</v>
      </c>
      <c r="G1229" s="244"/>
      <c r="I1229" s="108" t="s">
        <v>195</v>
      </c>
      <c r="J1229" s="109"/>
      <c r="K1229" s="113">
        <f>SUM(K1222:K1228)</f>
        <v>265.45</v>
      </c>
      <c r="L1229" s="114"/>
      <c r="M1229" s="51"/>
    </row>
    <row r="1230" ht="14.25" hidden="1" customHeight="1" outlineLevel="2">
      <c r="A1230" s="10"/>
      <c r="B1230" s="10"/>
      <c r="C1230" s="313">
        <v>0.5069444444444444</v>
      </c>
      <c r="D1230" s="242" t="s">
        <v>1071</v>
      </c>
      <c r="E1230" s="275">
        <v>23.0</v>
      </c>
      <c r="F1230" s="242" t="s">
        <v>626</v>
      </c>
      <c r="G1230" s="244"/>
      <c r="N1230" s="235" t="s">
        <v>344</v>
      </c>
      <c r="O1230" s="27"/>
      <c r="P1230" s="27"/>
      <c r="Q1230" s="28"/>
    </row>
    <row r="1231" ht="14.25" hidden="1" customHeight="1" outlineLevel="2">
      <c r="A1231" s="125">
        <v>45997.0</v>
      </c>
      <c r="B1231" s="126">
        <f t="shared" ref="B1231:B1232" si="170">A1231</f>
        <v>45997</v>
      </c>
      <c r="C1231" s="313">
        <v>0.3333333333333333</v>
      </c>
      <c r="D1231" s="242" t="s">
        <v>119</v>
      </c>
      <c r="E1231" s="275">
        <v>34.0</v>
      </c>
      <c r="F1231" s="242" t="s">
        <v>1352</v>
      </c>
      <c r="G1231" s="244"/>
      <c r="N1231" s="81" t="s">
        <v>6</v>
      </c>
      <c r="O1231" s="84" t="s">
        <v>115</v>
      </c>
      <c r="P1231" s="84" t="s">
        <v>9</v>
      </c>
      <c r="Q1231" s="81" t="s">
        <v>13</v>
      </c>
    </row>
    <row r="1232" ht="14.25" hidden="1" customHeight="1" outlineLevel="2">
      <c r="A1232" s="102">
        <v>45998.0</v>
      </c>
      <c r="B1232" s="97">
        <f t="shared" si="170"/>
        <v>45998</v>
      </c>
      <c r="C1232" s="313">
        <v>0.3333333333333333</v>
      </c>
      <c r="D1232" s="242" t="s">
        <v>1353</v>
      </c>
      <c r="E1232" s="275">
        <v>593.0</v>
      </c>
      <c r="F1232" s="242" t="s">
        <v>1354</v>
      </c>
      <c r="G1232" s="244"/>
      <c r="I1232" s="341" t="s">
        <v>195</v>
      </c>
      <c r="J1232" s="112"/>
      <c r="K1232" s="342">
        <f>E1281+K1229+P1228+P1234</f>
        <v>14926.45</v>
      </c>
      <c r="L1232" s="112"/>
      <c r="N1232" s="86">
        <v>46002.0</v>
      </c>
      <c r="O1232" s="88">
        <f>N1232</f>
        <v>46002</v>
      </c>
      <c r="P1232" s="93">
        <v>150.0</v>
      </c>
      <c r="Q1232" s="91" t="s">
        <v>1355</v>
      </c>
    </row>
    <row r="1233" ht="14.25" hidden="1" customHeight="1" outlineLevel="2">
      <c r="A1233" s="58"/>
      <c r="B1233" s="58"/>
      <c r="C1233" s="313">
        <v>0.4583333333333333</v>
      </c>
      <c r="D1233" s="242" t="s">
        <v>1251</v>
      </c>
      <c r="E1233" s="275">
        <v>707.0</v>
      </c>
      <c r="F1233" s="242" t="s">
        <v>1356</v>
      </c>
      <c r="G1233" s="244"/>
      <c r="I1233" s="343"/>
      <c r="J1233" s="74"/>
      <c r="K1233" s="343"/>
      <c r="L1233" s="74"/>
      <c r="N1233" s="86"/>
      <c r="O1233" s="88"/>
      <c r="P1233" s="93">
        <v>0.0</v>
      </c>
      <c r="Q1233" s="91"/>
    </row>
    <row r="1234" ht="14.25" hidden="1" customHeight="1" outlineLevel="2">
      <c r="A1234" s="10"/>
      <c r="B1234" s="10"/>
      <c r="C1234" s="313">
        <v>0.7708333333333334</v>
      </c>
      <c r="D1234" s="242" t="s">
        <v>1357</v>
      </c>
      <c r="E1234" s="275">
        <v>400.0</v>
      </c>
      <c r="F1234" s="242" t="s">
        <v>579</v>
      </c>
      <c r="G1234" s="244"/>
      <c r="N1234" s="165" t="s">
        <v>195</v>
      </c>
      <c r="O1234" s="165"/>
      <c r="P1234" s="113">
        <f>SUM(P1230:P1233)</f>
        <v>150</v>
      </c>
      <c r="Q1234" s="114"/>
    </row>
    <row r="1235" ht="14.25" hidden="1" customHeight="1" outlineLevel="2">
      <c r="A1235" s="102">
        <v>45999.0</v>
      </c>
      <c r="B1235" s="97">
        <f>A1235</f>
        <v>45999</v>
      </c>
      <c r="C1235" s="313">
        <v>0.2916666666666667</v>
      </c>
      <c r="D1235" s="242" t="s">
        <v>119</v>
      </c>
      <c r="E1235" s="275">
        <v>180.0</v>
      </c>
      <c r="F1235" s="242" t="s">
        <v>842</v>
      </c>
      <c r="G1235" s="244"/>
    </row>
    <row r="1236" ht="14.25" hidden="1" customHeight="1" outlineLevel="2">
      <c r="A1236" s="58"/>
      <c r="B1236" s="10"/>
      <c r="C1236" s="313">
        <v>0.5069444444444444</v>
      </c>
      <c r="D1236" s="242" t="s">
        <v>1327</v>
      </c>
      <c r="E1236" s="275">
        <v>291.0</v>
      </c>
      <c r="F1236" s="242" t="s">
        <v>1082</v>
      </c>
      <c r="G1236" s="244"/>
    </row>
    <row r="1237" ht="14.25" hidden="1" customHeight="1" outlineLevel="2">
      <c r="A1237" s="102">
        <v>46000.0</v>
      </c>
      <c r="B1237" s="97">
        <f>A1237</f>
        <v>46000</v>
      </c>
      <c r="C1237" s="313">
        <v>0.2916666666666667</v>
      </c>
      <c r="D1237" s="242" t="s">
        <v>236</v>
      </c>
      <c r="E1237" s="275">
        <v>36.0</v>
      </c>
      <c r="F1237" s="242" t="s">
        <v>378</v>
      </c>
      <c r="G1237" s="244"/>
    </row>
    <row r="1238" ht="14.25" hidden="1" customHeight="1" outlineLevel="2">
      <c r="A1238" s="58"/>
      <c r="B1238" s="10"/>
      <c r="C1238" s="313">
        <v>0.5069444444444444</v>
      </c>
      <c r="D1238" s="242" t="s">
        <v>456</v>
      </c>
      <c r="E1238" s="275">
        <v>12.0</v>
      </c>
      <c r="F1238" s="242" t="s">
        <v>707</v>
      </c>
      <c r="G1238" s="244"/>
    </row>
    <row r="1239" ht="14.25" hidden="1" customHeight="1" outlineLevel="2">
      <c r="A1239" s="102">
        <v>46001.0</v>
      </c>
      <c r="B1239" s="97">
        <f>A1239</f>
        <v>46001</v>
      </c>
      <c r="C1239" s="313">
        <v>0.2916666666666667</v>
      </c>
      <c r="D1239" s="242" t="s">
        <v>119</v>
      </c>
      <c r="E1239" s="275">
        <v>64.0</v>
      </c>
      <c r="F1239" s="242" t="s">
        <v>1007</v>
      </c>
      <c r="G1239" s="244"/>
    </row>
    <row r="1240" ht="14.25" hidden="1" customHeight="1" outlineLevel="2">
      <c r="A1240" s="58"/>
      <c r="B1240" s="58"/>
      <c r="C1240" s="313">
        <v>0.5069444444444444</v>
      </c>
      <c r="D1240" s="242" t="s">
        <v>1064</v>
      </c>
      <c r="E1240" s="275">
        <v>20.0</v>
      </c>
      <c r="F1240" s="242" t="s">
        <v>1358</v>
      </c>
      <c r="G1240" s="244"/>
    </row>
    <row r="1241" ht="14.25" hidden="1" customHeight="1" outlineLevel="2">
      <c r="A1241" s="10"/>
      <c r="B1241" s="10"/>
      <c r="C1241" s="313">
        <v>0.7916666666666666</v>
      </c>
      <c r="D1241" s="242" t="s">
        <v>1020</v>
      </c>
      <c r="E1241" s="275">
        <v>213.0</v>
      </c>
      <c r="F1241" s="242" t="s">
        <v>1359</v>
      </c>
      <c r="G1241" s="244"/>
    </row>
    <row r="1242" ht="14.25" hidden="1" customHeight="1" outlineLevel="2">
      <c r="A1242" s="102">
        <v>46002.0</v>
      </c>
      <c r="B1242" s="97">
        <f>A1242</f>
        <v>46002</v>
      </c>
      <c r="C1242" s="313">
        <v>0.2916666666666667</v>
      </c>
      <c r="D1242" s="242" t="s">
        <v>119</v>
      </c>
      <c r="E1242" s="275">
        <v>20.0</v>
      </c>
      <c r="F1242" s="242" t="s">
        <v>1360</v>
      </c>
      <c r="G1242" s="244"/>
    </row>
    <row r="1243" ht="14.25" hidden="1" customHeight="1" outlineLevel="2">
      <c r="A1243" s="10"/>
      <c r="B1243" s="10"/>
      <c r="C1243" s="313">
        <v>0.5069444444444444</v>
      </c>
      <c r="D1243" s="242" t="s">
        <v>980</v>
      </c>
      <c r="E1243" s="275">
        <v>15.0</v>
      </c>
      <c r="F1243" s="242" t="s">
        <v>1104</v>
      </c>
      <c r="G1243" s="244"/>
    </row>
    <row r="1244" ht="14.25" hidden="1" customHeight="1" outlineLevel="2">
      <c r="A1244" s="102">
        <v>46003.0</v>
      </c>
      <c r="B1244" s="97">
        <f>A1244</f>
        <v>46003</v>
      </c>
      <c r="C1244" s="313">
        <v>0.2916666666666667</v>
      </c>
      <c r="D1244" s="242" t="s">
        <v>236</v>
      </c>
      <c r="E1244" s="275">
        <v>98.0</v>
      </c>
      <c r="F1244" s="242" t="s">
        <v>1361</v>
      </c>
      <c r="G1244" s="244"/>
    </row>
    <row r="1245" ht="14.25" hidden="1" customHeight="1" outlineLevel="2">
      <c r="A1245" s="10"/>
      <c r="B1245" s="10"/>
      <c r="C1245" s="313">
        <v>0.5069444444444444</v>
      </c>
      <c r="D1245" s="242" t="s">
        <v>1362</v>
      </c>
      <c r="E1245" s="275">
        <v>126.0</v>
      </c>
      <c r="F1245" s="242" t="s">
        <v>1024</v>
      </c>
      <c r="G1245" s="244"/>
    </row>
    <row r="1246" ht="14.25" hidden="1" customHeight="1" outlineLevel="2">
      <c r="A1246" s="125">
        <v>46004.0</v>
      </c>
      <c r="B1246" s="126">
        <f t="shared" ref="B1246:B1247" si="171">A1246</f>
        <v>46004</v>
      </c>
      <c r="C1246" s="313">
        <v>0.3333333333333333</v>
      </c>
      <c r="D1246" s="242" t="s">
        <v>490</v>
      </c>
      <c r="E1246" s="275">
        <v>49.0</v>
      </c>
      <c r="F1246" s="242" t="s">
        <v>1363</v>
      </c>
      <c r="G1246" s="244"/>
    </row>
    <row r="1247" ht="14.25" hidden="1" customHeight="1" outlineLevel="2">
      <c r="A1247" s="102">
        <v>46005.0</v>
      </c>
      <c r="B1247" s="97">
        <f t="shared" si="171"/>
        <v>46005</v>
      </c>
      <c r="C1247" s="313">
        <v>0.3333333333333333</v>
      </c>
      <c r="D1247" s="242" t="s">
        <v>490</v>
      </c>
      <c r="E1247" s="275">
        <v>302.0</v>
      </c>
      <c r="F1247" s="242" t="s">
        <v>1319</v>
      </c>
      <c r="G1247" s="244"/>
    </row>
    <row r="1248" ht="14.25" hidden="1" customHeight="1" outlineLevel="2">
      <c r="A1248" s="58"/>
      <c r="B1248" s="58"/>
      <c r="C1248" s="313">
        <v>0.4583333333333333</v>
      </c>
      <c r="D1248" s="242" t="s">
        <v>980</v>
      </c>
      <c r="E1248" s="275">
        <v>370.0</v>
      </c>
      <c r="F1248" s="242" t="s">
        <v>1364</v>
      </c>
      <c r="G1248" s="244"/>
    </row>
    <row r="1249" ht="14.25" hidden="1" customHeight="1" outlineLevel="2">
      <c r="A1249" s="10"/>
      <c r="B1249" s="10"/>
      <c r="C1249" s="313">
        <v>0.7708333333333334</v>
      </c>
      <c r="D1249" s="242" t="s">
        <v>342</v>
      </c>
      <c r="E1249" s="275">
        <v>148.0</v>
      </c>
      <c r="F1249" s="242" t="s">
        <v>1365</v>
      </c>
      <c r="G1249" s="244"/>
    </row>
    <row r="1250" ht="14.25" hidden="1" customHeight="1" outlineLevel="2">
      <c r="A1250" s="102">
        <v>46006.0</v>
      </c>
      <c r="B1250" s="97">
        <f>A1250</f>
        <v>46006</v>
      </c>
      <c r="C1250" s="313">
        <v>0.2916666666666667</v>
      </c>
      <c r="D1250" s="242" t="s">
        <v>119</v>
      </c>
      <c r="E1250" s="275">
        <v>29.0</v>
      </c>
      <c r="F1250" s="242" t="s">
        <v>303</v>
      </c>
      <c r="G1250" s="244"/>
    </row>
    <row r="1251" ht="14.25" hidden="1" customHeight="1" outlineLevel="2">
      <c r="A1251" s="58"/>
      <c r="B1251" s="10"/>
      <c r="C1251" s="313">
        <v>0.5069444444444444</v>
      </c>
      <c r="D1251" s="242" t="s">
        <v>1064</v>
      </c>
      <c r="E1251" s="275">
        <v>29.0</v>
      </c>
      <c r="F1251" s="242" t="s">
        <v>1271</v>
      </c>
      <c r="G1251" s="244"/>
    </row>
    <row r="1252" ht="14.25" hidden="1" customHeight="1" outlineLevel="2">
      <c r="A1252" s="102">
        <v>46007.0</v>
      </c>
      <c r="B1252" s="97">
        <f>A1252</f>
        <v>46007</v>
      </c>
      <c r="C1252" s="313">
        <v>0.2916666666666667</v>
      </c>
      <c r="D1252" s="242" t="s">
        <v>236</v>
      </c>
      <c r="E1252" s="275">
        <v>169.0</v>
      </c>
      <c r="F1252" s="242" t="s">
        <v>1359</v>
      </c>
      <c r="G1252" s="244"/>
    </row>
    <row r="1253" ht="14.25" hidden="1" customHeight="1" outlineLevel="2">
      <c r="A1253" s="58"/>
      <c r="B1253" s="10"/>
      <c r="C1253" s="313">
        <v>0.5069444444444444</v>
      </c>
      <c r="D1253" s="242" t="s">
        <v>456</v>
      </c>
      <c r="E1253" s="275">
        <v>15.0</v>
      </c>
      <c r="F1253" s="242" t="s">
        <v>1015</v>
      </c>
      <c r="G1253" s="244"/>
    </row>
    <row r="1254" ht="14.25" hidden="1" customHeight="1" outlineLevel="2">
      <c r="A1254" s="102">
        <v>46008.0</v>
      </c>
      <c r="B1254" s="97">
        <f>A1254</f>
        <v>46008</v>
      </c>
      <c r="C1254" s="313">
        <v>0.2916666666666667</v>
      </c>
      <c r="D1254" s="242" t="s">
        <v>119</v>
      </c>
      <c r="E1254" s="275">
        <v>39.0</v>
      </c>
      <c r="F1254" s="242" t="s">
        <v>1001</v>
      </c>
      <c r="G1254" s="244"/>
    </row>
    <row r="1255" ht="14.25" hidden="1" customHeight="1" outlineLevel="2">
      <c r="A1255" s="10"/>
      <c r="B1255" s="10"/>
      <c r="C1255" s="313">
        <v>0.5069444444444444</v>
      </c>
      <c r="D1255" s="242" t="s">
        <v>1064</v>
      </c>
      <c r="E1255" s="275">
        <v>38.0</v>
      </c>
      <c r="F1255" s="242" t="s">
        <v>630</v>
      </c>
      <c r="G1255" s="244"/>
    </row>
    <row r="1256" ht="14.25" hidden="1" customHeight="1" outlineLevel="2">
      <c r="A1256" s="102">
        <v>46009.0</v>
      </c>
      <c r="B1256" s="97">
        <f>A1256</f>
        <v>46009</v>
      </c>
      <c r="C1256" s="313">
        <v>0.2916666666666667</v>
      </c>
      <c r="D1256" s="242" t="s">
        <v>119</v>
      </c>
      <c r="E1256" s="275">
        <v>62.0</v>
      </c>
      <c r="F1256" s="242" t="s">
        <v>205</v>
      </c>
      <c r="G1256" s="244"/>
    </row>
    <row r="1257" ht="14.25" hidden="1" customHeight="1" outlineLevel="2">
      <c r="A1257" s="10"/>
      <c r="B1257" s="10"/>
      <c r="C1257" s="313">
        <v>0.5069444444444444</v>
      </c>
      <c r="D1257" s="242" t="s">
        <v>980</v>
      </c>
      <c r="E1257" s="275">
        <v>0.0</v>
      </c>
      <c r="F1257" s="242" t="s">
        <v>842</v>
      </c>
      <c r="G1257" s="244"/>
    </row>
    <row r="1258" ht="14.25" hidden="1" customHeight="1" outlineLevel="2">
      <c r="A1258" s="102">
        <v>46010.0</v>
      </c>
      <c r="B1258" s="97">
        <f>A1258</f>
        <v>46010</v>
      </c>
      <c r="C1258" s="313">
        <v>0.2916666666666667</v>
      </c>
      <c r="D1258" s="242" t="s">
        <v>236</v>
      </c>
      <c r="E1258" s="275">
        <v>52.0</v>
      </c>
      <c r="F1258" s="242" t="s">
        <v>1370</v>
      </c>
      <c r="G1258" s="244"/>
    </row>
    <row r="1259" ht="14.25" hidden="1" customHeight="1" outlineLevel="2">
      <c r="A1259" s="10"/>
      <c r="B1259" s="10"/>
      <c r="C1259" s="313">
        <v>0.5069444444444444</v>
      </c>
      <c r="D1259" s="242" t="s">
        <v>1062</v>
      </c>
      <c r="E1259" s="275">
        <v>4.0</v>
      </c>
      <c r="F1259" s="242" t="s">
        <v>1191</v>
      </c>
      <c r="G1259" s="244"/>
    </row>
    <row r="1260" ht="14.25" hidden="1" customHeight="1" outlineLevel="2">
      <c r="A1260" s="125">
        <v>46011.0</v>
      </c>
      <c r="B1260" s="126">
        <f t="shared" ref="B1260:B1261" si="172">A1260</f>
        <v>46011</v>
      </c>
      <c r="C1260" s="313">
        <v>0.3333333333333333</v>
      </c>
      <c r="D1260" s="242" t="s">
        <v>119</v>
      </c>
      <c r="E1260" s="275">
        <v>110.0</v>
      </c>
      <c r="F1260" s="242" t="s">
        <v>1371</v>
      </c>
      <c r="G1260" s="244"/>
    </row>
    <row r="1261" ht="14.25" hidden="1" customHeight="1" outlineLevel="2">
      <c r="A1261" s="102">
        <v>46012.0</v>
      </c>
      <c r="B1261" s="97">
        <f t="shared" si="172"/>
        <v>46012</v>
      </c>
      <c r="C1261" s="313">
        <v>0.3333333333333333</v>
      </c>
      <c r="D1261" s="242" t="s">
        <v>490</v>
      </c>
      <c r="E1261" s="275">
        <v>530.0</v>
      </c>
      <c r="F1261" s="242" t="s">
        <v>1374</v>
      </c>
      <c r="G1261" s="244"/>
    </row>
    <row r="1262" ht="14.25" hidden="1" customHeight="1" outlineLevel="2">
      <c r="A1262" s="58"/>
      <c r="B1262" s="58"/>
      <c r="C1262" s="313">
        <v>0.4583333333333333</v>
      </c>
      <c r="D1262" s="242" t="s">
        <v>1185</v>
      </c>
      <c r="E1262" s="275">
        <v>461.0</v>
      </c>
      <c r="F1262" s="242" t="s">
        <v>1375</v>
      </c>
      <c r="G1262" s="244"/>
    </row>
    <row r="1263" ht="14.25" hidden="1" customHeight="1" outlineLevel="2">
      <c r="A1263" s="10"/>
      <c r="B1263" s="10"/>
      <c r="C1263" s="313">
        <v>0.7708333333333334</v>
      </c>
      <c r="D1263" s="242" t="s">
        <v>820</v>
      </c>
      <c r="E1263" s="275">
        <v>408.0</v>
      </c>
      <c r="F1263" s="242" t="s">
        <v>1341</v>
      </c>
      <c r="G1263" s="244"/>
    </row>
    <row r="1264" ht="14.25" hidden="1" customHeight="1" outlineLevel="2">
      <c r="A1264" s="102">
        <v>46013.0</v>
      </c>
      <c r="B1264" s="97">
        <f>A1264</f>
        <v>46013</v>
      </c>
      <c r="C1264" s="313">
        <v>0.2916666666666667</v>
      </c>
      <c r="D1264" s="242" t="s">
        <v>119</v>
      </c>
      <c r="E1264" s="275">
        <v>90.0</v>
      </c>
      <c r="F1264" s="242" t="s">
        <v>303</v>
      </c>
      <c r="G1264" s="244"/>
    </row>
    <row r="1265" ht="14.25" hidden="1" customHeight="1" outlineLevel="2">
      <c r="A1265" s="58"/>
      <c r="B1265" s="10"/>
      <c r="C1265" s="313">
        <v>0.5069444444444444</v>
      </c>
      <c r="D1265" s="242" t="s">
        <v>1062</v>
      </c>
      <c r="E1265" s="275">
        <v>22.0</v>
      </c>
      <c r="F1265" s="242" t="s">
        <v>914</v>
      </c>
      <c r="G1265" s="244"/>
    </row>
    <row r="1266" ht="14.25" hidden="1" customHeight="1" outlineLevel="2">
      <c r="A1266" s="102">
        <v>46014.0</v>
      </c>
      <c r="B1266" s="97">
        <f>A1266</f>
        <v>46014</v>
      </c>
      <c r="C1266" s="313">
        <v>0.2916666666666667</v>
      </c>
      <c r="D1266" s="242" t="s">
        <v>236</v>
      </c>
      <c r="E1266" s="275">
        <v>49.0</v>
      </c>
      <c r="F1266" s="242" t="s">
        <v>1377</v>
      </c>
      <c r="G1266" s="244"/>
    </row>
    <row r="1267" ht="14.25" hidden="1" customHeight="1" outlineLevel="2">
      <c r="A1267" s="58"/>
      <c r="B1267" s="10"/>
      <c r="C1267" s="313">
        <v>0.5069444444444444</v>
      </c>
      <c r="D1267" s="242" t="s">
        <v>1064</v>
      </c>
      <c r="E1267" s="275">
        <v>32.0</v>
      </c>
      <c r="F1267" s="242" t="s">
        <v>1378</v>
      </c>
      <c r="G1267" s="244"/>
    </row>
    <row r="1268" ht="14.25" hidden="1" customHeight="1" outlineLevel="2">
      <c r="A1268" s="125">
        <v>46015.0</v>
      </c>
      <c r="B1268" s="126">
        <f t="shared" ref="B1268:B1270" si="173">A1268</f>
        <v>46015</v>
      </c>
      <c r="C1268" s="313">
        <v>0.7708333333333334</v>
      </c>
      <c r="D1268" s="242" t="s">
        <v>490</v>
      </c>
      <c r="E1268" s="275">
        <v>640.0</v>
      </c>
      <c r="F1268" s="242" t="s">
        <v>1379</v>
      </c>
      <c r="G1268" s="244"/>
    </row>
    <row r="1269" ht="14.25" hidden="1" customHeight="1" outlineLevel="2">
      <c r="A1269" s="125">
        <v>46016.0</v>
      </c>
      <c r="B1269" s="126">
        <f t="shared" si="173"/>
        <v>46016</v>
      </c>
      <c r="C1269" s="313">
        <v>0.7708333333333334</v>
      </c>
      <c r="D1269" s="242" t="s">
        <v>490</v>
      </c>
      <c r="E1269" s="275">
        <v>734.0</v>
      </c>
      <c r="F1269" s="242" t="s">
        <v>1380</v>
      </c>
      <c r="G1269" s="244"/>
    </row>
    <row r="1270" ht="14.25" hidden="1" customHeight="1" outlineLevel="2">
      <c r="A1270" s="102">
        <v>46017.0</v>
      </c>
      <c r="B1270" s="97">
        <f t="shared" si="173"/>
        <v>46017</v>
      </c>
      <c r="C1270" s="313">
        <v>0.2916666666666667</v>
      </c>
      <c r="D1270" s="242" t="s">
        <v>236</v>
      </c>
      <c r="E1270" s="275">
        <v>42.0</v>
      </c>
      <c r="F1270" s="242" t="s">
        <v>881</v>
      </c>
      <c r="G1270" s="244"/>
    </row>
    <row r="1271" ht="14.25" hidden="1" customHeight="1" outlineLevel="2">
      <c r="A1271" s="10"/>
      <c r="B1271" s="10"/>
      <c r="C1271" s="313">
        <v>0.5069444444444444</v>
      </c>
      <c r="D1271" s="242" t="s">
        <v>1062</v>
      </c>
      <c r="E1271" s="275">
        <v>60.0</v>
      </c>
      <c r="F1271" s="242" t="s">
        <v>1381</v>
      </c>
      <c r="G1271" s="244"/>
    </row>
    <row r="1272" ht="14.25" hidden="1" customHeight="1" outlineLevel="2">
      <c r="A1272" s="125">
        <v>46018.0</v>
      </c>
      <c r="B1272" s="126">
        <f t="shared" ref="B1272:B1273" si="174">A1272</f>
        <v>46018</v>
      </c>
      <c r="C1272" s="313">
        <v>0.3333333333333333</v>
      </c>
      <c r="D1272" s="242" t="s">
        <v>119</v>
      </c>
      <c r="E1272" s="275">
        <v>19.0</v>
      </c>
      <c r="F1272" s="242" t="s">
        <v>1319</v>
      </c>
      <c r="G1272" s="244"/>
    </row>
    <row r="1273" ht="14.25" hidden="1" customHeight="1" outlineLevel="2">
      <c r="A1273" s="102">
        <v>46019.0</v>
      </c>
      <c r="B1273" s="97">
        <f t="shared" si="174"/>
        <v>46019</v>
      </c>
      <c r="C1273" s="313">
        <v>0.3333333333333333</v>
      </c>
      <c r="D1273" s="242" t="s">
        <v>1382</v>
      </c>
      <c r="E1273" s="275">
        <v>246.0</v>
      </c>
      <c r="F1273" s="242" t="s">
        <v>1383</v>
      </c>
      <c r="G1273" s="244"/>
    </row>
    <row r="1274" ht="14.25" hidden="1" customHeight="1" outlineLevel="2">
      <c r="A1274" s="58"/>
      <c r="B1274" s="58"/>
      <c r="C1274" s="313">
        <v>0.4583333333333333</v>
      </c>
      <c r="D1274" s="242" t="s">
        <v>980</v>
      </c>
      <c r="E1274" s="275">
        <v>558.0</v>
      </c>
      <c r="F1274" s="242" t="s">
        <v>1384</v>
      </c>
      <c r="G1274" s="244"/>
    </row>
    <row r="1275" ht="14.25" hidden="1" customHeight="1" outlineLevel="2">
      <c r="A1275" s="10"/>
      <c r="B1275" s="10"/>
      <c r="C1275" s="313">
        <v>0.7708333333333334</v>
      </c>
      <c r="D1275" s="242" t="s">
        <v>1165</v>
      </c>
      <c r="E1275" s="275">
        <v>560.0</v>
      </c>
      <c r="F1275" s="242" t="s">
        <v>701</v>
      </c>
      <c r="G1275" s="244"/>
    </row>
    <row r="1276" ht="14.25" hidden="1" customHeight="1" outlineLevel="2">
      <c r="A1276" s="102">
        <v>46020.0</v>
      </c>
      <c r="B1276" s="97">
        <f>A1276</f>
        <v>46020</v>
      </c>
      <c r="C1276" s="313">
        <v>0.2916666666666667</v>
      </c>
      <c r="D1276" s="242" t="s">
        <v>119</v>
      </c>
      <c r="E1276" s="275">
        <v>4.0</v>
      </c>
      <c r="F1276" s="242" t="s">
        <v>1385</v>
      </c>
      <c r="G1276" s="244"/>
    </row>
    <row r="1277" ht="14.25" hidden="1" customHeight="1" outlineLevel="2">
      <c r="A1277" s="58"/>
      <c r="B1277" s="10"/>
      <c r="C1277" s="313">
        <v>0.5069444444444444</v>
      </c>
      <c r="D1277" s="242" t="s">
        <v>1327</v>
      </c>
      <c r="E1277" s="275">
        <v>15.0</v>
      </c>
      <c r="F1277" s="242" t="s">
        <v>300</v>
      </c>
      <c r="G1277" s="244"/>
    </row>
    <row r="1278" ht="14.25" hidden="1" customHeight="1" outlineLevel="2">
      <c r="A1278" s="102">
        <v>46021.0</v>
      </c>
      <c r="B1278" s="97">
        <f>A1278</f>
        <v>46021</v>
      </c>
      <c r="C1278" s="313">
        <v>0.2916666666666667</v>
      </c>
      <c r="D1278" s="242" t="s">
        <v>236</v>
      </c>
      <c r="E1278" s="275">
        <v>100.0</v>
      </c>
      <c r="F1278" s="242" t="s">
        <v>1388</v>
      </c>
      <c r="G1278" s="244"/>
    </row>
    <row r="1279" ht="14.25" hidden="1" customHeight="1" outlineLevel="2">
      <c r="A1279" s="58"/>
      <c r="B1279" s="10"/>
      <c r="C1279" s="313">
        <v>0.5069444444444444</v>
      </c>
      <c r="D1279" s="242" t="s">
        <v>1064</v>
      </c>
      <c r="E1279" s="275">
        <v>20.0</v>
      </c>
      <c r="F1279" s="242" t="s">
        <v>1389</v>
      </c>
      <c r="G1279" s="244"/>
    </row>
    <row r="1280" ht="14.25" hidden="1" customHeight="1" outlineLevel="2">
      <c r="A1280" s="125">
        <v>46022.0</v>
      </c>
      <c r="B1280" s="126">
        <f>A1280</f>
        <v>46022</v>
      </c>
      <c r="C1280" s="313">
        <v>0.2916666666666667</v>
      </c>
      <c r="D1280" s="242" t="s">
        <v>119</v>
      </c>
      <c r="E1280" s="275">
        <v>70.0</v>
      </c>
      <c r="F1280" s="242" t="s">
        <v>300</v>
      </c>
      <c r="G1280" s="244"/>
    </row>
    <row r="1281" ht="14.25" customHeight="1" outlineLevel="1">
      <c r="A1281" s="117" t="s">
        <v>195</v>
      </c>
      <c r="B1281" s="27"/>
      <c r="C1281" s="27"/>
      <c r="D1281" s="28"/>
      <c r="E1281" s="312">
        <f>SUM(E1221:E1280)</f>
        <v>9311</v>
      </c>
      <c r="F1281" s="244"/>
      <c r="G1281" s="244"/>
    </row>
    <row r="1282" ht="14.25" customHeight="1">
      <c r="A1282" s="329"/>
      <c r="B1282" s="330"/>
      <c r="C1282" s="331"/>
      <c r="D1282" s="335"/>
      <c r="E1282" s="336"/>
      <c r="F1282" s="335"/>
      <c r="G1282" s="332"/>
    </row>
    <row r="1283" ht="14.25" customHeight="1" collapsed="1">
      <c r="A1283" s="339" t="s">
        <v>1390</v>
      </c>
      <c r="B1283" s="246"/>
      <c r="C1283" s="246"/>
      <c r="D1283" s="246"/>
      <c r="E1283" s="246"/>
      <c r="F1283" s="246"/>
      <c r="G1283" s="246"/>
      <c r="H1283" s="246"/>
      <c r="I1283" s="246"/>
      <c r="J1283" s="246"/>
      <c r="K1283" s="246"/>
      <c r="L1283" s="246"/>
      <c r="M1283" s="246"/>
      <c r="N1283" s="246"/>
      <c r="O1283" s="246"/>
      <c r="P1283" s="246"/>
      <c r="Q1283" s="247"/>
    </row>
    <row r="1284" ht="14.25" hidden="1" customHeight="1" outlineLevel="1">
      <c r="A1284" s="125">
        <v>46023.0</v>
      </c>
      <c r="B1284" s="126">
        <f t="shared" ref="B1284:B1285" si="175">A1284</f>
        <v>46023</v>
      </c>
      <c r="C1284" s="313">
        <v>0.7708333333333334</v>
      </c>
      <c r="D1284" s="242" t="s">
        <v>1394</v>
      </c>
      <c r="E1284" s="275">
        <v>208.0</v>
      </c>
      <c r="F1284" s="242" t="s">
        <v>1395</v>
      </c>
      <c r="G1284" s="244"/>
      <c r="I1284" s="72" t="s">
        <v>91</v>
      </c>
      <c r="J1284" s="73"/>
      <c r="K1284" s="73"/>
      <c r="L1284" s="74"/>
      <c r="N1284" s="72" t="s">
        <v>992</v>
      </c>
      <c r="O1284" s="73"/>
      <c r="P1284" s="73"/>
      <c r="Q1284" s="74"/>
    </row>
    <row r="1285" ht="14.25" hidden="1" customHeight="1" outlineLevel="1">
      <c r="A1285" s="102">
        <v>46024.0</v>
      </c>
      <c r="B1285" s="97">
        <f t="shared" si="175"/>
        <v>46024</v>
      </c>
      <c r="C1285" s="313">
        <v>0.2916666666666667</v>
      </c>
      <c r="D1285" s="242" t="s">
        <v>236</v>
      </c>
      <c r="E1285" s="275">
        <v>75.0</v>
      </c>
      <c r="F1285" s="242" t="s">
        <v>561</v>
      </c>
      <c r="G1285" s="244"/>
      <c r="I1285" s="86">
        <v>46025.0</v>
      </c>
      <c r="J1285" s="88">
        <f t="shared" ref="J1285:J1288" si="176">I1285</f>
        <v>46025</v>
      </c>
      <c r="K1285" s="93">
        <v>49.8</v>
      </c>
      <c r="L1285" s="90"/>
      <c r="M1285" s="51"/>
      <c r="N1285" s="86">
        <v>46025.0</v>
      </c>
      <c r="O1285" s="88">
        <f t="shared" ref="O1285:O1287" si="177">N1285</f>
        <v>46025</v>
      </c>
      <c r="P1285" s="93">
        <v>200.0</v>
      </c>
      <c r="Q1285" s="91" t="s">
        <v>1396</v>
      </c>
    </row>
    <row r="1286" ht="14.25" hidden="1" customHeight="1" outlineLevel="1">
      <c r="A1286" s="10"/>
      <c r="B1286" s="10"/>
      <c r="C1286" s="313">
        <v>0.5069444444444444</v>
      </c>
      <c r="D1286" s="242" t="s">
        <v>296</v>
      </c>
      <c r="E1286" s="275">
        <v>102.0</v>
      </c>
      <c r="F1286" s="242" t="s">
        <v>428</v>
      </c>
      <c r="G1286" s="244"/>
      <c r="I1286" s="86">
        <v>46029.0</v>
      </c>
      <c r="J1286" s="88">
        <f t="shared" si="176"/>
        <v>46029</v>
      </c>
      <c r="K1286" s="93">
        <v>60.0</v>
      </c>
      <c r="L1286" s="90"/>
      <c r="M1286" s="51"/>
      <c r="N1286" s="86">
        <v>46051.0</v>
      </c>
      <c r="O1286" s="88">
        <f t="shared" si="177"/>
        <v>46051</v>
      </c>
      <c r="P1286" s="93">
        <v>3300.0</v>
      </c>
      <c r="Q1286" s="91"/>
    </row>
    <row r="1287" ht="14.25" hidden="1" customHeight="1" outlineLevel="1">
      <c r="A1287" s="125">
        <v>46025.0</v>
      </c>
      <c r="B1287" s="126">
        <f t="shared" ref="B1287:B1288" si="178">A1287</f>
        <v>46025</v>
      </c>
      <c r="C1287" s="313">
        <v>0.3333333333333333</v>
      </c>
      <c r="D1287" s="242" t="s">
        <v>119</v>
      </c>
      <c r="E1287" s="275">
        <v>158.0</v>
      </c>
      <c r="F1287" s="242" t="s">
        <v>1397</v>
      </c>
      <c r="G1287" s="244"/>
      <c r="I1287" s="86">
        <v>46036.0</v>
      </c>
      <c r="J1287" s="88">
        <f t="shared" si="176"/>
        <v>46036</v>
      </c>
      <c r="K1287" s="93">
        <v>18.85</v>
      </c>
      <c r="L1287" s="90"/>
      <c r="M1287" s="51"/>
      <c r="N1287" s="345">
        <v>46051.0</v>
      </c>
      <c r="O1287" s="346">
        <f t="shared" si="177"/>
        <v>46051</v>
      </c>
      <c r="P1287" s="93">
        <v>1650.0</v>
      </c>
      <c r="Q1287" s="91"/>
    </row>
    <row r="1288" ht="14.25" hidden="1" customHeight="1" outlineLevel="1">
      <c r="A1288" s="102">
        <v>46026.0</v>
      </c>
      <c r="B1288" s="97">
        <f t="shared" si="178"/>
        <v>46026</v>
      </c>
      <c r="C1288" s="313">
        <v>0.3333333333333333</v>
      </c>
      <c r="D1288" s="242" t="s">
        <v>490</v>
      </c>
      <c r="E1288" s="275">
        <v>327.0</v>
      </c>
      <c r="F1288" s="242" t="s">
        <v>1399</v>
      </c>
      <c r="G1288" s="244"/>
      <c r="I1288" s="86">
        <v>46041.0</v>
      </c>
      <c r="J1288" s="88">
        <f t="shared" si="176"/>
        <v>46041</v>
      </c>
      <c r="K1288" s="93">
        <v>21.75</v>
      </c>
      <c r="L1288" s="90"/>
      <c r="M1288" s="51"/>
      <c r="N1288" s="86"/>
      <c r="O1288" s="88"/>
      <c r="P1288" s="93">
        <v>0.0</v>
      </c>
      <c r="Q1288" s="91"/>
    </row>
    <row r="1289" ht="14.25" hidden="1" customHeight="1" outlineLevel="1">
      <c r="A1289" s="58"/>
      <c r="B1289" s="58"/>
      <c r="C1289" s="313">
        <v>0.4583333333333333</v>
      </c>
      <c r="D1289" s="242" t="s">
        <v>1251</v>
      </c>
      <c r="E1289" s="275">
        <v>354.0</v>
      </c>
      <c r="F1289" s="242" t="s">
        <v>703</v>
      </c>
      <c r="G1289" s="244"/>
      <c r="I1289" s="86"/>
      <c r="J1289" s="88"/>
      <c r="K1289" s="93"/>
      <c r="L1289" s="133"/>
      <c r="M1289" s="51"/>
      <c r="N1289" s="86"/>
      <c r="O1289" s="88" t="str">
        <f t="shared" ref="O1289:O1290" si="179">N1289</f>
        <v/>
      </c>
      <c r="P1289" s="93">
        <v>0.0</v>
      </c>
      <c r="Q1289" s="91"/>
    </row>
    <row r="1290" ht="14.25" hidden="1" customHeight="1" outlineLevel="1">
      <c r="A1290" s="10"/>
      <c r="B1290" s="10"/>
      <c r="C1290" s="313">
        <v>0.7708333333333334</v>
      </c>
      <c r="D1290" s="242" t="s">
        <v>1165</v>
      </c>
      <c r="E1290" s="275">
        <v>440.0</v>
      </c>
      <c r="F1290" s="242" t="s">
        <v>579</v>
      </c>
      <c r="G1290" s="244"/>
      <c r="I1290" s="86"/>
      <c r="J1290" s="88"/>
      <c r="K1290" s="92"/>
      <c r="L1290" s="90"/>
      <c r="M1290" s="51"/>
      <c r="N1290" s="86"/>
      <c r="O1290" s="88" t="str">
        <f t="shared" si="179"/>
        <v/>
      </c>
      <c r="P1290" s="93">
        <v>0.0</v>
      </c>
      <c r="Q1290" s="91"/>
    </row>
    <row r="1291" ht="14.25" hidden="1" customHeight="1" outlineLevel="1">
      <c r="A1291" s="102">
        <v>46027.0</v>
      </c>
      <c r="B1291" s="97">
        <f>A1291</f>
        <v>46027</v>
      </c>
      <c r="C1291" s="313">
        <v>0.2916666666666667</v>
      </c>
      <c r="D1291" s="242" t="s">
        <v>1327</v>
      </c>
      <c r="E1291" s="275">
        <v>9.0</v>
      </c>
      <c r="F1291" s="242" t="s">
        <v>1403</v>
      </c>
      <c r="G1291" s="244"/>
      <c r="I1291" s="86"/>
      <c r="J1291" s="88"/>
      <c r="K1291" s="92"/>
      <c r="L1291" s="90"/>
      <c r="M1291" s="51"/>
      <c r="N1291" s="165" t="s">
        <v>195</v>
      </c>
      <c r="O1291" s="165"/>
      <c r="P1291" s="291">
        <f>SUM(P1285:P1289)</f>
        <v>5150</v>
      </c>
      <c r="Q1291" s="114"/>
    </row>
    <row r="1292" ht="14.25" hidden="1" customHeight="1" outlineLevel="1">
      <c r="A1292" s="58"/>
      <c r="B1292" s="10"/>
      <c r="C1292" s="313">
        <v>0.5069444444444444</v>
      </c>
      <c r="D1292" s="242" t="s">
        <v>1062</v>
      </c>
      <c r="E1292" s="275">
        <v>41.0</v>
      </c>
      <c r="F1292" s="242" t="s">
        <v>428</v>
      </c>
      <c r="G1292" s="244"/>
      <c r="I1292" s="108" t="s">
        <v>195</v>
      </c>
      <c r="J1292" s="109"/>
      <c r="K1292" s="113">
        <f>SUM(K1285:K1291)</f>
        <v>150.4</v>
      </c>
      <c r="L1292" s="114"/>
      <c r="M1292" s="51"/>
    </row>
    <row r="1293" ht="14.25" hidden="1" customHeight="1" outlineLevel="1">
      <c r="A1293" s="102">
        <v>46028.0</v>
      </c>
      <c r="B1293" s="97">
        <f>A1293</f>
        <v>46028</v>
      </c>
      <c r="C1293" s="313">
        <v>0.2916666666666667</v>
      </c>
      <c r="D1293" s="242" t="s">
        <v>236</v>
      </c>
      <c r="E1293" s="275">
        <v>16.0</v>
      </c>
      <c r="F1293" s="242" t="s">
        <v>1304</v>
      </c>
      <c r="G1293" s="244"/>
      <c r="N1293" s="235" t="s">
        <v>344</v>
      </c>
      <c r="O1293" s="27"/>
      <c r="P1293" s="27"/>
      <c r="Q1293" s="28"/>
    </row>
    <row r="1294" ht="14.25" hidden="1" customHeight="1" outlineLevel="1">
      <c r="A1294" s="58"/>
      <c r="B1294" s="10"/>
      <c r="C1294" s="313">
        <v>0.5069444444444444</v>
      </c>
      <c r="D1294" s="242" t="s">
        <v>1064</v>
      </c>
      <c r="E1294" s="275">
        <v>64.0</v>
      </c>
      <c r="F1294" s="242" t="s">
        <v>1404</v>
      </c>
      <c r="G1294" s="244"/>
      <c r="N1294" s="81" t="s">
        <v>6</v>
      </c>
      <c r="O1294" s="84" t="s">
        <v>115</v>
      </c>
      <c r="P1294" s="84" t="s">
        <v>9</v>
      </c>
      <c r="Q1294" s="81" t="s">
        <v>13</v>
      </c>
    </row>
    <row r="1295" ht="14.25" hidden="1" customHeight="1" outlineLevel="1">
      <c r="A1295" s="102">
        <v>46029.0</v>
      </c>
      <c r="B1295" s="97">
        <f>A1295</f>
        <v>46029</v>
      </c>
      <c r="C1295" s="313">
        <v>0.2916666666666667</v>
      </c>
      <c r="D1295" s="242" t="s">
        <v>119</v>
      </c>
      <c r="E1295" s="275">
        <v>39.0</v>
      </c>
      <c r="F1295" s="242" t="s">
        <v>1001</v>
      </c>
      <c r="G1295" s="244"/>
      <c r="N1295" s="86"/>
      <c r="O1295" s="88"/>
      <c r="P1295" s="93"/>
      <c r="Q1295" s="91"/>
    </row>
    <row r="1296" ht="14.25" hidden="1" customHeight="1" outlineLevel="1">
      <c r="A1296" s="10"/>
      <c r="B1296" s="10"/>
      <c r="C1296" s="313">
        <v>0.5069444444444444</v>
      </c>
      <c r="D1296" s="242" t="s">
        <v>1062</v>
      </c>
      <c r="E1296" s="275">
        <v>32.0</v>
      </c>
      <c r="F1296" s="242" t="s">
        <v>1406</v>
      </c>
      <c r="G1296" s="244"/>
      <c r="N1296" s="86"/>
      <c r="O1296" s="88"/>
      <c r="P1296" s="93">
        <v>0.0</v>
      </c>
      <c r="Q1296" s="91"/>
    </row>
    <row r="1297" ht="14.25" hidden="1" customHeight="1" outlineLevel="1">
      <c r="A1297" s="102">
        <v>46030.0</v>
      </c>
      <c r="B1297" s="97">
        <f>A1297</f>
        <v>46030</v>
      </c>
      <c r="C1297" s="313">
        <v>0.2916666666666667</v>
      </c>
      <c r="D1297" s="242" t="s">
        <v>119</v>
      </c>
      <c r="E1297" s="275">
        <v>86.0</v>
      </c>
      <c r="F1297" s="242" t="s">
        <v>1113</v>
      </c>
      <c r="G1297" s="244"/>
      <c r="N1297" s="165" t="s">
        <v>195</v>
      </c>
      <c r="O1297" s="165"/>
      <c r="P1297" s="113">
        <f>SUM(P1293:P1296)</f>
        <v>0</v>
      </c>
      <c r="Q1297" s="114"/>
    </row>
    <row r="1298" ht="14.25" hidden="1" customHeight="1" outlineLevel="1">
      <c r="A1298" s="10"/>
      <c r="B1298" s="10"/>
      <c r="C1298" s="313">
        <v>0.5069444444444444</v>
      </c>
      <c r="D1298" s="242" t="s">
        <v>1064</v>
      </c>
      <c r="E1298" s="275">
        <v>22.0</v>
      </c>
      <c r="F1298" s="242" t="s">
        <v>842</v>
      </c>
      <c r="G1298" s="244"/>
    </row>
    <row r="1299" ht="14.25" hidden="1" customHeight="1" outlineLevel="1">
      <c r="A1299" s="102">
        <v>46031.0</v>
      </c>
      <c r="B1299" s="97">
        <f>A1299</f>
        <v>46031</v>
      </c>
      <c r="C1299" s="313">
        <v>0.2916666666666667</v>
      </c>
      <c r="D1299" s="242" t="s">
        <v>236</v>
      </c>
      <c r="E1299" s="275">
        <v>72.0</v>
      </c>
      <c r="F1299" s="242" t="s">
        <v>1407</v>
      </c>
      <c r="G1299" s="244"/>
    </row>
    <row r="1300" ht="14.25" hidden="1" customHeight="1" outlineLevel="1">
      <c r="A1300" s="10"/>
      <c r="B1300" s="10"/>
      <c r="C1300" s="313">
        <v>0.5069444444444444</v>
      </c>
      <c r="D1300" s="242" t="s">
        <v>1064</v>
      </c>
      <c r="E1300" s="275">
        <v>25.0</v>
      </c>
      <c r="F1300" s="242" t="s">
        <v>1408</v>
      </c>
      <c r="G1300" s="244"/>
    </row>
    <row r="1301" ht="14.25" hidden="1" customHeight="1" outlineLevel="1">
      <c r="A1301" s="125">
        <v>46032.0</v>
      </c>
      <c r="B1301" s="126">
        <f t="shared" ref="B1301:B1302" si="180">A1301</f>
        <v>46032</v>
      </c>
      <c r="C1301" s="313">
        <v>0.3333333333333333</v>
      </c>
      <c r="D1301" s="242" t="s">
        <v>119</v>
      </c>
      <c r="E1301" s="275">
        <v>14.0</v>
      </c>
      <c r="F1301" s="242" t="s">
        <v>913</v>
      </c>
      <c r="G1301" s="244"/>
    </row>
    <row r="1302" ht="14.25" hidden="1" customHeight="1" outlineLevel="1">
      <c r="A1302" s="102">
        <v>46033.0</v>
      </c>
      <c r="B1302" s="97">
        <f t="shared" si="180"/>
        <v>46033</v>
      </c>
      <c r="C1302" s="313">
        <v>0.3333333333333333</v>
      </c>
      <c r="D1302" s="242" t="s">
        <v>490</v>
      </c>
      <c r="E1302" s="275">
        <v>487.0</v>
      </c>
      <c r="F1302" s="242" t="s">
        <v>1409</v>
      </c>
      <c r="G1302" s="244"/>
    </row>
    <row r="1303" ht="14.25" hidden="1" customHeight="1" outlineLevel="1">
      <c r="A1303" s="58"/>
      <c r="B1303" s="58"/>
      <c r="C1303" s="313">
        <v>0.4583333333333333</v>
      </c>
      <c r="D1303" s="242" t="s">
        <v>980</v>
      </c>
      <c r="E1303" s="275">
        <v>405.0</v>
      </c>
      <c r="F1303" s="242" t="s">
        <v>129</v>
      </c>
      <c r="G1303" s="244"/>
    </row>
    <row r="1304" ht="14.25" hidden="1" customHeight="1" outlineLevel="1">
      <c r="A1304" s="10"/>
      <c r="B1304" s="10"/>
      <c r="C1304" s="313">
        <v>0.7708333333333334</v>
      </c>
      <c r="D1304" s="242" t="s">
        <v>974</v>
      </c>
      <c r="E1304" s="275">
        <v>323.0</v>
      </c>
      <c r="F1304" s="242" t="s">
        <v>579</v>
      </c>
      <c r="G1304" s="244"/>
    </row>
    <row r="1305" ht="14.25" hidden="1" customHeight="1" outlineLevel="1">
      <c r="A1305" s="102">
        <v>46034.0</v>
      </c>
      <c r="B1305" s="97">
        <f>A1305</f>
        <v>46034</v>
      </c>
      <c r="C1305" s="313">
        <v>0.2916666666666667</v>
      </c>
      <c r="D1305" s="242" t="s">
        <v>1327</v>
      </c>
      <c r="E1305" s="275">
        <v>42.0</v>
      </c>
      <c r="F1305" s="242" t="s">
        <v>842</v>
      </c>
      <c r="G1305" s="244"/>
    </row>
    <row r="1306" ht="14.25" hidden="1" customHeight="1" outlineLevel="1">
      <c r="A1306" s="58"/>
      <c r="B1306" s="10"/>
      <c r="C1306" s="313">
        <v>0.5069444444444444</v>
      </c>
      <c r="D1306" s="242" t="s">
        <v>1062</v>
      </c>
      <c r="E1306" s="275">
        <v>25.0</v>
      </c>
      <c r="F1306" s="242" t="s">
        <v>1410</v>
      </c>
      <c r="G1306" s="244"/>
    </row>
    <row r="1307" ht="14.25" hidden="1" customHeight="1" outlineLevel="1">
      <c r="A1307" s="102">
        <v>46035.0</v>
      </c>
      <c r="B1307" s="97">
        <f>A1307</f>
        <v>46035</v>
      </c>
      <c r="C1307" s="313">
        <v>0.2916666666666667</v>
      </c>
      <c r="D1307" s="242" t="s">
        <v>320</v>
      </c>
      <c r="E1307" s="275">
        <v>26.0</v>
      </c>
      <c r="F1307" s="242" t="s">
        <v>378</v>
      </c>
      <c r="G1307" s="244"/>
    </row>
    <row r="1308" ht="14.25" hidden="1" customHeight="1" outlineLevel="1">
      <c r="A1308" s="58"/>
      <c r="B1308" s="10"/>
      <c r="C1308" s="313">
        <v>0.5069444444444444</v>
      </c>
      <c r="D1308" s="242" t="s">
        <v>1064</v>
      </c>
      <c r="E1308" s="275">
        <v>31.0</v>
      </c>
      <c r="F1308" s="242" t="s">
        <v>1413</v>
      </c>
      <c r="G1308" s="244"/>
    </row>
    <row r="1309" ht="14.25" hidden="1" customHeight="1" outlineLevel="1">
      <c r="A1309" s="102">
        <v>46036.0</v>
      </c>
      <c r="B1309" s="97">
        <f>A1309</f>
        <v>46036</v>
      </c>
      <c r="C1309" s="313">
        <v>0.2916666666666667</v>
      </c>
      <c r="D1309" s="242" t="s">
        <v>119</v>
      </c>
      <c r="E1309" s="275">
        <v>51.0</v>
      </c>
      <c r="F1309" s="242" t="s">
        <v>1001</v>
      </c>
      <c r="G1309" s="244"/>
    </row>
    <row r="1310" ht="14.25" hidden="1" customHeight="1" outlineLevel="1">
      <c r="A1310" s="10"/>
      <c r="B1310" s="10"/>
      <c r="C1310" s="313">
        <v>0.5069444444444444</v>
      </c>
      <c r="D1310" s="242" t="s">
        <v>1062</v>
      </c>
      <c r="E1310" s="275">
        <v>7.0</v>
      </c>
      <c r="F1310" s="242" t="s">
        <v>1414</v>
      </c>
      <c r="G1310" s="244"/>
    </row>
    <row r="1311" ht="14.25" hidden="1" customHeight="1" outlineLevel="1">
      <c r="A1311" s="102">
        <v>46037.0</v>
      </c>
      <c r="B1311" s="97">
        <f>A1311</f>
        <v>46037</v>
      </c>
      <c r="C1311" s="313">
        <v>0.2916666666666667</v>
      </c>
      <c r="D1311" s="242" t="s">
        <v>119</v>
      </c>
      <c r="E1311" s="275">
        <v>37.0</v>
      </c>
      <c r="F1311" s="242" t="s">
        <v>411</v>
      </c>
      <c r="G1311" s="244"/>
    </row>
    <row r="1312" ht="14.25" hidden="1" customHeight="1" outlineLevel="1">
      <c r="A1312" s="10"/>
      <c r="B1312" s="10"/>
      <c r="C1312" s="313">
        <v>0.5069444444444444</v>
      </c>
      <c r="D1312" s="242" t="s">
        <v>980</v>
      </c>
      <c r="E1312" s="275">
        <v>12.0</v>
      </c>
      <c r="F1312" s="242" t="s">
        <v>1415</v>
      </c>
      <c r="G1312" s="244"/>
    </row>
    <row r="1313" ht="14.25" hidden="1" customHeight="1" outlineLevel="1">
      <c r="A1313" s="102">
        <v>46038.0</v>
      </c>
      <c r="B1313" s="97">
        <f>A1313</f>
        <v>46038</v>
      </c>
      <c r="C1313" s="313">
        <v>0.2916666666666667</v>
      </c>
      <c r="D1313" s="242" t="s">
        <v>236</v>
      </c>
      <c r="E1313" s="275">
        <v>64.0</v>
      </c>
      <c r="F1313" s="242" t="s">
        <v>560</v>
      </c>
      <c r="G1313" s="244"/>
    </row>
    <row r="1314" ht="14.25" hidden="1" customHeight="1" outlineLevel="1">
      <c r="A1314" s="10"/>
      <c r="B1314" s="10"/>
      <c r="C1314" s="313">
        <v>0.5069444444444444</v>
      </c>
      <c r="D1314" s="242" t="s">
        <v>1064</v>
      </c>
      <c r="E1314" s="275">
        <v>62.0</v>
      </c>
      <c r="F1314" s="242" t="s">
        <v>1161</v>
      </c>
      <c r="G1314" s="244"/>
    </row>
    <row r="1315" ht="14.25" hidden="1" customHeight="1" outlineLevel="1">
      <c r="A1315" s="125">
        <v>46039.0</v>
      </c>
      <c r="B1315" s="126">
        <f t="shared" ref="B1315:B1316" si="181">A1315</f>
        <v>46039</v>
      </c>
      <c r="C1315" s="313">
        <v>0.3333333333333333</v>
      </c>
      <c r="D1315" s="242" t="s">
        <v>119</v>
      </c>
      <c r="E1315" s="275">
        <v>20.0</v>
      </c>
      <c r="F1315" s="242" t="s">
        <v>1417</v>
      </c>
      <c r="G1315" s="244"/>
    </row>
    <row r="1316" ht="14.25" hidden="1" customHeight="1" outlineLevel="1">
      <c r="A1316" s="102">
        <v>46040.0</v>
      </c>
      <c r="B1316" s="97">
        <f t="shared" si="181"/>
        <v>46040</v>
      </c>
      <c r="C1316" s="313">
        <v>0.3333333333333333</v>
      </c>
      <c r="D1316" s="242" t="s">
        <v>296</v>
      </c>
      <c r="E1316" s="275">
        <v>507.0</v>
      </c>
      <c r="F1316" s="242" t="s">
        <v>1418</v>
      </c>
      <c r="G1316" s="244"/>
    </row>
    <row r="1317" ht="14.25" hidden="1" customHeight="1" outlineLevel="1">
      <c r="A1317" s="58"/>
      <c r="B1317" s="58"/>
      <c r="C1317" s="313">
        <v>0.4583333333333333</v>
      </c>
      <c r="D1317" s="242" t="s">
        <v>980</v>
      </c>
      <c r="E1317" s="275">
        <v>460.0</v>
      </c>
      <c r="F1317" s="242" t="s">
        <v>580</v>
      </c>
      <c r="G1317" s="244"/>
    </row>
    <row r="1318" ht="14.25" hidden="1" customHeight="1" outlineLevel="1">
      <c r="A1318" s="10"/>
      <c r="B1318" s="10"/>
      <c r="C1318" s="313">
        <v>0.7708333333333334</v>
      </c>
      <c r="D1318" s="242" t="s">
        <v>820</v>
      </c>
      <c r="E1318" s="275">
        <v>529.0</v>
      </c>
      <c r="F1318" s="242" t="s">
        <v>1420</v>
      </c>
      <c r="G1318" s="244"/>
    </row>
    <row r="1319" ht="14.25" hidden="1" customHeight="1" outlineLevel="1">
      <c r="A1319" s="102">
        <v>46041.0</v>
      </c>
      <c r="B1319" s="97">
        <f>A1319</f>
        <v>46041</v>
      </c>
      <c r="C1319" s="313">
        <v>0.2916666666666667</v>
      </c>
      <c r="D1319" s="242" t="s">
        <v>1327</v>
      </c>
      <c r="E1319" s="275">
        <v>27.0</v>
      </c>
      <c r="F1319" s="242" t="s">
        <v>842</v>
      </c>
      <c r="G1319" s="244"/>
    </row>
    <row r="1320" ht="14.25" hidden="1" customHeight="1" outlineLevel="1">
      <c r="A1320" s="58"/>
      <c r="B1320" s="10"/>
      <c r="C1320" s="313">
        <v>0.5069444444444444</v>
      </c>
      <c r="D1320" s="242" t="s">
        <v>1062</v>
      </c>
      <c r="E1320" s="275">
        <v>7.0</v>
      </c>
      <c r="F1320" s="242" t="s">
        <v>1422</v>
      </c>
      <c r="G1320" s="244"/>
    </row>
    <row r="1321" ht="14.25" hidden="1" customHeight="1" outlineLevel="1">
      <c r="A1321" s="102">
        <v>46042.0</v>
      </c>
      <c r="B1321" s="97">
        <f>A1321</f>
        <v>46042</v>
      </c>
      <c r="C1321" s="313">
        <v>0.2916666666666667</v>
      </c>
      <c r="D1321" s="242" t="s">
        <v>236</v>
      </c>
      <c r="E1321" s="275">
        <v>40.0</v>
      </c>
      <c r="F1321" s="242" t="s">
        <v>378</v>
      </c>
      <c r="G1321" s="244"/>
    </row>
    <row r="1322" ht="14.25" hidden="1" customHeight="1" outlineLevel="1">
      <c r="A1322" s="58"/>
      <c r="B1322" s="10"/>
      <c r="C1322" s="313">
        <v>0.5069444444444444</v>
      </c>
      <c r="D1322" s="242" t="s">
        <v>1064</v>
      </c>
      <c r="E1322" s="275">
        <v>47.0</v>
      </c>
      <c r="F1322" s="242" t="s">
        <v>1423</v>
      </c>
      <c r="G1322" s="244"/>
    </row>
    <row r="1323" ht="14.25" hidden="1" customHeight="1" outlineLevel="1">
      <c r="A1323" s="102">
        <v>46043.0</v>
      </c>
      <c r="B1323" s="97">
        <f>A1323</f>
        <v>46043</v>
      </c>
      <c r="C1323" s="313">
        <v>0.2916666666666667</v>
      </c>
      <c r="D1323" s="242" t="s">
        <v>119</v>
      </c>
      <c r="E1323" s="275">
        <v>36.0</v>
      </c>
      <c r="F1323" s="242" t="s">
        <v>1001</v>
      </c>
      <c r="G1323" s="244"/>
    </row>
    <row r="1324" ht="14.25" hidden="1" customHeight="1" outlineLevel="1">
      <c r="A1324" s="10"/>
      <c r="B1324" s="10"/>
      <c r="C1324" s="313">
        <v>0.5069444444444444</v>
      </c>
      <c r="D1324" s="242" t="s">
        <v>1064</v>
      </c>
      <c r="E1324" s="275">
        <v>26.0</v>
      </c>
      <c r="F1324" s="242" t="s">
        <v>1425</v>
      </c>
      <c r="G1324" s="244"/>
    </row>
    <row r="1325" ht="14.25" hidden="1" customHeight="1" outlineLevel="1">
      <c r="A1325" s="102">
        <v>46044.0</v>
      </c>
      <c r="B1325" s="97">
        <f>A1325</f>
        <v>46044</v>
      </c>
      <c r="C1325" s="313">
        <v>0.2916666666666667</v>
      </c>
      <c r="D1325" s="242" t="s">
        <v>119</v>
      </c>
      <c r="E1325" s="275">
        <v>32.0</v>
      </c>
      <c r="F1325" s="242" t="s">
        <v>1403</v>
      </c>
      <c r="G1325" s="244"/>
    </row>
    <row r="1326" ht="14.25" hidden="1" customHeight="1" outlineLevel="1">
      <c r="A1326" s="10"/>
      <c r="B1326" s="10"/>
      <c r="C1326" s="313">
        <v>0.5069444444444444</v>
      </c>
      <c r="D1326" s="242" t="s">
        <v>980</v>
      </c>
      <c r="E1326" s="275">
        <v>26.0</v>
      </c>
      <c r="F1326" s="242" t="s">
        <v>1426</v>
      </c>
      <c r="G1326" s="244"/>
    </row>
    <row r="1327" ht="14.25" hidden="1" customHeight="1" outlineLevel="1">
      <c r="A1327" s="102">
        <v>46045.0</v>
      </c>
      <c r="B1327" s="97">
        <f>A1327</f>
        <v>46045</v>
      </c>
      <c r="C1327" s="313">
        <v>0.2916666666666667</v>
      </c>
      <c r="D1327" s="242" t="s">
        <v>296</v>
      </c>
      <c r="E1327" s="275">
        <v>88.0</v>
      </c>
      <c r="F1327" s="242" t="s">
        <v>1029</v>
      </c>
      <c r="G1327" s="244"/>
    </row>
    <row r="1328" ht="14.25" hidden="1" customHeight="1" outlineLevel="1">
      <c r="A1328" s="10"/>
      <c r="B1328" s="10"/>
      <c r="C1328" s="313">
        <v>0.5069444444444444</v>
      </c>
      <c r="D1328" s="242" t="s">
        <v>1062</v>
      </c>
      <c r="E1328" s="275">
        <v>19.0</v>
      </c>
      <c r="F1328" s="242" t="s">
        <v>1427</v>
      </c>
      <c r="G1328" s="244"/>
    </row>
    <row r="1329" ht="14.25" hidden="1" customHeight="1" outlineLevel="1">
      <c r="A1329" s="125">
        <v>46046.0</v>
      </c>
      <c r="B1329" s="126">
        <f t="shared" ref="B1329:B1330" si="182">A1329</f>
        <v>46046</v>
      </c>
      <c r="C1329" s="313">
        <v>0.3333333333333333</v>
      </c>
      <c r="D1329" s="242" t="s">
        <v>119</v>
      </c>
      <c r="E1329" s="275">
        <v>190.0</v>
      </c>
      <c r="F1329" s="242" t="s">
        <v>1428</v>
      </c>
      <c r="G1329" s="244"/>
    </row>
    <row r="1330" ht="14.25" hidden="1" customHeight="1" outlineLevel="1">
      <c r="A1330" s="102">
        <v>46047.0</v>
      </c>
      <c r="B1330" s="97">
        <f t="shared" si="182"/>
        <v>46047</v>
      </c>
      <c r="C1330" s="313">
        <v>0.3333333333333333</v>
      </c>
      <c r="D1330" s="242" t="s">
        <v>490</v>
      </c>
      <c r="E1330" s="275">
        <v>203.0</v>
      </c>
      <c r="F1330" s="242" t="s">
        <v>1430</v>
      </c>
      <c r="G1330" s="244"/>
    </row>
    <row r="1331" ht="14.25" hidden="1" customHeight="1" outlineLevel="1">
      <c r="A1331" s="58"/>
      <c r="B1331" s="58"/>
      <c r="C1331" s="313">
        <v>0.4583333333333333</v>
      </c>
      <c r="D1331" s="242" t="s">
        <v>980</v>
      </c>
      <c r="E1331" s="275">
        <v>422.0</v>
      </c>
      <c r="F1331" s="242" t="s">
        <v>1431</v>
      </c>
      <c r="G1331" s="244"/>
    </row>
    <row r="1332" ht="14.25" hidden="1" customHeight="1" outlineLevel="1">
      <c r="A1332" s="10"/>
      <c r="B1332" s="10"/>
      <c r="C1332" s="313">
        <v>0.7708333333333334</v>
      </c>
      <c r="D1332" s="242" t="s">
        <v>296</v>
      </c>
      <c r="E1332" s="275">
        <v>235.0</v>
      </c>
      <c r="F1332" s="242" t="s">
        <v>579</v>
      </c>
      <c r="G1332" s="244"/>
    </row>
    <row r="1333" ht="14.25" hidden="1" customHeight="1" outlineLevel="1">
      <c r="A1333" s="102">
        <v>46048.0</v>
      </c>
      <c r="B1333" s="97">
        <f>A1333</f>
        <v>46048</v>
      </c>
      <c r="C1333" s="313">
        <v>0.2916666666666667</v>
      </c>
      <c r="D1333" s="242" t="s">
        <v>1327</v>
      </c>
      <c r="E1333" s="275">
        <v>44.0</v>
      </c>
      <c r="F1333" s="242" t="s">
        <v>303</v>
      </c>
      <c r="G1333" s="244"/>
    </row>
    <row r="1334" ht="14.25" hidden="1" customHeight="1" outlineLevel="1">
      <c r="A1334" s="58"/>
      <c r="B1334" s="10"/>
      <c r="C1334" s="313">
        <v>0.5069444444444444</v>
      </c>
      <c r="D1334" s="242" t="s">
        <v>1062</v>
      </c>
      <c r="E1334" s="275">
        <v>90.0</v>
      </c>
      <c r="F1334" s="242" t="s">
        <v>1433</v>
      </c>
      <c r="G1334" s="244"/>
    </row>
    <row r="1335" ht="14.25" hidden="1" customHeight="1" outlineLevel="1">
      <c r="A1335" s="102">
        <v>46049.0</v>
      </c>
      <c r="B1335" s="97">
        <f>A1335</f>
        <v>46049</v>
      </c>
      <c r="C1335" s="313">
        <v>0.2916666666666667</v>
      </c>
      <c r="D1335" s="242" t="s">
        <v>236</v>
      </c>
      <c r="E1335" s="275">
        <v>35.0</v>
      </c>
      <c r="F1335" s="242" t="s">
        <v>1268</v>
      </c>
      <c r="G1335" s="244"/>
    </row>
    <row r="1336" ht="14.25" hidden="1" customHeight="1" outlineLevel="1">
      <c r="A1336" s="58"/>
      <c r="B1336" s="10"/>
      <c r="C1336" s="313">
        <v>0.5069444444444444</v>
      </c>
      <c r="D1336" s="242" t="s">
        <v>456</v>
      </c>
      <c r="E1336" s="275">
        <v>22.0</v>
      </c>
      <c r="F1336" s="242" t="s">
        <v>1434</v>
      </c>
      <c r="G1336" s="244"/>
    </row>
    <row r="1337" ht="14.25" hidden="1" customHeight="1" outlineLevel="1">
      <c r="A1337" s="102">
        <v>46050.0</v>
      </c>
      <c r="B1337" s="97">
        <f>A1337</f>
        <v>46050</v>
      </c>
      <c r="C1337" s="313">
        <v>0.2916666666666667</v>
      </c>
      <c r="D1337" s="242" t="s">
        <v>119</v>
      </c>
      <c r="E1337" s="275">
        <v>20.0</v>
      </c>
      <c r="F1337" s="242" t="s">
        <v>1001</v>
      </c>
      <c r="G1337" s="244"/>
    </row>
    <row r="1338" ht="14.25" hidden="1" customHeight="1" outlineLevel="1">
      <c r="A1338" s="10"/>
      <c r="B1338" s="10"/>
      <c r="C1338" s="313">
        <v>0.5069444444444444</v>
      </c>
      <c r="D1338" s="242" t="s">
        <v>1064</v>
      </c>
      <c r="E1338" s="275">
        <v>17.0</v>
      </c>
      <c r="F1338" s="242" t="s">
        <v>428</v>
      </c>
      <c r="G1338" s="244"/>
    </row>
    <row r="1339" ht="14.25" hidden="1" customHeight="1" outlineLevel="1">
      <c r="A1339" s="102">
        <v>46051.0</v>
      </c>
      <c r="B1339" s="97">
        <f>A1339</f>
        <v>46051</v>
      </c>
      <c r="C1339" s="313">
        <v>0.2916666666666667</v>
      </c>
      <c r="D1339" s="242" t="s">
        <v>119</v>
      </c>
      <c r="E1339" s="275">
        <v>58.0</v>
      </c>
      <c r="F1339" s="242" t="s">
        <v>1435</v>
      </c>
      <c r="G1339" s="244"/>
    </row>
    <row r="1340" ht="14.25" hidden="1" customHeight="1" outlineLevel="1">
      <c r="A1340" s="58"/>
      <c r="B1340" s="58"/>
      <c r="C1340" s="313">
        <v>0.5069444444444444</v>
      </c>
      <c r="D1340" s="242" t="s">
        <v>980</v>
      </c>
      <c r="E1340" s="275">
        <v>0.0</v>
      </c>
      <c r="F1340" s="242" t="s">
        <v>1436</v>
      </c>
      <c r="G1340" s="244"/>
    </row>
    <row r="1341" ht="14.25" hidden="1" customHeight="1" outlineLevel="1">
      <c r="A1341" s="10"/>
      <c r="B1341" s="10"/>
      <c r="C1341" s="313">
        <v>0.8125</v>
      </c>
      <c r="D1341" s="242" t="s">
        <v>296</v>
      </c>
      <c r="E1341" s="275">
        <v>249.0</v>
      </c>
      <c r="F1341" s="242" t="s">
        <v>563</v>
      </c>
      <c r="G1341" s="244"/>
    </row>
    <row r="1342" ht="14.25" hidden="1" customHeight="1" outlineLevel="1">
      <c r="A1342" s="102">
        <v>46052.0</v>
      </c>
      <c r="B1342" s="97">
        <f>A1342</f>
        <v>46052</v>
      </c>
      <c r="C1342" s="313">
        <v>0.2916666666666667</v>
      </c>
      <c r="D1342" s="242" t="s">
        <v>236</v>
      </c>
      <c r="E1342" s="275">
        <v>29.0</v>
      </c>
      <c r="F1342" s="242" t="s">
        <v>1438</v>
      </c>
      <c r="G1342" s="244"/>
    </row>
    <row r="1343" ht="14.25" hidden="1" customHeight="1" outlineLevel="1">
      <c r="A1343" s="10"/>
      <c r="B1343" s="10"/>
      <c r="C1343" s="313">
        <v>0.5069444444444444</v>
      </c>
      <c r="D1343" s="242" t="s">
        <v>1062</v>
      </c>
      <c r="E1343" s="275">
        <v>66.0</v>
      </c>
      <c r="F1343" s="242" t="s">
        <v>1425</v>
      </c>
      <c r="G1343" s="244"/>
    </row>
    <row r="1344" ht="14.25" hidden="1" customHeight="1" outlineLevel="1">
      <c r="A1344" s="125">
        <v>46053.0</v>
      </c>
      <c r="B1344" s="126">
        <f>A1344</f>
        <v>46053</v>
      </c>
      <c r="C1344" s="313">
        <v>0.3333333333333333</v>
      </c>
      <c r="D1344" s="242" t="s">
        <v>119</v>
      </c>
      <c r="E1344" s="275">
        <v>69.0</v>
      </c>
      <c r="F1344" s="242" t="s">
        <v>1439</v>
      </c>
      <c r="G1344" s="244"/>
    </row>
    <row r="1345" ht="14.25" customHeight="1">
      <c r="A1345" s="117" t="s">
        <v>195</v>
      </c>
      <c r="B1345" s="27"/>
      <c r="C1345" s="27"/>
      <c r="D1345" s="28"/>
      <c r="E1345" s="312">
        <f>SUM(E1284:E1344)</f>
        <v>7269</v>
      </c>
      <c r="F1345" s="244"/>
      <c r="G1345" s="244"/>
    </row>
    <row r="1346" ht="14.25" customHeight="1">
      <c r="A1346" s="329"/>
      <c r="B1346" s="330"/>
      <c r="C1346" s="331"/>
      <c r="D1346" s="335"/>
      <c r="E1346" s="336"/>
      <c r="F1346" s="335"/>
      <c r="G1346" s="332"/>
    </row>
    <row r="1347" ht="14.25" customHeight="1" collapsed="1">
      <c r="A1347" s="339" t="s">
        <v>1441</v>
      </c>
      <c r="B1347" s="246"/>
      <c r="C1347" s="246"/>
      <c r="D1347" s="246"/>
      <c r="E1347" s="246"/>
      <c r="F1347" s="246"/>
      <c r="G1347" s="246"/>
      <c r="H1347" s="246"/>
      <c r="I1347" s="246"/>
      <c r="J1347" s="246"/>
      <c r="K1347" s="246"/>
      <c r="L1347" s="246"/>
      <c r="M1347" s="246"/>
      <c r="N1347" s="246"/>
      <c r="O1347" s="246"/>
      <c r="P1347" s="246"/>
      <c r="Q1347" s="247"/>
    </row>
    <row r="1348" ht="14.25" hidden="1" customHeight="1" outlineLevel="1">
      <c r="A1348" s="102">
        <v>46054.0</v>
      </c>
      <c r="B1348" s="97">
        <f>A1348</f>
        <v>46054</v>
      </c>
      <c r="C1348" s="313">
        <v>0.3333333333333333</v>
      </c>
      <c r="D1348" s="242" t="s">
        <v>490</v>
      </c>
      <c r="E1348" s="275">
        <v>380.0</v>
      </c>
      <c r="F1348" s="242" t="s">
        <v>1443</v>
      </c>
      <c r="G1348" s="244"/>
      <c r="I1348" s="72" t="s">
        <v>91</v>
      </c>
      <c r="J1348" s="73"/>
      <c r="K1348" s="73"/>
      <c r="L1348" s="74"/>
      <c r="N1348" s="72" t="s">
        <v>992</v>
      </c>
      <c r="O1348" s="73"/>
      <c r="P1348" s="73"/>
      <c r="Q1348" s="74"/>
    </row>
    <row r="1349" ht="14.25" hidden="1" customHeight="1" outlineLevel="1">
      <c r="A1349" s="58"/>
      <c r="B1349" s="58"/>
      <c r="C1349" s="313">
        <v>0.4583333333333333</v>
      </c>
      <c r="D1349" s="242" t="s">
        <v>296</v>
      </c>
      <c r="E1349" s="275">
        <v>554.0</v>
      </c>
      <c r="F1349" s="242" t="s">
        <v>1418</v>
      </c>
      <c r="G1349" s="244"/>
      <c r="I1349" s="86">
        <v>46058.0</v>
      </c>
      <c r="J1349" s="88">
        <f t="shared" ref="J1349:J1351" si="183">I1349</f>
        <v>46058</v>
      </c>
      <c r="K1349" s="93">
        <v>21.0</v>
      </c>
      <c r="L1349" s="90"/>
      <c r="M1349" s="51"/>
      <c r="N1349" s="86">
        <v>46073.0</v>
      </c>
      <c r="O1349" s="88">
        <f t="shared" ref="O1349:O1350" si="184">N1349</f>
        <v>46073</v>
      </c>
      <c r="P1349" s="93">
        <v>447.0</v>
      </c>
      <c r="Q1349" s="91" t="s">
        <v>1446</v>
      </c>
    </row>
    <row r="1350" ht="14.25" hidden="1" customHeight="1" outlineLevel="1">
      <c r="A1350" s="10"/>
      <c r="B1350" s="10"/>
      <c r="C1350" s="313">
        <v>0.7708333333333334</v>
      </c>
      <c r="D1350" s="242" t="s">
        <v>1447</v>
      </c>
      <c r="E1350" s="275">
        <v>222.0</v>
      </c>
      <c r="F1350" s="242" t="s">
        <v>1448</v>
      </c>
      <c r="G1350" s="244"/>
      <c r="I1350" s="86">
        <v>46076.0</v>
      </c>
      <c r="J1350" s="88">
        <f t="shared" si="183"/>
        <v>46076</v>
      </c>
      <c r="K1350" s="93">
        <v>30.0</v>
      </c>
      <c r="L1350" s="90"/>
      <c r="M1350" s="51"/>
      <c r="N1350" s="86">
        <v>46078.0</v>
      </c>
      <c r="O1350" s="88">
        <f t="shared" si="184"/>
        <v>46078</v>
      </c>
      <c r="P1350" s="93">
        <v>3150.0</v>
      </c>
      <c r="Q1350" s="91"/>
    </row>
    <row r="1351" ht="14.25" hidden="1" customHeight="1" outlineLevel="1">
      <c r="A1351" s="102">
        <v>46055.0</v>
      </c>
      <c r="B1351" s="97">
        <f>A1351</f>
        <v>46055</v>
      </c>
      <c r="C1351" s="313">
        <v>0.2916666666666667</v>
      </c>
      <c r="D1351" s="242" t="s">
        <v>1327</v>
      </c>
      <c r="E1351" s="275">
        <v>60.0</v>
      </c>
      <c r="F1351" s="242" t="s">
        <v>303</v>
      </c>
      <c r="G1351" s="244"/>
      <c r="I1351" s="86">
        <v>46081.0</v>
      </c>
      <c r="J1351" s="88">
        <f t="shared" si="183"/>
        <v>46081</v>
      </c>
      <c r="K1351" s="93">
        <v>40.0</v>
      </c>
      <c r="L1351" s="90"/>
      <c r="M1351" s="51"/>
      <c r="N1351" s="86"/>
      <c r="O1351" s="88"/>
      <c r="P1351" s="93">
        <v>0.0</v>
      </c>
      <c r="Q1351" s="91"/>
    </row>
    <row r="1352" ht="14.25" hidden="1" customHeight="1" outlineLevel="1">
      <c r="A1352" s="10"/>
      <c r="B1352" s="10"/>
      <c r="C1352" s="313">
        <v>0.5069444444444444</v>
      </c>
      <c r="D1352" s="242" t="s">
        <v>1327</v>
      </c>
      <c r="E1352" s="275">
        <v>70.0</v>
      </c>
      <c r="F1352" s="242" t="s">
        <v>1415</v>
      </c>
      <c r="G1352" s="244"/>
      <c r="I1352" s="86"/>
      <c r="J1352" s="88"/>
      <c r="K1352" s="93"/>
      <c r="L1352" s="90"/>
      <c r="M1352" s="51"/>
      <c r="N1352" s="86"/>
      <c r="O1352" s="88"/>
      <c r="P1352" s="93">
        <v>0.0</v>
      </c>
      <c r="Q1352" s="91"/>
    </row>
    <row r="1353" ht="14.25" hidden="1" customHeight="1" outlineLevel="1">
      <c r="A1353" s="102">
        <v>46056.0</v>
      </c>
      <c r="B1353" s="97">
        <f>A1353</f>
        <v>46056</v>
      </c>
      <c r="C1353" s="313">
        <v>0.2916666666666667</v>
      </c>
      <c r="D1353" s="242" t="s">
        <v>236</v>
      </c>
      <c r="E1353" s="275">
        <v>129.0</v>
      </c>
      <c r="F1353" s="242" t="s">
        <v>1304</v>
      </c>
      <c r="G1353" s="244"/>
      <c r="I1353" s="86"/>
      <c r="J1353" s="88"/>
      <c r="K1353" s="92"/>
      <c r="L1353" s="90"/>
      <c r="M1353" s="51"/>
      <c r="N1353" s="86"/>
      <c r="O1353" s="88" t="str">
        <f>N1353</f>
        <v/>
      </c>
      <c r="P1353" s="93">
        <v>0.0</v>
      </c>
      <c r="Q1353" s="91"/>
    </row>
    <row r="1354" ht="14.25" hidden="1" customHeight="1" outlineLevel="1">
      <c r="A1354" s="10"/>
      <c r="B1354" s="10"/>
      <c r="C1354" s="313">
        <v>0.5069444444444444</v>
      </c>
      <c r="D1354" s="242" t="s">
        <v>456</v>
      </c>
      <c r="E1354" s="275">
        <v>32.0</v>
      </c>
      <c r="F1354" s="242" t="s">
        <v>1450</v>
      </c>
      <c r="G1354" s="244"/>
      <c r="I1354" s="86"/>
      <c r="J1354" s="88"/>
      <c r="K1354" s="92"/>
      <c r="L1354" s="90"/>
      <c r="M1354" s="51"/>
      <c r="N1354" s="165" t="s">
        <v>195</v>
      </c>
      <c r="O1354" s="165"/>
      <c r="P1354" s="291">
        <f>SUM(P1349:P1352)</f>
        <v>3597</v>
      </c>
      <c r="Q1354" s="114"/>
    </row>
    <row r="1355" ht="14.25" hidden="1" customHeight="1" outlineLevel="1">
      <c r="A1355" s="102">
        <v>46057.0</v>
      </c>
      <c r="B1355" s="97">
        <f>A1355</f>
        <v>46057</v>
      </c>
      <c r="C1355" s="313">
        <v>0.2916666666666667</v>
      </c>
      <c r="D1355" s="242" t="s">
        <v>119</v>
      </c>
      <c r="E1355" s="275">
        <v>53.0</v>
      </c>
      <c r="F1355" s="242" t="s">
        <v>1452</v>
      </c>
      <c r="G1355" s="244"/>
      <c r="I1355" s="108" t="s">
        <v>195</v>
      </c>
      <c r="J1355" s="109"/>
      <c r="K1355" s="113">
        <f>SUM(K1349:K1354)</f>
        <v>91</v>
      </c>
      <c r="L1355" s="114"/>
      <c r="M1355" s="51"/>
    </row>
    <row r="1356" ht="14.25" hidden="1" customHeight="1" outlineLevel="1">
      <c r="A1356" s="10"/>
      <c r="B1356" s="10"/>
      <c r="C1356" s="313">
        <v>0.5069444444444444</v>
      </c>
      <c r="D1356" s="242" t="s">
        <v>1062</v>
      </c>
      <c r="E1356" s="275">
        <v>60.0</v>
      </c>
      <c r="F1356" s="242" t="s">
        <v>428</v>
      </c>
      <c r="G1356" s="244"/>
      <c r="N1356" s="235" t="s">
        <v>344</v>
      </c>
      <c r="O1356" s="27"/>
      <c r="P1356" s="27"/>
      <c r="Q1356" s="28"/>
    </row>
    <row r="1357" ht="14.25" hidden="1" customHeight="1" outlineLevel="1">
      <c r="A1357" s="102">
        <v>46058.0</v>
      </c>
      <c r="B1357" s="97">
        <f>A1357</f>
        <v>46058</v>
      </c>
      <c r="C1357" s="313">
        <v>0.2916666666666667</v>
      </c>
      <c r="D1357" s="242" t="s">
        <v>119</v>
      </c>
      <c r="E1357" s="275">
        <v>32.0</v>
      </c>
      <c r="F1357" s="242" t="s">
        <v>1435</v>
      </c>
      <c r="G1357" s="244"/>
      <c r="N1357" s="81" t="s">
        <v>6</v>
      </c>
      <c r="O1357" s="84" t="s">
        <v>115</v>
      </c>
      <c r="P1357" s="84" t="s">
        <v>9</v>
      </c>
      <c r="Q1357" s="81" t="s">
        <v>13</v>
      </c>
    </row>
    <row r="1358" ht="14.25" hidden="1" customHeight="1" outlineLevel="1">
      <c r="A1358" s="10"/>
      <c r="B1358" s="10"/>
      <c r="C1358" s="313">
        <v>0.5069444444444444</v>
      </c>
      <c r="D1358" s="242" t="s">
        <v>980</v>
      </c>
      <c r="E1358" s="275">
        <v>7.0</v>
      </c>
      <c r="F1358" s="242" t="s">
        <v>1015</v>
      </c>
      <c r="G1358" s="244"/>
      <c r="N1358" s="86"/>
      <c r="O1358" s="88"/>
      <c r="P1358" s="93"/>
      <c r="Q1358" s="91"/>
    </row>
    <row r="1359" ht="14.25" hidden="1" customHeight="1" outlineLevel="1">
      <c r="A1359" s="102">
        <v>46059.0</v>
      </c>
      <c r="B1359" s="97">
        <f>A1359</f>
        <v>46059</v>
      </c>
      <c r="C1359" s="313">
        <v>0.2916666666666667</v>
      </c>
      <c r="D1359" s="242" t="s">
        <v>296</v>
      </c>
      <c r="E1359" s="275">
        <v>86.0</v>
      </c>
      <c r="F1359" s="242" t="s">
        <v>1456</v>
      </c>
      <c r="G1359" s="244"/>
      <c r="N1359" s="86"/>
      <c r="O1359" s="88"/>
      <c r="P1359" s="93">
        <v>0.0</v>
      </c>
      <c r="Q1359" s="91"/>
    </row>
    <row r="1360" ht="14.25" hidden="1" customHeight="1" outlineLevel="1">
      <c r="A1360" s="10"/>
      <c r="B1360" s="10"/>
      <c r="C1360" s="313">
        <v>0.5069444444444444</v>
      </c>
      <c r="D1360" s="242" t="s">
        <v>1062</v>
      </c>
      <c r="E1360" s="275">
        <v>69.0</v>
      </c>
      <c r="F1360" s="242" t="s">
        <v>426</v>
      </c>
      <c r="G1360" s="244"/>
    </row>
    <row r="1361" ht="14.25" hidden="1" customHeight="1" outlineLevel="1">
      <c r="A1361" s="125">
        <v>46060.0</v>
      </c>
      <c r="B1361" s="126">
        <f t="shared" ref="B1361:B1362" si="185">A1361</f>
        <v>46060</v>
      </c>
      <c r="C1361" s="313">
        <v>0.3333333333333333</v>
      </c>
      <c r="D1361" s="242" t="s">
        <v>1327</v>
      </c>
      <c r="E1361" s="275">
        <v>125.0</v>
      </c>
      <c r="F1361" s="242" t="s">
        <v>1452</v>
      </c>
      <c r="G1361" s="244"/>
    </row>
    <row r="1362" ht="14.25" hidden="1" customHeight="1" outlineLevel="1">
      <c r="A1362" s="102">
        <v>46061.0</v>
      </c>
      <c r="B1362" s="97">
        <f t="shared" si="185"/>
        <v>46061</v>
      </c>
      <c r="C1362" s="313">
        <v>0.3333333333333333</v>
      </c>
      <c r="D1362" s="242" t="s">
        <v>296</v>
      </c>
      <c r="E1362" s="275">
        <v>900.0</v>
      </c>
      <c r="F1362" s="242" t="s">
        <v>1458</v>
      </c>
      <c r="G1362" s="244"/>
    </row>
    <row r="1363" ht="14.25" hidden="1" customHeight="1" outlineLevel="1">
      <c r="A1363" s="58"/>
      <c r="B1363" s="58"/>
      <c r="C1363" s="313">
        <v>0.4583333333333333</v>
      </c>
      <c r="D1363" s="242" t="s">
        <v>980</v>
      </c>
      <c r="E1363" s="275">
        <v>425.0</v>
      </c>
      <c r="F1363" s="242" t="s">
        <v>1459</v>
      </c>
      <c r="G1363" s="244"/>
    </row>
    <row r="1364" ht="14.25" hidden="1" customHeight="1" outlineLevel="1">
      <c r="A1364" s="10"/>
      <c r="B1364" s="10"/>
      <c r="C1364" s="313">
        <v>0.7708333333333334</v>
      </c>
      <c r="D1364" s="242" t="s">
        <v>342</v>
      </c>
      <c r="E1364" s="275">
        <v>247.0</v>
      </c>
      <c r="F1364" s="242" t="s">
        <v>1461</v>
      </c>
      <c r="G1364" s="244"/>
    </row>
    <row r="1365" ht="14.25" hidden="1" customHeight="1" outlineLevel="1">
      <c r="A1365" s="102">
        <v>46062.0</v>
      </c>
      <c r="B1365" s="97">
        <f>A1365</f>
        <v>46062</v>
      </c>
      <c r="C1365" s="313">
        <v>0.2916666666666667</v>
      </c>
      <c r="D1365" s="242" t="s">
        <v>119</v>
      </c>
      <c r="E1365" s="275">
        <v>82.0</v>
      </c>
      <c r="F1365" s="242" t="s">
        <v>683</v>
      </c>
      <c r="G1365" s="244"/>
    </row>
    <row r="1366" ht="14.25" hidden="1" customHeight="1" outlineLevel="1">
      <c r="A1366" s="10"/>
      <c r="B1366" s="10"/>
      <c r="C1366" s="313">
        <v>0.5069444444444444</v>
      </c>
      <c r="D1366" s="242" t="s">
        <v>1062</v>
      </c>
      <c r="E1366" s="275">
        <v>40.0</v>
      </c>
      <c r="F1366" s="242" t="s">
        <v>428</v>
      </c>
      <c r="G1366" s="244"/>
    </row>
    <row r="1367" ht="14.25" hidden="1" customHeight="1" outlineLevel="1">
      <c r="A1367" s="102">
        <v>46063.0</v>
      </c>
      <c r="B1367" s="97">
        <f>A1367</f>
        <v>46063</v>
      </c>
      <c r="C1367" s="313">
        <v>0.2916666666666667</v>
      </c>
      <c r="D1367" s="242" t="s">
        <v>236</v>
      </c>
      <c r="E1367" s="275">
        <v>112.0</v>
      </c>
      <c r="F1367" s="242" t="s">
        <v>378</v>
      </c>
      <c r="G1367" s="244"/>
    </row>
    <row r="1368" ht="14.25" hidden="1" customHeight="1" outlineLevel="1">
      <c r="A1368" s="10"/>
      <c r="B1368" s="10"/>
      <c r="C1368" s="313">
        <v>0.5069444444444444</v>
      </c>
      <c r="D1368" s="242" t="s">
        <v>456</v>
      </c>
      <c r="E1368" s="275">
        <v>14.0</v>
      </c>
      <c r="F1368" s="242" t="s">
        <v>1465</v>
      </c>
      <c r="G1368" s="244"/>
    </row>
    <row r="1369" ht="14.25" hidden="1" customHeight="1" outlineLevel="1">
      <c r="A1369" s="102">
        <v>46064.0</v>
      </c>
      <c r="B1369" s="97">
        <f>A1369</f>
        <v>46064</v>
      </c>
      <c r="C1369" s="313">
        <v>0.2916666666666667</v>
      </c>
      <c r="D1369" s="242" t="s">
        <v>119</v>
      </c>
      <c r="E1369" s="275">
        <v>39.0</v>
      </c>
      <c r="F1369" s="242" t="s">
        <v>1466</v>
      </c>
      <c r="G1369" s="244"/>
    </row>
    <row r="1370" ht="14.25" hidden="1" customHeight="1" outlineLevel="1">
      <c r="A1370" s="10"/>
      <c r="B1370" s="10"/>
      <c r="C1370" s="313">
        <v>0.5069444444444444</v>
      </c>
      <c r="D1370" s="242" t="s">
        <v>1062</v>
      </c>
      <c r="E1370" s="275">
        <v>45.0</v>
      </c>
      <c r="F1370" s="242" t="s">
        <v>1406</v>
      </c>
      <c r="G1370" s="244"/>
    </row>
    <row r="1371" ht="14.25" hidden="1" customHeight="1" outlineLevel="1">
      <c r="A1371" s="102">
        <v>46065.0</v>
      </c>
      <c r="B1371" s="97">
        <f>A1371</f>
        <v>46065</v>
      </c>
      <c r="C1371" s="313">
        <v>0.2916666666666667</v>
      </c>
      <c r="D1371" s="242" t="s">
        <v>119</v>
      </c>
      <c r="E1371" s="275">
        <v>73.0</v>
      </c>
      <c r="F1371" s="242" t="s">
        <v>1056</v>
      </c>
      <c r="G1371" s="244"/>
    </row>
    <row r="1372" ht="14.25" hidden="1" customHeight="1" outlineLevel="1">
      <c r="A1372" s="10"/>
      <c r="B1372" s="10"/>
      <c r="C1372" s="313">
        <v>0.5069444444444444</v>
      </c>
      <c r="D1372" s="242" t="s">
        <v>980</v>
      </c>
      <c r="E1372" s="275">
        <v>35.0</v>
      </c>
      <c r="F1372" s="242" t="s">
        <v>1436</v>
      </c>
      <c r="G1372" s="244"/>
    </row>
    <row r="1373" ht="14.25" hidden="1" customHeight="1" outlineLevel="1">
      <c r="A1373" s="102">
        <v>46066.0</v>
      </c>
      <c r="B1373" s="97">
        <f>A1373</f>
        <v>46066</v>
      </c>
      <c r="C1373" s="313">
        <v>0.2916666666666667</v>
      </c>
      <c r="D1373" s="242" t="s">
        <v>236</v>
      </c>
      <c r="E1373" s="275">
        <v>31.0</v>
      </c>
      <c r="F1373" s="242" t="s">
        <v>1029</v>
      </c>
      <c r="G1373" s="244"/>
    </row>
    <row r="1374" ht="14.25" hidden="1" customHeight="1" outlineLevel="1">
      <c r="A1374" s="10"/>
      <c r="B1374" s="10"/>
      <c r="C1374" s="313">
        <v>0.5069444444444444</v>
      </c>
      <c r="D1374" s="242" t="s">
        <v>1062</v>
      </c>
      <c r="E1374" s="275">
        <v>25.0</v>
      </c>
      <c r="F1374" s="242" t="s">
        <v>1467</v>
      </c>
      <c r="G1374" s="244"/>
    </row>
    <row r="1375" ht="14.25" hidden="1" customHeight="1" outlineLevel="1">
      <c r="A1375" s="125">
        <v>46067.0</v>
      </c>
      <c r="B1375" s="126">
        <f t="shared" ref="B1375:B1376" si="186">A1375</f>
        <v>46067</v>
      </c>
      <c r="C1375" s="313">
        <v>0.3333333333333333</v>
      </c>
      <c r="D1375" s="242" t="s">
        <v>119</v>
      </c>
      <c r="E1375" s="275">
        <v>19.0</v>
      </c>
      <c r="F1375" s="242" t="s">
        <v>129</v>
      </c>
      <c r="G1375" s="244"/>
    </row>
    <row r="1376" ht="14.25" hidden="1" customHeight="1" outlineLevel="1">
      <c r="A1376" s="102">
        <v>46068.0</v>
      </c>
      <c r="B1376" s="97">
        <f t="shared" si="186"/>
        <v>46068</v>
      </c>
      <c r="C1376" s="313">
        <v>0.3333333333333333</v>
      </c>
      <c r="D1376" s="242" t="s">
        <v>1185</v>
      </c>
      <c r="E1376" s="275">
        <v>325.0</v>
      </c>
      <c r="F1376" s="242" t="s">
        <v>1468</v>
      </c>
      <c r="G1376" s="244"/>
    </row>
    <row r="1377" ht="14.25" hidden="1" customHeight="1" outlineLevel="1">
      <c r="A1377" s="58"/>
      <c r="B1377" s="58"/>
      <c r="C1377" s="313">
        <v>0.4583333333333333</v>
      </c>
      <c r="D1377" s="242" t="s">
        <v>1185</v>
      </c>
      <c r="E1377" s="275">
        <v>314.0</v>
      </c>
      <c r="F1377" s="242" t="s">
        <v>1469</v>
      </c>
      <c r="G1377" s="244"/>
    </row>
    <row r="1378" ht="14.25" hidden="1" customHeight="1" outlineLevel="1">
      <c r="A1378" s="10"/>
      <c r="B1378" s="10"/>
      <c r="C1378" s="313">
        <v>0.7708333333333334</v>
      </c>
      <c r="D1378" s="242" t="s">
        <v>820</v>
      </c>
      <c r="E1378" s="275">
        <v>260.0</v>
      </c>
      <c r="F1378" s="242" t="s">
        <v>1470</v>
      </c>
      <c r="G1378" s="244"/>
    </row>
    <row r="1379" ht="14.25" hidden="1" customHeight="1" outlineLevel="1">
      <c r="A1379" s="125">
        <v>46069.0</v>
      </c>
      <c r="B1379" s="126">
        <f t="shared" ref="B1379:B1382" si="187">A1379</f>
        <v>46069</v>
      </c>
      <c r="C1379" s="313">
        <v>0.2916666666666667</v>
      </c>
      <c r="D1379" s="242" t="s">
        <v>119</v>
      </c>
      <c r="E1379" s="275">
        <v>17.0</v>
      </c>
      <c r="F1379" s="242" t="s">
        <v>428</v>
      </c>
      <c r="G1379" s="244"/>
    </row>
    <row r="1380" ht="14.25" hidden="1" customHeight="1" outlineLevel="1">
      <c r="A1380" s="125">
        <v>46070.0</v>
      </c>
      <c r="B1380" s="126">
        <f t="shared" si="187"/>
        <v>46070</v>
      </c>
      <c r="C1380" s="313">
        <v>0.3333333333333333</v>
      </c>
      <c r="D1380" s="242" t="s">
        <v>236</v>
      </c>
      <c r="E1380" s="275">
        <v>39.0</v>
      </c>
      <c r="F1380" s="242" t="s">
        <v>1471</v>
      </c>
      <c r="G1380" s="244"/>
    </row>
    <row r="1381" ht="14.25" hidden="1" customHeight="1" outlineLevel="1">
      <c r="A1381" s="125">
        <v>46071.0</v>
      </c>
      <c r="B1381" s="126">
        <f t="shared" si="187"/>
        <v>46071</v>
      </c>
      <c r="C1381" s="313">
        <v>0.7916666666666666</v>
      </c>
      <c r="D1381" s="242" t="s">
        <v>490</v>
      </c>
      <c r="E1381" s="275">
        <v>846.0</v>
      </c>
      <c r="F1381" s="242" t="s">
        <v>563</v>
      </c>
      <c r="G1381" s="244"/>
    </row>
    <row r="1382" ht="14.25" hidden="1" customHeight="1" outlineLevel="1">
      <c r="A1382" s="102">
        <v>46072.0</v>
      </c>
      <c r="B1382" s="97">
        <f t="shared" si="187"/>
        <v>46072</v>
      </c>
      <c r="C1382" s="313">
        <v>0.2916666666666667</v>
      </c>
      <c r="D1382" s="242" t="s">
        <v>119</v>
      </c>
      <c r="E1382" s="275">
        <v>0.0</v>
      </c>
      <c r="F1382" s="242" t="s">
        <v>1472</v>
      </c>
      <c r="G1382" s="244"/>
    </row>
    <row r="1383" ht="14.25" hidden="1" customHeight="1" outlineLevel="1">
      <c r="A1383" s="10"/>
      <c r="B1383" s="10"/>
      <c r="C1383" s="313">
        <v>0.5069444444444444</v>
      </c>
      <c r="D1383" s="242" t="s">
        <v>980</v>
      </c>
      <c r="E1383" s="275">
        <v>179.0</v>
      </c>
      <c r="F1383" s="242" t="s">
        <v>1415</v>
      </c>
      <c r="G1383" s="244"/>
    </row>
    <row r="1384" ht="14.25" hidden="1" customHeight="1" outlineLevel="1">
      <c r="A1384" s="102">
        <v>46073.0</v>
      </c>
      <c r="B1384" s="97">
        <f>A1384</f>
        <v>46073</v>
      </c>
      <c r="C1384" s="313">
        <v>0.2916666666666667</v>
      </c>
      <c r="D1384" s="242" t="s">
        <v>296</v>
      </c>
      <c r="E1384" s="275">
        <v>56.0</v>
      </c>
      <c r="F1384" s="242" t="s">
        <v>1029</v>
      </c>
      <c r="G1384" s="244"/>
    </row>
    <row r="1385" ht="14.25" hidden="1" customHeight="1" outlineLevel="1">
      <c r="A1385" s="10"/>
      <c r="B1385" s="10"/>
      <c r="C1385" s="313">
        <v>0.5069444444444444</v>
      </c>
      <c r="D1385" s="242" t="s">
        <v>1062</v>
      </c>
      <c r="E1385" s="275">
        <v>90.0</v>
      </c>
      <c r="F1385" s="242" t="s">
        <v>659</v>
      </c>
      <c r="G1385" s="244"/>
    </row>
    <row r="1386" ht="14.25" hidden="1" customHeight="1" outlineLevel="1">
      <c r="A1386" s="125">
        <v>46074.0</v>
      </c>
      <c r="B1386" s="126">
        <f t="shared" ref="B1386:B1387" si="188">A1386</f>
        <v>46074</v>
      </c>
      <c r="C1386" s="313">
        <v>0.3333333333333333</v>
      </c>
      <c r="D1386" s="242" t="s">
        <v>119</v>
      </c>
      <c r="E1386" s="275">
        <v>34.0</v>
      </c>
      <c r="F1386" s="242" t="s">
        <v>1474</v>
      </c>
      <c r="G1386" s="244"/>
    </row>
    <row r="1387" ht="14.25" hidden="1" customHeight="1" outlineLevel="1">
      <c r="A1387" s="102">
        <v>46075.0</v>
      </c>
      <c r="B1387" s="97">
        <f t="shared" si="188"/>
        <v>46075</v>
      </c>
      <c r="C1387" s="313">
        <v>0.3333333333333333</v>
      </c>
      <c r="D1387" s="242" t="s">
        <v>490</v>
      </c>
      <c r="E1387" s="275">
        <v>480.0</v>
      </c>
      <c r="F1387" s="242" t="s">
        <v>1475</v>
      </c>
      <c r="G1387" s="244"/>
    </row>
    <row r="1388" ht="14.25" hidden="1" customHeight="1" outlineLevel="1">
      <c r="A1388" s="58"/>
      <c r="B1388" s="58"/>
      <c r="C1388" s="313">
        <v>0.4583333333333333</v>
      </c>
      <c r="D1388" s="242" t="s">
        <v>1251</v>
      </c>
      <c r="E1388" s="275">
        <v>555.0</v>
      </c>
      <c r="F1388" s="242" t="s">
        <v>1476</v>
      </c>
      <c r="G1388" s="244"/>
    </row>
    <row r="1389" ht="14.25" hidden="1" customHeight="1" outlineLevel="1">
      <c r="A1389" s="10"/>
      <c r="B1389" s="10"/>
      <c r="C1389" s="313">
        <v>0.7708333333333334</v>
      </c>
      <c r="D1389" s="242" t="s">
        <v>342</v>
      </c>
      <c r="E1389" s="275">
        <v>1066.0</v>
      </c>
      <c r="F1389" s="242" t="s">
        <v>1477</v>
      </c>
      <c r="G1389" s="244"/>
    </row>
    <row r="1390" ht="14.25" hidden="1" customHeight="1" outlineLevel="1">
      <c r="A1390" s="102">
        <v>46076.0</v>
      </c>
      <c r="B1390" s="97">
        <f>A1390</f>
        <v>46076</v>
      </c>
      <c r="C1390" s="313">
        <v>0.2916666666666667</v>
      </c>
      <c r="D1390" s="242" t="s">
        <v>1327</v>
      </c>
      <c r="E1390" s="275">
        <v>85.0</v>
      </c>
      <c r="F1390" s="242" t="s">
        <v>829</v>
      </c>
      <c r="G1390" s="244"/>
    </row>
    <row r="1391" ht="14.25" hidden="1" customHeight="1" outlineLevel="1">
      <c r="A1391" s="10"/>
      <c r="B1391" s="10"/>
      <c r="C1391" s="313">
        <v>0.5069444444444444</v>
      </c>
      <c r="D1391" s="242" t="s">
        <v>1064</v>
      </c>
      <c r="E1391" s="275">
        <v>54.0</v>
      </c>
      <c r="F1391" s="242" t="s">
        <v>1297</v>
      </c>
      <c r="G1391" s="244"/>
    </row>
    <row r="1392" ht="14.25" hidden="1" customHeight="1" outlineLevel="1">
      <c r="A1392" s="102">
        <v>46077.0</v>
      </c>
      <c r="B1392" s="97">
        <f>A1392</f>
        <v>46077</v>
      </c>
      <c r="C1392" s="313">
        <v>0.2916666666666667</v>
      </c>
      <c r="D1392" s="242" t="s">
        <v>236</v>
      </c>
      <c r="E1392" s="275">
        <v>32.0</v>
      </c>
      <c r="F1392" s="242" t="s">
        <v>378</v>
      </c>
      <c r="G1392" s="244"/>
    </row>
    <row r="1393" ht="14.25" hidden="1" customHeight="1" outlineLevel="1">
      <c r="A1393" s="10"/>
      <c r="B1393" s="10"/>
      <c r="C1393" s="313">
        <v>0.5069444444444444</v>
      </c>
      <c r="D1393" s="242" t="s">
        <v>456</v>
      </c>
      <c r="E1393" s="275">
        <v>70.0</v>
      </c>
      <c r="F1393" s="242" t="s">
        <v>1465</v>
      </c>
      <c r="G1393" s="244"/>
    </row>
    <row r="1394" ht="14.25" hidden="1" customHeight="1" outlineLevel="1">
      <c r="A1394" s="102">
        <v>46078.0</v>
      </c>
      <c r="B1394" s="97">
        <f>A1394</f>
        <v>46078</v>
      </c>
      <c r="C1394" s="313">
        <v>0.2916666666666667</v>
      </c>
      <c r="D1394" s="242" t="s">
        <v>119</v>
      </c>
      <c r="E1394" s="275">
        <v>47.0</v>
      </c>
      <c r="F1394" s="242" t="s">
        <v>1001</v>
      </c>
      <c r="G1394" s="244"/>
    </row>
    <row r="1395" ht="14.25" hidden="1" customHeight="1" outlineLevel="1">
      <c r="A1395" s="10"/>
      <c r="B1395" s="10"/>
      <c r="C1395" s="313">
        <v>0.5069444444444444</v>
      </c>
      <c r="D1395" s="242" t="s">
        <v>1064</v>
      </c>
      <c r="E1395" s="275">
        <v>5.0</v>
      </c>
      <c r="F1395" s="242" t="s">
        <v>283</v>
      </c>
      <c r="G1395" s="244"/>
    </row>
    <row r="1396" ht="14.25" hidden="1" customHeight="1" outlineLevel="1">
      <c r="A1396" s="102">
        <v>46079.0</v>
      </c>
      <c r="B1396" s="97">
        <f>A1396</f>
        <v>46079</v>
      </c>
      <c r="C1396" s="313">
        <v>0.2916666666666667</v>
      </c>
      <c r="D1396" s="242" t="s">
        <v>119</v>
      </c>
      <c r="E1396" s="275">
        <v>67.0</v>
      </c>
      <c r="F1396" s="242" t="s">
        <v>387</v>
      </c>
      <c r="G1396" s="244"/>
    </row>
    <row r="1397" ht="14.25" hidden="1" customHeight="1" outlineLevel="1">
      <c r="A1397" s="10"/>
      <c r="B1397" s="10"/>
      <c r="C1397" s="313">
        <v>0.5069444444444444</v>
      </c>
      <c r="D1397" s="242" t="s">
        <v>980</v>
      </c>
      <c r="E1397" s="275">
        <v>27.0</v>
      </c>
      <c r="F1397" s="242" t="s">
        <v>1478</v>
      </c>
      <c r="G1397" s="244"/>
    </row>
    <row r="1398" ht="14.25" hidden="1" customHeight="1" outlineLevel="1">
      <c r="A1398" s="102">
        <v>46080.0</v>
      </c>
      <c r="B1398" s="97">
        <f>A1398</f>
        <v>46080</v>
      </c>
      <c r="C1398" s="313">
        <v>0.2916666666666667</v>
      </c>
      <c r="D1398" s="242" t="s">
        <v>236</v>
      </c>
      <c r="E1398" s="275">
        <v>69.0</v>
      </c>
      <c r="F1398" s="242" t="s">
        <v>1479</v>
      </c>
      <c r="G1398" s="244"/>
    </row>
    <row r="1399" ht="14.25" hidden="1" customHeight="1" outlineLevel="1">
      <c r="A1399" s="10"/>
      <c r="B1399" s="10"/>
      <c r="C1399" s="313">
        <v>0.5069444444444444</v>
      </c>
      <c r="D1399" s="242" t="s">
        <v>1064</v>
      </c>
      <c r="E1399" s="275">
        <v>12.0</v>
      </c>
      <c r="F1399" s="242" t="s">
        <v>1480</v>
      </c>
      <c r="G1399" s="244"/>
    </row>
    <row r="1400" ht="14.25" hidden="1" customHeight="1" outlineLevel="1">
      <c r="A1400" s="125">
        <v>46081.0</v>
      </c>
      <c r="B1400" s="126">
        <f>A1400</f>
        <v>46081</v>
      </c>
      <c r="C1400" s="313">
        <v>0.3333333333333333</v>
      </c>
      <c r="D1400" s="242" t="s">
        <v>1327</v>
      </c>
      <c r="E1400" s="275">
        <v>230.0</v>
      </c>
      <c r="F1400" s="242" t="s">
        <v>129</v>
      </c>
      <c r="G1400" s="244"/>
    </row>
    <row r="1401" ht="14.25" customHeight="1">
      <c r="A1401" s="117" t="s">
        <v>195</v>
      </c>
      <c r="B1401" s="27"/>
      <c r="C1401" s="27"/>
      <c r="D1401" s="28"/>
      <c r="E1401" s="312">
        <f>SUM(E1348:E1400)</f>
        <v>8925</v>
      </c>
      <c r="F1401" s="244"/>
      <c r="G1401" s="244"/>
    </row>
    <row r="1402" ht="14.25" customHeight="1">
      <c r="A1402" s="329"/>
      <c r="B1402" s="330"/>
      <c r="C1402" s="331"/>
      <c r="D1402" s="335"/>
      <c r="E1402" s="336"/>
      <c r="F1402" s="335"/>
      <c r="G1402" s="332"/>
    </row>
    <row r="1403" ht="14.25" customHeight="1" collapsed="1">
      <c r="A1403" s="339" t="s">
        <v>1481</v>
      </c>
      <c r="B1403" s="246"/>
      <c r="C1403" s="246"/>
      <c r="D1403" s="246"/>
      <c r="E1403" s="246"/>
      <c r="F1403" s="246"/>
      <c r="G1403" s="246"/>
      <c r="H1403" s="246"/>
      <c r="I1403" s="246"/>
      <c r="J1403" s="246"/>
      <c r="K1403" s="246"/>
      <c r="L1403" s="246"/>
      <c r="M1403" s="246"/>
      <c r="N1403" s="246"/>
      <c r="O1403" s="246"/>
      <c r="P1403" s="246"/>
      <c r="Q1403" s="247"/>
    </row>
    <row r="1404" ht="14.25" hidden="1" customHeight="1" outlineLevel="1">
      <c r="A1404" s="102">
        <v>46082.0</v>
      </c>
      <c r="B1404" s="97">
        <f>A1404</f>
        <v>46082</v>
      </c>
      <c r="C1404" s="313">
        <v>0.3333333333333333</v>
      </c>
      <c r="D1404" s="242" t="s">
        <v>490</v>
      </c>
      <c r="E1404" s="275">
        <v>585.0</v>
      </c>
      <c r="F1404" s="242" t="s">
        <v>1482</v>
      </c>
      <c r="G1404" s="244"/>
      <c r="I1404" s="72" t="s">
        <v>91</v>
      </c>
      <c r="J1404" s="73"/>
      <c r="K1404" s="73"/>
      <c r="L1404" s="74"/>
      <c r="N1404" s="72" t="s">
        <v>992</v>
      </c>
      <c r="O1404" s="73"/>
      <c r="P1404" s="73"/>
      <c r="Q1404" s="74"/>
    </row>
    <row r="1405" ht="14.25" hidden="1" customHeight="1" outlineLevel="1">
      <c r="A1405" s="58"/>
      <c r="B1405" s="58"/>
      <c r="C1405" s="313">
        <v>0.4583333333333333</v>
      </c>
      <c r="D1405" s="242" t="s">
        <v>296</v>
      </c>
      <c r="E1405" s="275">
        <v>793.0</v>
      </c>
      <c r="F1405" s="242" t="s">
        <v>1458</v>
      </c>
      <c r="G1405" s="244"/>
      <c r="I1405" s="86">
        <v>46093.0</v>
      </c>
      <c r="J1405" s="88">
        <f t="shared" ref="J1405:J1407" si="189">I1405</f>
        <v>46093</v>
      </c>
      <c r="K1405" s="93">
        <v>83.8</v>
      </c>
      <c r="L1405" s="90"/>
      <c r="M1405" s="51"/>
      <c r="N1405" s="86">
        <v>46112.0</v>
      </c>
      <c r="O1405" s="88">
        <f>N1405</f>
        <v>46112</v>
      </c>
      <c r="P1405" s="93">
        <v>3300.0</v>
      </c>
      <c r="Q1405" s="91" t="s">
        <v>1345</v>
      </c>
    </row>
    <row r="1406" ht="14.25" hidden="1" customHeight="1" outlineLevel="1">
      <c r="A1406" s="10"/>
      <c r="B1406" s="10"/>
      <c r="C1406" s="313">
        <v>0.7708333333333334</v>
      </c>
      <c r="D1406" s="242" t="s">
        <v>1484</v>
      </c>
      <c r="E1406" s="275">
        <v>408.0</v>
      </c>
      <c r="F1406" s="242" t="s">
        <v>1475</v>
      </c>
      <c r="G1406" s="244"/>
      <c r="I1406" s="86">
        <v>46097.0</v>
      </c>
      <c r="J1406" s="88">
        <f t="shared" si="189"/>
        <v>46097</v>
      </c>
      <c r="K1406" s="93">
        <v>75.0</v>
      </c>
      <c r="L1406" s="90"/>
      <c r="M1406" s="51"/>
      <c r="N1406" s="86"/>
      <c r="O1406" s="88"/>
      <c r="P1406" s="93">
        <v>0.0</v>
      </c>
      <c r="Q1406" s="91"/>
    </row>
    <row r="1407" ht="14.25" hidden="1" customHeight="1" outlineLevel="1">
      <c r="A1407" s="102">
        <v>46083.0</v>
      </c>
      <c r="B1407" s="97">
        <f>A1407</f>
        <v>46083</v>
      </c>
      <c r="C1407" s="313">
        <v>0.2916666666666667</v>
      </c>
      <c r="D1407" s="242" t="s">
        <v>1327</v>
      </c>
      <c r="E1407" s="275">
        <v>56.0</v>
      </c>
      <c r="F1407" s="242" t="s">
        <v>303</v>
      </c>
      <c r="G1407" s="244"/>
      <c r="I1407" s="86">
        <v>46106.0</v>
      </c>
      <c r="J1407" s="88">
        <f t="shared" si="189"/>
        <v>46106</v>
      </c>
      <c r="K1407" s="93">
        <v>44.0</v>
      </c>
      <c r="L1407" s="90"/>
      <c r="M1407" s="51"/>
      <c r="N1407" s="86"/>
      <c r="O1407" s="88"/>
      <c r="P1407" s="93">
        <v>0.0</v>
      </c>
      <c r="Q1407" s="91"/>
    </row>
    <row r="1408" ht="14.25" hidden="1" customHeight="1" outlineLevel="1">
      <c r="A1408" s="10"/>
      <c r="B1408" s="10"/>
      <c r="C1408" s="313">
        <v>0.5069444444444444</v>
      </c>
      <c r="D1408" s="242" t="s">
        <v>1064</v>
      </c>
      <c r="E1408" s="275">
        <v>235.0</v>
      </c>
      <c r="F1408" s="242" t="s">
        <v>1485</v>
      </c>
      <c r="G1408" s="244"/>
      <c r="I1408" s="86"/>
      <c r="J1408" s="88"/>
      <c r="K1408" s="93"/>
      <c r="L1408" s="90"/>
      <c r="M1408" s="51"/>
      <c r="N1408" s="86"/>
      <c r="O1408" s="88"/>
      <c r="P1408" s="93">
        <v>0.0</v>
      </c>
      <c r="Q1408" s="91"/>
    </row>
    <row r="1409" ht="14.25" hidden="1" customHeight="1" outlineLevel="1">
      <c r="A1409" s="102">
        <v>46084.0</v>
      </c>
      <c r="B1409" s="97">
        <f>A1409</f>
        <v>46084</v>
      </c>
      <c r="C1409" s="313">
        <v>0.2916666666666667</v>
      </c>
      <c r="D1409" s="242" t="s">
        <v>236</v>
      </c>
      <c r="E1409" s="275">
        <v>117.0</v>
      </c>
      <c r="F1409" s="242" t="s">
        <v>378</v>
      </c>
      <c r="G1409" s="244"/>
      <c r="I1409" s="86"/>
      <c r="J1409" s="88"/>
      <c r="K1409" s="92"/>
      <c r="L1409" s="90"/>
      <c r="M1409" s="51"/>
      <c r="N1409" s="86"/>
      <c r="O1409" s="88" t="str">
        <f>N1409</f>
        <v/>
      </c>
      <c r="P1409" s="93">
        <v>0.0</v>
      </c>
      <c r="Q1409" s="91"/>
    </row>
    <row r="1410" ht="14.25" hidden="1" customHeight="1" outlineLevel="1">
      <c r="A1410" s="10"/>
      <c r="B1410" s="10"/>
      <c r="C1410" s="313">
        <v>0.5069444444444444</v>
      </c>
      <c r="D1410" s="242" t="s">
        <v>456</v>
      </c>
      <c r="E1410" s="275">
        <v>100.0</v>
      </c>
      <c r="F1410" s="242" t="s">
        <v>1465</v>
      </c>
      <c r="G1410" s="244"/>
      <c r="I1410" s="86"/>
      <c r="J1410" s="88"/>
      <c r="K1410" s="92"/>
      <c r="L1410" s="90"/>
      <c r="M1410" s="51"/>
      <c r="N1410" s="165" t="s">
        <v>195</v>
      </c>
      <c r="O1410" s="165"/>
      <c r="P1410" s="291">
        <f>SUM(P1405:P1408)</f>
        <v>3300</v>
      </c>
      <c r="Q1410" s="114"/>
    </row>
    <row r="1411" ht="14.25" hidden="1" customHeight="1" outlineLevel="1">
      <c r="A1411" s="102">
        <v>46085.0</v>
      </c>
      <c r="B1411" s="97">
        <f>A1411</f>
        <v>46085</v>
      </c>
      <c r="C1411" s="313">
        <v>0.2916666666666667</v>
      </c>
      <c r="D1411" s="242" t="s">
        <v>263</v>
      </c>
      <c r="E1411" s="275">
        <v>56.0</v>
      </c>
      <c r="F1411" s="242" t="s">
        <v>1488</v>
      </c>
      <c r="G1411" s="244"/>
      <c r="I1411" s="108" t="s">
        <v>195</v>
      </c>
      <c r="J1411" s="109"/>
      <c r="K1411" s="113">
        <f>SUM(K1405:K1410)</f>
        <v>202.8</v>
      </c>
      <c r="L1411" s="114"/>
      <c r="M1411" s="51"/>
    </row>
    <row r="1412" ht="14.25" hidden="1" customHeight="1" outlineLevel="1">
      <c r="A1412" s="10"/>
      <c r="B1412" s="10"/>
      <c r="C1412" s="313">
        <v>0.5069444444444444</v>
      </c>
      <c r="D1412" s="242" t="s">
        <v>1489</v>
      </c>
      <c r="E1412" s="275">
        <v>90.0</v>
      </c>
      <c r="F1412" s="242" t="s">
        <v>1118</v>
      </c>
      <c r="G1412" s="244"/>
      <c r="N1412" s="235" t="s">
        <v>344</v>
      </c>
      <c r="O1412" s="27"/>
      <c r="P1412" s="27"/>
      <c r="Q1412" s="28"/>
    </row>
    <row r="1413" ht="14.25" hidden="1" customHeight="1" outlineLevel="1">
      <c r="A1413" s="102">
        <v>46086.0</v>
      </c>
      <c r="B1413" s="97">
        <f>A1413</f>
        <v>46086</v>
      </c>
      <c r="C1413" s="313">
        <v>0.2916666666666667</v>
      </c>
      <c r="D1413" s="242" t="s">
        <v>263</v>
      </c>
      <c r="E1413" s="275">
        <v>55.0</v>
      </c>
      <c r="F1413" s="242" t="s">
        <v>1491</v>
      </c>
      <c r="G1413" s="244"/>
      <c r="N1413" s="81" t="s">
        <v>6</v>
      </c>
      <c r="O1413" s="84" t="s">
        <v>115</v>
      </c>
      <c r="P1413" s="84" t="s">
        <v>9</v>
      </c>
      <c r="Q1413" s="81" t="s">
        <v>13</v>
      </c>
    </row>
    <row r="1414" ht="14.25" hidden="1" customHeight="1" outlineLevel="1">
      <c r="A1414" s="10"/>
      <c r="B1414" s="10"/>
      <c r="C1414" s="313">
        <v>0.5069444444444444</v>
      </c>
      <c r="D1414" s="242" t="s">
        <v>980</v>
      </c>
      <c r="E1414" s="275">
        <v>15.0</v>
      </c>
      <c r="F1414" s="242" t="s">
        <v>1436</v>
      </c>
      <c r="G1414" s="244"/>
      <c r="N1414" s="86"/>
      <c r="O1414" s="88"/>
      <c r="P1414" s="93">
        <v>0.0</v>
      </c>
      <c r="Q1414" s="91"/>
    </row>
    <row r="1415" ht="14.25" hidden="1" customHeight="1" outlineLevel="1">
      <c r="A1415" s="102">
        <v>46087.0</v>
      </c>
      <c r="B1415" s="97">
        <f>A1415</f>
        <v>46087</v>
      </c>
      <c r="C1415" s="313">
        <v>0.2916666666666667</v>
      </c>
      <c r="D1415" s="242" t="s">
        <v>236</v>
      </c>
      <c r="E1415" s="275">
        <v>58.0</v>
      </c>
      <c r="F1415" s="242" t="s">
        <v>560</v>
      </c>
      <c r="G1415" s="244"/>
      <c r="N1415" s="86"/>
      <c r="O1415" s="88"/>
      <c r="P1415" s="93">
        <v>0.0</v>
      </c>
      <c r="Q1415" s="91"/>
    </row>
    <row r="1416" ht="14.25" hidden="1" customHeight="1" outlineLevel="1">
      <c r="A1416" s="10"/>
      <c r="B1416" s="10"/>
      <c r="C1416" s="313">
        <v>0.5069444444444444</v>
      </c>
      <c r="D1416" s="242" t="s">
        <v>1489</v>
      </c>
      <c r="E1416" s="275">
        <v>54.0</v>
      </c>
      <c r="F1416" s="242" t="s">
        <v>1493</v>
      </c>
      <c r="G1416" s="244"/>
    </row>
    <row r="1417" ht="14.25" hidden="1" customHeight="1" outlineLevel="1">
      <c r="A1417" s="125">
        <v>46088.0</v>
      </c>
      <c r="B1417" s="126">
        <f t="shared" ref="B1417:B1419" si="190">A1417</f>
        <v>46088</v>
      </c>
      <c r="C1417" s="313">
        <v>0.3333333333333333</v>
      </c>
      <c r="D1417" s="242" t="s">
        <v>1495</v>
      </c>
      <c r="E1417" s="275">
        <v>87.0</v>
      </c>
      <c r="F1417" s="242" t="s">
        <v>1496</v>
      </c>
      <c r="G1417" s="244"/>
    </row>
    <row r="1418" ht="14.25" hidden="1" customHeight="1" outlineLevel="1">
      <c r="A1418" s="125">
        <v>46088.0</v>
      </c>
      <c r="B1418" s="126">
        <f t="shared" si="190"/>
        <v>46088</v>
      </c>
      <c r="C1418" s="313">
        <v>0.7291666666666666</v>
      </c>
      <c r="D1418" s="242" t="s">
        <v>490</v>
      </c>
      <c r="E1418" s="275">
        <v>354.0</v>
      </c>
      <c r="F1418" s="242" t="s">
        <v>1497</v>
      </c>
      <c r="G1418" s="244"/>
    </row>
    <row r="1419" ht="14.25" hidden="1" customHeight="1" outlineLevel="1">
      <c r="A1419" s="102">
        <v>46089.0</v>
      </c>
      <c r="B1419" s="97">
        <f t="shared" si="190"/>
        <v>46089</v>
      </c>
      <c r="C1419" s="313">
        <v>0.3333333333333333</v>
      </c>
      <c r="D1419" s="373"/>
      <c r="E1419" s="374">
        <v>0.0</v>
      </c>
      <c r="F1419" s="373" t="s">
        <v>1498</v>
      </c>
      <c r="G1419" s="375"/>
    </row>
    <row r="1420" ht="14.25" hidden="1" customHeight="1" outlineLevel="1">
      <c r="A1420" s="58"/>
      <c r="B1420" s="58"/>
      <c r="C1420" s="313">
        <v>0.4583333333333333</v>
      </c>
      <c r="D1420" s="376"/>
      <c r="E1420" s="374">
        <v>0.0</v>
      </c>
      <c r="F1420" s="373" t="s">
        <v>1498</v>
      </c>
      <c r="G1420" s="375"/>
    </row>
    <row r="1421" ht="14.25" hidden="1" customHeight="1" outlineLevel="1">
      <c r="A1421" s="10"/>
      <c r="B1421" s="10"/>
      <c r="C1421" s="313">
        <v>0.7708333333333334</v>
      </c>
      <c r="D1421" s="242" t="s">
        <v>342</v>
      </c>
      <c r="E1421" s="275">
        <v>444.0</v>
      </c>
      <c r="F1421" s="242" t="s">
        <v>1499</v>
      </c>
      <c r="G1421" s="244"/>
    </row>
    <row r="1422" ht="14.25" hidden="1" customHeight="1" outlineLevel="1">
      <c r="A1422" s="102">
        <v>46090.0</v>
      </c>
      <c r="B1422" s="97">
        <f>A1422</f>
        <v>46090</v>
      </c>
      <c r="C1422" s="313">
        <v>0.2916666666666667</v>
      </c>
      <c r="D1422" s="242" t="s">
        <v>1327</v>
      </c>
      <c r="E1422" s="275">
        <v>54.0</v>
      </c>
      <c r="F1422" s="242" t="s">
        <v>303</v>
      </c>
      <c r="G1422" s="244"/>
    </row>
    <row r="1423" ht="14.25" hidden="1" customHeight="1" outlineLevel="1">
      <c r="A1423" s="10"/>
      <c r="B1423" s="10"/>
      <c r="C1423" s="313">
        <v>0.5069444444444444</v>
      </c>
      <c r="D1423" s="242" t="s">
        <v>1064</v>
      </c>
      <c r="E1423" s="275">
        <v>27.0</v>
      </c>
      <c r="F1423" s="242" t="s">
        <v>1244</v>
      </c>
      <c r="G1423" s="244"/>
    </row>
    <row r="1424" ht="14.25" hidden="1" customHeight="1" outlineLevel="1">
      <c r="A1424" s="102">
        <v>46091.0</v>
      </c>
      <c r="B1424" s="97">
        <f>A1424</f>
        <v>46091</v>
      </c>
      <c r="C1424" s="313">
        <v>0.2916666666666667</v>
      </c>
      <c r="D1424" s="242" t="s">
        <v>296</v>
      </c>
      <c r="E1424" s="275">
        <v>79.0</v>
      </c>
      <c r="F1424" s="242" t="s">
        <v>359</v>
      </c>
      <c r="G1424" s="244"/>
    </row>
    <row r="1425" ht="14.25" hidden="1" customHeight="1" outlineLevel="1">
      <c r="A1425" s="10"/>
      <c r="B1425" s="10"/>
      <c r="C1425" s="313">
        <v>0.5069444444444444</v>
      </c>
      <c r="D1425" s="242" t="s">
        <v>456</v>
      </c>
      <c r="E1425" s="275">
        <v>122.0</v>
      </c>
      <c r="F1425" s="242" t="s">
        <v>1465</v>
      </c>
      <c r="G1425" s="244"/>
    </row>
    <row r="1426" ht="14.25" hidden="1" customHeight="1" outlineLevel="1">
      <c r="A1426" s="102">
        <v>46092.0</v>
      </c>
      <c r="B1426" s="97">
        <f>A1426</f>
        <v>46092</v>
      </c>
      <c r="C1426" s="313">
        <v>0.2916666666666667</v>
      </c>
      <c r="D1426" s="242" t="s">
        <v>263</v>
      </c>
      <c r="E1426" s="275">
        <v>24.0</v>
      </c>
      <c r="F1426" s="242" t="s">
        <v>1001</v>
      </c>
      <c r="G1426" s="244"/>
    </row>
    <row r="1427" ht="14.25" hidden="1" customHeight="1" outlineLevel="1">
      <c r="A1427" s="10"/>
      <c r="B1427" s="10"/>
      <c r="C1427" s="313">
        <v>0.5069444444444444</v>
      </c>
      <c r="D1427" s="242" t="s">
        <v>1064</v>
      </c>
      <c r="E1427" s="275">
        <v>111.0</v>
      </c>
      <c r="F1427" s="242" t="s">
        <v>1406</v>
      </c>
      <c r="G1427" s="244"/>
    </row>
    <row r="1428" ht="14.25" hidden="1" customHeight="1" outlineLevel="1">
      <c r="A1428" s="102">
        <v>46093.0</v>
      </c>
      <c r="B1428" s="97">
        <f>A1428</f>
        <v>46093</v>
      </c>
      <c r="C1428" s="313">
        <v>0.2916666666666667</v>
      </c>
      <c r="D1428" s="242" t="s">
        <v>263</v>
      </c>
      <c r="E1428" s="275">
        <v>41.0</v>
      </c>
      <c r="F1428" s="242" t="s">
        <v>1236</v>
      </c>
      <c r="G1428" s="244"/>
    </row>
    <row r="1429" ht="14.25" hidden="1" customHeight="1" outlineLevel="1">
      <c r="A1429" s="10"/>
      <c r="B1429" s="10"/>
      <c r="C1429" s="313">
        <v>0.5069444444444444</v>
      </c>
      <c r="D1429" s="242" t="s">
        <v>980</v>
      </c>
      <c r="E1429" s="275">
        <v>9.0</v>
      </c>
      <c r="F1429" s="242" t="s">
        <v>1501</v>
      </c>
      <c r="G1429" s="244"/>
    </row>
    <row r="1430" ht="14.25" hidden="1" customHeight="1" outlineLevel="1">
      <c r="A1430" s="102">
        <v>46094.0</v>
      </c>
      <c r="B1430" s="97">
        <f>A1430</f>
        <v>46094</v>
      </c>
      <c r="C1430" s="313">
        <v>0.2916666666666667</v>
      </c>
      <c r="D1430" s="242" t="s">
        <v>236</v>
      </c>
      <c r="E1430" s="275">
        <v>63.0</v>
      </c>
      <c r="F1430" s="242" t="s">
        <v>1503</v>
      </c>
      <c r="G1430" s="244"/>
    </row>
    <row r="1431" ht="14.25" hidden="1" customHeight="1" outlineLevel="1">
      <c r="A1431" s="10"/>
      <c r="B1431" s="10"/>
      <c r="C1431" s="313">
        <v>0.5069444444444444</v>
      </c>
      <c r="D1431" s="242" t="s">
        <v>1489</v>
      </c>
      <c r="E1431" s="275">
        <v>31.0</v>
      </c>
      <c r="F1431" s="242" t="s">
        <v>875</v>
      </c>
      <c r="G1431" s="244"/>
    </row>
    <row r="1432" ht="14.25" hidden="1" customHeight="1" outlineLevel="1">
      <c r="A1432" s="125">
        <v>46095.0</v>
      </c>
      <c r="B1432" s="126">
        <f t="shared" ref="B1432:B1433" si="191">A1432</f>
        <v>46095</v>
      </c>
      <c r="C1432" s="313">
        <v>0.3333333333333333</v>
      </c>
      <c r="D1432" s="242" t="s">
        <v>263</v>
      </c>
      <c r="E1432" s="275">
        <v>100.0</v>
      </c>
      <c r="F1432" s="242" t="s">
        <v>1452</v>
      </c>
      <c r="G1432" s="244"/>
    </row>
    <row r="1433" ht="14.25" hidden="1" customHeight="1" outlineLevel="1">
      <c r="A1433" s="102">
        <v>46096.0</v>
      </c>
      <c r="B1433" s="97">
        <f t="shared" si="191"/>
        <v>46096</v>
      </c>
      <c r="C1433" s="313">
        <v>0.3333333333333333</v>
      </c>
      <c r="D1433" s="242" t="s">
        <v>490</v>
      </c>
      <c r="E1433" s="275">
        <v>252.0</v>
      </c>
      <c r="F1433" s="242" t="s">
        <v>1505</v>
      </c>
      <c r="G1433" s="244"/>
    </row>
    <row r="1434" ht="14.25" hidden="1" customHeight="1" outlineLevel="1">
      <c r="A1434" s="58"/>
      <c r="B1434" s="58"/>
      <c r="C1434" s="313">
        <v>0.4583333333333333</v>
      </c>
      <c r="D1434" s="242" t="s">
        <v>1251</v>
      </c>
      <c r="E1434" s="275">
        <v>410.0</v>
      </c>
      <c r="F1434" s="242" t="s">
        <v>1506</v>
      </c>
      <c r="G1434" s="244"/>
    </row>
    <row r="1435" ht="14.25" hidden="1" customHeight="1" outlineLevel="1">
      <c r="A1435" s="10"/>
      <c r="B1435" s="10"/>
      <c r="C1435" s="313">
        <v>0.7708333333333334</v>
      </c>
      <c r="D1435" s="242" t="s">
        <v>342</v>
      </c>
      <c r="E1435" s="275">
        <v>762.0</v>
      </c>
      <c r="F1435" s="242" t="s">
        <v>1499</v>
      </c>
      <c r="G1435" s="244"/>
    </row>
    <row r="1436" ht="14.25" hidden="1" customHeight="1" outlineLevel="1">
      <c r="A1436" s="102">
        <v>46097.0</v>
      </c>
      <c r="B1436" s="97">
        <f>A1436</f>
        <v>46097</v>
      </c>
      <c r="C1436" s="313">
        <v>0.2916666666666667</v>
      </c>
      <c r="D1436" s="242" t="s">
        <v>1327</v>
      </c>
      <c r="E1436" s="275">
        <v>117.0</v>
      </c>
      <c r="F1436" s="242" t="s">
        <v>1233</v>
      </c>
      <c r="G1436" s="244"/>
    </row>
    <row r="1437" ht="14.25" hidden="1" customHeight="1" outlineLevel="1">
      <c r="A1437" s="10"/>
      <c r="B1437" s="10"/>
      <c r="C1437" s="313">
        <v>0.5069444444444444</v>
      </c>
      <c r="D1437" s="242" t="s">
        <v>1489</v>
      </c>
      <c r="E1437" s="275">
        <v>22.0</v>
      </c>
      <c r="F1437" s="242" t="s">
        <v>1508</v>
      </c>
      <c r="G1437" s="244"/>
    </row>
    <row r="1438" ht="14.25" hidden="1" customHeight="1" outlineLevel="1">
      <c r="A1438" s="102">
        <v>46098.0</v>
      </c>
      <c r="B1438" s="97">
        <f>A1438</f>
        <v>46098</v>
      </c>
      <c r="C1438" s="313">
        <v>0.2916666666666667</v>
      </c>
      <c r="D1438" s="242" t="s">
        <v>236</v>
      </c>
      <c r="E1438" s="275">
        <v>81.0</v>
      </c>
      <c r="F1438" s="242" t="s">
        <v>378</v>
      </c>
      <c r="G1438" s="244"/>
    </row>
    <row r="1439" ht="14.25" hidden="1" customHeight="1" outlineLevel="1">
      <c r="A1439" s="10"/>
      <c r="B1439" s="10"/>
      <c r="C1439" s="313">
        <v>0.5069444444444444</v>
      </c>
      <c r="D1439" s="242" t="s">
        <v>1509</v>
      </c>
      <c r="E1439" s="275">
        <v>29.0</v>
      </c>
      <c r="F1439" s="242" t="s">
        <v>1465</v>
      </c>
      <c r="G1439" s="244"/>
    </row>
    <row r="1440" ht="14.25" hidden="1" customHeight="1" outlineLevel="1">
      <c r="A1440" s="102">
        <v>46099.0</v>
      </c>
      <c r="B1440" s="97">
        <f>A1440</f>
        <v>46099</v>
      </c>
      <c r="C1440" s="313">
        <v>0.2916666666666667</v>
      </c>
      <c r="D1440" s="242" t="s">
        <v>263</v>
      </c>
      <c r="E1440" s="275">
        <v>25.0</v>
      </c>
      <c r="F1440" s="242" t="s">
        <v>1452</v>
      </c>
      <c r="G1440" s="244"/>
    </row>
    <row r="1441" ht="14.25" hidden="1" customHeight="1" outlineLevel="1">
      <c r="A1441" s="10"/>
      <c r="B1441" s="10"/>
      <c r="C1441" s="313">
        <v>0.5069444444444444</v>
      </c>
      <c r="D1441" s="242" t="s">
        <v>1512</v>
      </c>
      <c r="E1441" s="275">
        <v>14.0</v>
      </c>
      <c r="F1441" s="242" t="s">
        <v>1513</v>
      </c>
      <c r="G1441" s="244"/>
    </row>
    <row r="1442" ht="14.25" hidden="1" customHeight="1" outlineLevel="1">
      <c r="A1442" s="125">
        <v>46100.0</v>
      </c>
      <c r="B1442" s="126">
        <f t="shared" ref="B1442:B1443" si="192">A1442</f>
        <v>46100</v>
      </c>
      <c r="C1442" s="313">
        <v>0.3333333333333333</v>
      </c>
      <c r="D1442" s="242" t="s">
        <v>1514</v>
      </c>
      <c r="E1442" s="275">
        <v>410.0</v>
      </c>
      <c r="F1442" s="242" t="s">
        <v>1471</v>
      </c>
      <c r="G1442" s="242" t="s">
        <v>1515</v>
      </c>
    </row>
    <row r="1443" ht="14.25" hidden="1" customHeight="1" outlineLevel="1">
      <c r="A1443" s="102">
        <v>46101.0</v>
      </c>
      <c r="B1443" s="97">
        <f t="shared" si="192"/>
        <v>46101</v>
      </c>
      <c r="C1443" s="313">
        <v>0.2916666666666667</v>
      </c>
      <c r="D1443" s="242" t="s">
        <v>236</v>
      </c>
      <c r="E1443" s="275">
        <v>82.0</v>
      </c>
      <c r="F1443" s="242" t="s">
        <v>1456</v>
      </c>
      <c r="G1443" s="244"/>
    </row>
    <row r="1444" ht="14.25" hidden="1" customHeight="1" outlineLevel="1">
      <c r="A1444" s="10"/>
      <c r="B1444" s="10"/>
      <c r="C1444" s="313">
        <v>0.5069444444444444</v>
      </c>
      <c r="D1444" s="242" t="s">
        <v>1489</v>
      </c>
      <c r="E1444" s="275">
        <v>17.0</v>
      </c>
      <c r="F1444" s="242" t="s">
        <v>1425</v>
      </c>
      <c r="G1444" s="244"/>
    </row>
    <row r="1445" ht="14.25" hidden="1" customHeight="1" outlineLevel="1">
      <c r="A1445" s="125">
        <v>46102.0</v>
      </c>
      <c r="B1445" s="126">
        <f t="shared" ref="B1445:B1446" si="193">A1445</f>
        <v>46102</v>
      </c>
      <c r="C1445" s="313">
        <v>0.3333333333333333</v>
      </c>
      <c r="D1445" s="242" t="s">
        <v>263</v>
      </c>
      <c r="E1445" s="275">
        <v>220.0</v>
      </c>
      <c r="F1445" s="242" t="s">
        <v>1517</v>
      </c>
      <c r="G1445" s="244"/>
    </row>
    <row r="1446" ht="14.25" hidden="1" customHeight="1" outlineLevel="1">
      <c r="A1446" s="102">
        <v>46103.0</v>
      </c>
      <c r="B1446" s="97">
        <f t="shared" si="193"/>
        <v>46103</v>
      </c>
      <c r="C1446" s="313">
        <v>0.3333333333333333</v>
      </c>
      <c r="D1446" s="242" t="s">
        <v>490</v>
      </c>
      <c r="E1446" s="275">
        <v>286.35</v>
      </c>
      <c r="F1446" s="242" t="s">
        <v>1518</v>
      </c>
      <c r="G1446" s="244"/>
    </row>
    <row r="1447" ht="14.25" hidden="1" customHeight="1" outlineLevel="1">
      <c r="A1447" s="58"/>
      <c r="B1447" s="58"/>
      <c r="C1447" s="313">
        <v>0.4583333333333333</v>
      </c>
      <c r="D1447" s="242" t="s">
        <v>980</v>
      </c>
      <c r="E1447" s="275">
        <v>544.0</v>
      </c>
      <c r="F1447" s="242" t="s">
        <v>1519</v>
      </c>
      <c r="G1447" s="244"/>
    </row>
    <row r="1448" ht="14.25" hidden="1" customHeight="1" outlineLevel="1">
      <c r="A1448" s="10"/>
      <c r="B1448" s="10"/>
      <c r="C1448" s="313">
        <v>0.7708333333333334</v>
      </c>
      <c r="D1448" s="242" t="s">
        <v>1484</v>
      </c>
      <c r="E1448" s="275">
        <v>295.0</v>
      </c>
      <c r="F1448" s="242" t="s">
        <v>129</v>
      </c>
      <c r="G1448" s="244"/>
    </row>
    <row r="1449" ht="14.25" hidden="1" customHeight="1" outlineLevel="1">
      <c r="A1449" s="102">
        <v>46104.0</v>
      </c>
      <c r="B1449" s="97">
        <f>A1449</f>
        <v>46104</v>
      </c>
      <c r="C1449" s="313">
        <v>0.2916666666666667</v>
      </c>
      <c r="D1449" s="242" t="s">
        <v>1327</v>
      </c>
      <c r="E1449" s="275">
        <v>173.0</v>
      </c>
      <c r="F1449" s="242" t="s">
        <v>545</v>
      </c>
      <c r="G1449" s="244"/>
    </row>
    <row r="1450" ht="14.25" hidden="1" customHeight="1" outlineLevel="1">
      <c r="A1450" s="10"/>
      <c r="B1450" s="10"/>
      <c r="C1450" s="313">
        <v>0.5069444444444444</v>
      </c>
      <c r="D1450" s="242" t="s">
        <v>1489</v>
      </c>
      <c r="E1450" s="275">
        <v>25.0</v>
      </c>
      <c r="F1450" s="242" t="s">
        <v>1244</v>
      </c>
      <c r="G1450" s="244"/>
    </row>
    <row r="1451" ht="14.25" hidden="1" customHeight="1" outlineLevel="1">
      <c r="A1451" s="102">
        <v>46105.0</v>
      </c>
      <c r="B1451" s="97">
        <f>A1451</f>
        <v>46105</v>
      </c>
      <c r="C1451" s="313">
        <v>0.2916666666666667</v>
      </c>
      <c r="D1451" s="242" t="s">
        <v>236</v>
      </c>
      <c r="E1451" s="275">
        <v>75.0</v>
      </c>
      <c r="F1451" s="242" t="s">
        <v>1159</v>
      </c>
      <c r="G1451" s="244"/>
    </row>
    <row r="1452" ht="14.25" hidden="1" customHeight="1" outlineLevel="1">
      <c r="A1452" s="10"/>
      <c r="B1452" s="10"/>
      <c r="C1452" s="313">
        <v>0.5069444444444444</v>
      </c>
      <c r="D1452" s="242" t="s">
        <v>1521</v>
      </c>
      <c r="E1452" s="275">
        <v>27.0</v>
      </c>
      <c r="F1452" s="242" t="s">
        <v>1465</v>
      </c>
      <c r="G1452" s="244"/>
    </row>
    <row r="1453" ht="14.25" hidden="1" customHeight="1" outlineLevel="1">
      <c r="A1453" s="102">
        <v>46106.0</v>
      </c>
      <c r="B1453" s="97">
        <f>A1453</f>
        <v>46106</v>
      </c>
      <c r="C1453" s="313">
        <v>0.2916666666666667</v>
      </c>
      <c r="D1453" s="242" t="s">
        <v>119</v>
      </c>
      <c r="E1453" s="275">
        <v>86.0</v>
      </c>
      <c r="F1453" s="242" t="s">
        <v>1522</v>
      </c>
      <c r="G1453" s="244"/>
    </row>
    <row r="1454" ht="14.25" hidden="1" customHeight="1" outlineLevel="1">
      <c r="A1454" s="10"/>
      <c r="B1454" s="10"/>
      <c r="C1454" s="313">
        <v>0.5069444444444444</v>
      </c>
      <c r="D1454" s="373"/>
      <c r="E1454" s="374">
        <v>0.0</v>
      </c>
      <c r="F1454" s="373"/>
      <c r="G1454" s="373" t="s">
        <v>1523</v>
      </c>
    </row>
    <row r="1455" ht="14.25" hidden="1" customHeight="1" outlineLevel="1">
      <c r="A1455" s="102">
        <v>46107.0</v>
      </c>
      <c r="B1455" s="97">
        <f>A1455</f>
        <v>46107</v>
      </c>
      <c r="C1455" s="313">
        <v>0.2916666666666667</v>
      </c>
      <c r="D1455" s="242" t="s">
        <v>119</v>
      </c>
      <c r="E1455" s="275">
        <v>29.0</v>
      </c>
      <c r="F1455" s="242" t="s">
        <v>1524</v>
      </c>
      <c r="G1455" s="244"/>
    </row>
    <row r="1456" ht="14.25" hidden="1" customHeight="1" outlineLevel="1">
      <c r="A1456" s="10"/>
      <c r="B1456" s="10"/>
      <c r="C1456" s="313">
        <v>0.5069444444444444</v>
      </c>
      <c r="D1456" s="242" t="s">
        <v>980</v>
      </c>
      <c r="E1456" s="275">
        <v>27.0</v>
      </c>
      <c r="F1456" s="242" t="s">
        <v>1525</v>
      </c>
      <c r="G1456" s="244"/>
    </row>
    <row r="1457" ht="14.25" hidden="1" customHeight="1" outlineLevel="1">
      <c r="A1457" s="102">
        <v>46108.0</v>
      </c>
      <c r="B1457" s="97">
        <f>A1457</f>
        <v>46108</v>
      </c>
      <c r="C1457" s="313">
        <v>0.2916666666666667</v>
      </c>
      <c r="D1457" s="242" t="s">
        <v>236</v>
      </c>
      <c r="E1457" s="275">
        <v>82.0</v>
      </c>
      <c r="F1457" s="242" t="s">
        <v>1526</v>
      </c>
      <c r="G1457" s="244"/>
    </row>
    <row r="1458" ht="14.25" hidden="1" customHeight="1" outlineLevel="1">
      <c r="A1458" s="10"/>
      <c r="B1458" s="10"/>
      <c r="C1458" s="313">
        <v>0.5069444444444444</v>
      </c>
      <c r="D1458" s="242" t="s">
        <v>1489</v>
      </c>
      <c r="E1458" s="275">
        <v>29.0</v>
      </c>
      <c r="F1458" s="242" t="s">
        <v>1493</v>
      </c>
      <c r="G1458" s="244"/>
    </row>
    <row r="1459" ht="14.25" hidden="1" customHeight="1" outlineLevel="1">
      <c r="A1459" s="125">
        <v>46109.0</v>
      </c>
      <c r="B1459" s="126">
        <f t="shared" ref="B1459:B1460" si="194">A1459</f>
        <v>46109</v>
      </c>
      <c r="C1459" s="313">
        <v>0.3333333333333333</v>
      </c>
      <c r="D1459" s="242" t="s">
        <v>119</v>
      </c>
      <c r="E1459" s="275">
        <v>47.0</v>
      </c>
      <c r="F1459" s="242" t="s">
        <v>129</v>
      </c>
      <c r="G1459" s="242" t="s">
        <v>1527</v>
      </c>
    </row>
    <row r="1460" ht="14.25" hidden="1" customHeight="1" outlineLevel="1">
      <c r="A1460" s="102">
        <v>46110.0</v>
      </c>
      <c r="B1460" s="97">
        <f t="shared" si="194"/>
        <v>46110</v>
      </c>
      <c r="C1460" s="313">
        <v>0.3333333333333333</v>
      </c>
      <c r="D1460" s="242" t="s">
        <v>490</v>
      </c>
      <c r="E1460" s="275">
        <v>789.0</v>
      </c>
      <c r="F1460" s="242" t="s">
        <v>1430</v>
      </c>
      <c r="G1460" s="242" t="s">
        <v>1527</v>
      </c>
    </row>
    <row r="1461" ht="14.25" hidden="1" customHeight="1" outlineLevel="1">
      <c r="A1461" s="58"/>
      <c r="B1461" s="58"/>
      <c r="C1461" s="313">
        <v>0.4583333333333333</v>
      </c>
      <c r="D1461" s="242" t="s">
        <v>1251</v>
      </c>
      <c r="E1461" s="275">
        <v>548.0</v>
      </c>
      <c r="F1461" s="242" t="s">
        <v>1528</v>
      </c>
      <c r="G1461" s="242" t="s">
        <v>1527</v>
      </c>
    </row>
    <row r="1462" ht="14.25" hidden="1" customHeight="1" outlineLevel="1">
      <c r="A1462" s="10"/>
      <c r="B1462" s="10"/>
      <c r="C1462" s="313">
        <v>0.7708333333333334</v>
      </c>
      <c r="D1462" s="242" t="s">
        <v>1165</v>
      </c>
      <c r="E1462" s="275">
        <v>554.0</v>
      </c>
      <c r="F1462" s="242" t="s">
        <v>1529</v>
      </c>
      <c r="G1462" s="242" t="s">
        <v>1527</v>
      </c>
    </row>
    <row r="1463" ht="14.25" hidden="1" customHeight="1" outlineLevel="1">
      <c r="A1463" s="102">
        <v>46111.0</v>
      </c>
      <c r="B1463" s="97">
        <f>A1463</f>
        <v>46111</v>
      </c>
      <c r="C1463" s="313">
        <v>0.2916666666666667</v>
      </c>
      <c r="D1463" s="242" t="s">
        <v>119</v>
      </c>
      <c r="E1463" s="275">
        <v>59.0</v>
      </c>
      <c r="F1463" s="242" t="s">
        <v>303</v>
      </c>
      <c r="G1463" s="244"/>
    </row>
    <row r="1464" ht="14.25" hidden="1" customHeight="1" outlineLevel="1">
      <c r="A1464" s="10"/>
      <c r="B1464" s="10"/>
      <c r="C1464" s="313">
        <v>0.5069444444444444</v>
      </c>
      <c r="D1464" s="242" t="s">
        <v>1489</v>
      </c>
      <c r="E1464" s="275">
        <v>5.0</v>
      </c>
      <c r="F1464" s="242" t="s">
        <v>1530</v>
      </c>
      <c r="G1464" s="244"/>
    </row>
    <row r="1465" ht="14.25" hidden="1" customHeight="1" outlineLevel="1">
      <c r="A1465" s="102">
        <v>46112.0</v>
      </c>
      <c r="B1465" s="97">
        <f>A1465</f>
        <v>46112</v>
      </c>
      <c r="C1465" s="313">
        <v>0.2916666666666667</v>
      </c>
      <c r="D1465" s="242" t="s">
        <v>236</v>
      </c>
      <c r="E1465" s="275">
        <v>100.0</v>
      </c>
      <c r="F1465" s="242" t="s">
        <v>378</v>
      </c>
      <c r="G1465" s="244"/>
    </row>
    <row r="1466" ht="14.25" hidden="1" customHeight="1" outlineLevel="1">
      <c r="A1466" s="10"/>
      <c r="B1466" s="10"/>
      <c r="C1466" s="313">
        <v>0.5069444444444444</v>
      </c>
      <c r="D1466" s="242" t="s">
        <v>1521</v>
      </c>
      <c r="E1466" s="275">
        <v>0.0</v>
      </c>
      <c r="F1466" s="242" t="s">
        <v>1465</v>
      </c>
      <c r="G1466" s="244"/>
    </row>
    <row r="1467" ht="14.25" customHeight="1">
      <c r="A1467" s="117" t="s">
        <v>195</v>
      </c>
      <c r="B1467" s="27"/>
      <c r="C1467" s="27"/>
      <c r="D1467" s="28"/>
      <c r="E1467" s="312">
        <f>SUM(E1404:E1466)</f>
        <v>10389.35</v>
      </c>
      <c r="F1467" s="335"/>
      <c r="G1467" s="332"/>
    </row>
    <row r="1468" ht="14.25" customHeight="1">
      <c r="A1468" s="329"/>
      <c r="B1468" s="330"/>
      <c r="C1468" s="331"/>
      <c r="D1468" s="335"/>
      <c r="E1468" s="336"/>
      <c r="F1468" s="335"/>
      <c r="G1468" s="332"/>
    </row>
    <row r="1469" ht="14.25" customHeight="1" collapsed="1">
      <c r="A1469" s="339" t="s">
        <v>1533</v>
      </c>
      <c r="B1469" s="246"/>
      <c r="C1469" s="246"/>
      <c r="D1469" s="246"/>
      <c r="E1469" s="246"/>
      <c r="F1469" s="246"/>
      <c r="G1469" s="246"/>
      <c r="H1469" s="246"/>
      <c r="I1469" s="246"/>
      <c r="J1469" s="246"/>
      <c r="K1469" s="246"/>
      <c r="L1469" s="246"/>
      <c r="M1469" s="246"/>
      <c r="N1469" s="246"/>
      <c r="O1469" s="246"/>
      <c r="P1469" s="246"/>
      <c r="Q1469" s="247"/>
    </row>
    <row r="1470" ht="14.25" hidden="1" customHeight="1" outlineLevel="1">
      <c r="A1470" s="102">
        <v>46113.0</v>
      </c>
      <c r="B1470" s="97">
        <f>A1470</f>
        <v>46113</v>
      </c>
      <c r="C1470" s="313">
        <v>0.2916666666666667</v>
      </c>
      <c r="D1470" s="242" t="s">
        <v>119</v>
      </c>
      <c r="E1470" s="275">
        <v>67.0</v>
      </c>
      <c r="F1470" s="242" t="s">
        <v>1452</v>
      </c>
      <c r="G1470" s="244"/>
      <c r="I1470" s="72" t="s">
        <v>91</v>
      </c>
      <c r="J1470" s="73"/>
      <c r="K1470" s="73"/>
      <c r="L1470" s="74"/>
      <c r="N1470" s="72" t="s">
        <v>992</v>
      </c>
      <c r="O1470" s="73"/>
      <c r="P1470" s="73"/>
      <c r="Q1470" s="74"/>
    </row>
    <row r="1471" ht="14.25" hidden="1" customHeight="1" outlineLevel="1">
      <c r="A1471" s="58"/>
      <c r="B1471" s="58"/>
      <c r="C1471" s="313">
        <v>0.5069444444444444</v>
      </c>
      <c r="D1471" s="242" t="s">
        <v>1064</v>
      </c>
      <c r="E1471" s="275">
        <v>42.0</v>
      </c>
      <c r="F1471" s="242" t="s">
        <v>1406</v>
      </c>
      <c r="G1471" s="244"/>
      <c r="I1471" s="86">
        <v>46113.0</v>
      </c>
      <c r="J1471" s="88">
        <f t="shared" ref="J1471:J1473" si="195">I1471</f>
        <v>46113</v>
      </c>
      <c r="K1471" s="93">
        <v>52.5</v>
      </c>
      <c r="L1471" s="90"/>
      <c r="M1471" s="51"/>
      <c r="N1471" s="86">
        <v>46113.0</v>
      </c>
      <c r="O1471" s="88">
        <f>N1471</f>
        <v>46113</v>
      </c>
      <c r="P1471" s="93">
        <v>0.0</v>
      </c>
      <c r="Q1471" s="91"/>
    </row>
    <row r="1472" ht="14.25" hidden="1" customHeight="1" outlineLevel="1">
      <c r="A1472" s="10"/>
      <c r="B1472" s="10"/>
      <c r="C1472" s="313">
        <v>0.7916666666666666</v>
      </c>
      <c r="D1472" s="242" t="s">
        <v>490</v>
      </c>
      <c r="E1472" s="275">
        <v>91.0</v>
      </c>
      <c r="F1472" s="242" t="s">
        <v>1535</v>
      </c>
      <c r="G1472" s="242" t="s">
        <v>1536</v>
      </c>
      <c r="I1472" s="86">
        <v>46118.0</v>
      </c>
      <c r="J1472" s="88">
        <f t="shared" si="195"/>
        <v>46118</v>
      </c>
      <c r="K1472" s="93">
        <v>86.2</v>
      </c>
      <c r="L1472" s="90"/>
      <c r="M1472" s="51"/>
      <c r="N1472" s="86"/>
      <c r="O1472" s="88"/>
      <c r="P1472" s="93"/>
      <c r="Q1472" s="91"/>
    </row>
    <row r="1473" ht="14.25" hidden="1" customHeight="1" outlineLevel="1">
      <c r="A1473" s="125">
        <v>46114.0</v>
      </c>
      <c r="B1473" s="126">
        <f t="shared" ref="B1473:B1476" si="196">A1473</f>
        <v>46114</v>
      </c>
      <c r="C1473" s="313">
        <v>0.7916666666666666</v>
      </c>
      <c r="D1473" s="242" t="s">
        <v>619</v>
      </c>
      <c r="E1473" s="275">
        <v>386.0</v>
      </c>
      <c r="F1473" s="242" t="s">
        <v>1537</v>
      </c>
      <c r="G1473" s="242" t="s">
        <v>1538</v>
      </c>
      <c r="I1473" s="86">
        <v>46127.0</v>
      </c>
      <c r="J1473" s="88">
        <f t="shared" si="195"/>
        <v>46127</v>
      </c>
      <c r="K1473" s="93">
        <v>47.4</v>
      </c>
      <c r="L1473" s="90"/>
      <c r="M1473" s="51"/>
      <c r="N1473" s="86"/>
      <c r="O1473" s="88"/>
      <c r="P1473" s="93">
        <v>0.0</v>
      </c>
      <c r="Q1473" s="91"/>
    </row>
    <row r="1474" ht="14.25" hidden="1" customHeight="1" outlineLevel="1">
      <c r="A1474" s="125">
        <v>46115.0</v>
      </c>
      <c r="B1474" s="126">
        <f t="shared" si="196"/>
        <v>46115</v>
      </c>
      <c r="C1474" s="313">
        <v>0.625</v>
      </c>
      <c r="D1474" s="242" t="s">
        <v>619</v>
      </c>
      <c r="E1474" s="275">
        <v>774.0</v>
      </c>
      <c r="F1474" s="242" t="s">
        <v>1518</v>
      </c>
      <c r="G1474" s="242" t="s">
        <v>1541</v>
      </c>
      <c r="I1474" s="86"/>
      <c r="J1474" s="88"/>
      <c r="K1474" s="93"/>
      <c r="L1474" s="90"/>
      <c r="M1474" s="51"/>
      <c r="N1474" s="86"/>
      <c r="O1474" s="88"/>
      <c r="P1474" s="93">
        <v>0.0</v>
      </c>
      <c r="Q1474" s="91"/>
    </row>
    <row r="1475" ht="14.25" hidden="1" customHeight="1" outlineLevel="1">
      <c r="A1475" s="125">
        <v>46116.0</v>
      </c>
      <c r="B1475" s="126">
        <f t="shared" si="196"/>
        <v>46116</v>
      </c>
      <c r="C1475" s="313">
        <v>0.75</v>
      </c>
      <c r="D1475" s="242" t="s">
        <v>619</v>
      </c>
      <c r="E1475" s="275">
        <v>754.0</v>
      </c>
      <c r="F1475" s="242" t="s">
        <v>1542</v>
      </c>
      <c r="G1475" s="242" t="s">
        <v>1543</v>
      </c>
      <c r="I1475" s="86"/>
      <c r="J1475" s="88"/>
      <c r="K1475" s="92"/>
      <c r="L1475" s="90"/>
      <c r="M1475" s="51"/>
      <c r="N1475" s="165" t="s">
        <v>195</v>
      </c>
      <c r="O1475" s="165"/>
      <c r="P1475" s="291">
        <f>SUM(P1471:P1474)</f>
        <v>0</v>
      </c>
      <c r="Q1475" s="114"/>
    </row>
    <row r="1476" ht="14.25" hidden="1" customHeight="1" outlineLevel="1">
      <c r="A1476" s="102">
        <v>46117.0</v>
      </c>
      <c r="B1476" s="97">
        <f t="shared" si="196"/>
        <v>46117</v>
      </c>
      <c r="C1476" s="313">
        <v>0.3333333333333333</v>
      </c>
      <c r="D1476" s="242" t="s">
        <v>490</v>
      </c>
      <c r="E1476" s="275">
        <v>341.0</v>
      </c>
      <c r="F1476" s="242" t="s">
        <v>1430</v>
      </c>
      <c r="G1476" s="244"/>
      <c r="I1476" s="108" t="s">
        <v>195</v>
      </c>
      <c r="J1476" s="109"/>
      <c r="K1476" s="113">
        <f>SUM(K1471:K1475)</f>
        <v>186.1</v>
      </c>
      <c r="L1476" s="114"/>
      <c r="M1476" s="51"/>
    </row>
    <row r="1477" ht="14.25" hidden="1" customHeight="1" outlineLevel="1">
      <c r="A1477" s="58"/>
      <c r="B1477" s="58"/>
      <c r="C1477" s="313">
        <v>0.4583333333333333</v>
      </c>
      <c r="D1477" s="242" t="s">
        <v>490</v>
      </c>
      <c r="E1477" s="275">
        <v>1000.0</v>
      </c>
      <c r="F1477" s="242" t="s">
        <v>438</v>
      </c>
      <c r="G1477" s="244"/>
      <c r="N1477" s="235" t="s">
        <v>344</v>
      </c>
      <c r="O1477" s="27"/>
      <c r="P1477" s="27"/>
      <c r="Q1477" s="28"/>
    </row>
    <row r="1478" ht="14.25" hidden="1" customHeight="1" outlineLevel="1">
      <c r="A1478" s="10"/>
      <c r="B1478" s="10"/>
      <c r="C1478" s="313">
        <v>0.7708333333333334</v>
      </c>
      <c r="D1478" s="242" t="s">
        <v>214</v>
      </c>
      <c r="E1478" s="275">
        <v>500.0</v>
      </c>
      <c r="F1478" s="242" t="s">
        <v>1546</v>
      </c>
      <c r="G1478" s="244"/>
      <c r="N1478" s="81" t="s">
        <v>6</v>
      </c>
      <c r="O1478" s="84" t="s">
        <v>115</v>
      </c>
      <c r="P1478" s="84" t="s">
        <v>9</v>
      </c>
      <c r="Q1478" s="81" t="s">
        <v>13</v>
      </c>
    </row>
    <row r="1479" ht="14.25" hidden="1" customHeight="1" outlineLevel="1">
      <c r="A1479" s="102">
        <v>46118.0</v>
      </c>
      <c r="B1479" s="97">
        <f>A1479</f>
        <v>46118</v>
      </c>
      <c r="C1479" s="313">
        <v>0.2916666666666667</v>
      </c>
      <c r="D1479" s="242" t="s">
        <v>1327</v>
      </c>
      <c r="E1479" s="275">
        <v>69.0</v>
      </c>
      <c r="F1479" s="242" t="s">
        <v>1549</v>
      </c>
      <c r="G1479" s="244"/>
      <c r="N1479" s="86"/>
      <c r="O1479" s="88"/>
      <c r="P1479" s="93">
        <v>0.0</v>
      </c>
      <c r="Q1479" s="91"/>
    </row>
    <row r="1480" ht="14.25" hidden="1" customHeight="1" outlineLevel="1">
      <c r="A1480" s="10"/>
      <c r="B1480" s="10"/>
      <c r="C1480" s="313">
        <v>0.5069444444444444</v>
      </c>
      <c r="D1480" s="242" t="s">
        <v>1489</v>
      </c>
      <c r="E1480" s="275">
        <v>36.0</v>
      </c>
      <c r="F1480" s="242" t="s">
        <v>1551</v>
      </c>
      <c r="G1480" s="244"/>
      <c r="N1480" s="86"/>
      <c r="O1480" s="88"/>
      <c r="P1480" s="93">
        <v>0.0</v>
      </c>
      <c r="Q1480" s="91"/>
    </row>
    <row r="1481" ht="14.25" hidden="1" customHeight="1" outlineLevel="1">
      <c r="A1481" s="102">
        <v>46119.0</v>
      </c>
      <c r="B1481" s="97">
        <f>A1481</f>
        <v>46119</v>
      </c>
      <c r="C1481" s="313">
        <v>0.2916666666666667</v>
      </c>
      <c r="D1481" s="242" t="s">
        <v>236</v>
      </c>
      <c r="E1481" s="275">
        <v>49.0</v>
      </c>
      <c r="F1481" s="242" t="s">
        <v>1552</v>
      </c>
      <c r="G1481" s="244"/>
    </row>
    <row r="1482" ht="14.25" hidden="1" customHeight="1" outlineLevel="1">
      <c r="A1482" s="10"/>
      <c r="B1482" s="10"/>
      <c r="C1482" s="313">
        <v>0.5069444444444444</v>
      </c>
      <c r="D1482" s="242" t="s">
        <v>1509</v>
      </c>
      <c r="E1482" s="275">
        <v>24.0</v>
      </c>
      <c r="F1482" s="242" t="s">
        <v>1465</v>
      </c>
      <c r="G1482" s="244"/>
    </row>
    <row r="1483" ht="14.25" hidden="1" customHeight="1" outlineLevel="1">
      <c r="A1483" s="102">
        <v>46120.0</v>
      </c>
      <c r="B1483" s="97">
        <f>A1483</f>
        <v>46120</v>
      </c>
      <c r="C1483" s="313">
        <v>0.2916666666666667</v>
      </c>
      <c r="D1483" s="242" t="s">
        <v>119</v>
      </c>
      <c r="E1483" s="275">
        <v>43.0</v>
      </c>
      <c r="F1483" s="242" t="s">
        <v>1007</v>
      </c>
      <c r="G1483" s="244"/>
    </row>
    <row r="1484" ht="14.25" hidden="1" customHeight="1" outlineLevel="1">
      <c r="A1484" s="10"/>
      <c r="B1484" s="10"/>
      <c r="C1484" s="313">
        <v>0.5069444444444444</v>
      </c>
      <c r="D1484" s="242" t="s">
        <v>1064</v>
      </c>
      <c r="E1484" s="275">
        <v>6.0</v>
      </c>
      <c r="F1484" s="242" t="s">
        <v>1554</v>
      </c>
      <c r="G1484" s="244"/>
    </row>
    <row r="1485" ht="14.25" hidden="1" customHeight="1" outlineLevel="1">
      <c r="A1485" s="102">
        <v>46121.0</v>
      </c>
      <c r="B1485" s="97">
        <f>A1485</f>
        <v>46121</v>
      </c>
      <c r="C1485" s="313">
        <v>0.2916666666666667</v>
      </c>
      <c r="D1485" s="242" t="s">
        <v>119</v>
      </c>
      <c r="E1485" s="275">
        <v>114.0</v>
      </c>
      <c r="F1485" s="242" t="s">
        <v>1555</v>
      </c>
      <c r="G1485" s="244"/>
    </row>
    <row r="1486" ht="14.25" hidden="1" customHeight="1" outlineLevel="1">
      <c r="A1486" s="10"/>
      <c r="B1486" s="10"/>
      <c r="C1486" s="313">
        <v>0.5069444444444444</v>
      </c>
      <c r="D1486" s="242" t="s">
        <v>980</v>
      </c>
      <c r="E1486" s="275">
        <v>2.0</v>
      </c>
      <c r="F1486" s="242" t="s">
        <v>1426</v>
      </c>
      <c r="G1486" s="244"/>
    </row>
    <row r="1487" ht="14.25" hidden="1" customHeight="1" outlineLevel="1">
      <c r="A1487" s="102">
        <v>46122.0</v>
      </c>
      <c r="B1487" s="97">
        <f>A1487</f>
        <v>46122</v>
      </c>
      <c r="C1487" s="313">
        <v>0.2916666666666667</v>
      </c>
      <c r="D1487" s="242" t="s">
        <v>119</v>
      </c>
      <c r="E1487" s="275">
        <v>129.0</v>
      </c>
      <c r="F1487" s="242" t="s">
        <v>1557</v>
      </c>
      <c r="G1487" s="244"/>
    </row>
    <row r="1488" ht="14.25" hidden="1" customHeight="1" outlineLevel="1">
      <c r="A1488" s="10"/>
      <c r="B1488" s="10"/>
      <c r="C1488" s="313">
        <v>0.5069444444444444</v>
      </c>
      <c r="D1488" s="242" t="s">
        <v>1489</v>
      </c>
      <c r="E1488" s="275">
        <v>6.0</v>
      </c>
      <c r="F1488" s="242" t="s">
        <v>1063</v>
      </c>
      <c r="G1488" s="244"/>
    </row>
    <row r="1489" ht="14.25" hidden="1" customHeight="1" outlineLevel="1">
      <c r="A1489" s="125">
        <v>46123.0</v>
      </c>
      <c r="B1489" s="126">
        <f t="shared" ref="B1489:B1490" si="197">A1489</f>
        <v>46123</v>
      </c>
      <c r="C1489" s="313">
        <v>0.3333333333333333</v>
      </c>
      <c r="D1489" s="242" t="s">
        <v>490</v>
      </c>
      <c r="E1489" s="275">
        <v>95.0</v>
      </c>
      <c r="F1489" s="242" t="s">
        <v>129</v>
      </c>
      <c r="G1489" s="244"/>
    </row>
    <row r="1490" ht="14.25" hidden="1" customHeight="1" outlineLevel="1">
      <c r="A1490" s="102">
        <v>46124.0</v>
      </c>
      <c r="B1490" s="97">
        <f t="shared" si="197"/>
        <v>46124</v>
      </c>
      <c r="C1490" s="313">
        <v>0.3333333333333333</v>
      </c>
      <c r="D1490" s="242" t="s">
        <v>490</v>
      </c>
      <c r="E1490" s="275">
        <v>269.0</v>
      </c>
      <c r="F1490" s="242" t="s">
        <v>1559</v>
      </c>
      <c r="G1490" s="244"/>
    </row>
    <row r="1491" ht="14.25" hidden="1" customHeight="1" outlineLevel="1">
      <c r="A1491" s="58"/>
      <c r="B1491" s="58"/>
      <c r="C1491" s="313">
        <v>0.4583333333333333</v>
      </c>
      <c r="D1491" s="242" t="s">
        <v>1329</v>
      </c>
      <c r="E1491" s="275">
        <v>526.0</v>
      </c>
      <c r="F1491" s="242" t="s">
        <v>1410</v>
      </c>
      <c r="G1491" s="244"/>
    </row>
    <row r="1492" ht="14.25" hidden="1" customHeight="1" outlineLevel="1">
      <c r="A1492" s="10"/>
      <c r="B1492" s="10"/>
      <c r="C1492" s="313">
        <v>0.7708333333333334</v>
      </c>
      <c r="D1492" s="242" t="s">
        <v>342</v>
      </c>
      <c r="E1492" s="275">
        <v>551.0</v>
      </c>
      <c r="F1492" s="242" t="s">
        <v>1560</v>
      </c>
      <c r="G1492" s="244"/>
    </row>
    <row r="1493" ht="14.25" hidden="1" customHeight="1" outlineLevel="1">
      <c r="A1493" s="102">
        <v>46125.0</v>
      </c>
      <c r="B1493" s="97">
        <f>A1493</f>
        <v>46125</v>
      </c>
      <c r="C1493" s="313">
        <v>0.2916666666666667</v>
      </c>
      <c r="D1493" s="242" t="s">
        <v>119</v>
      </c>
      <c r="E1493" s="275">
        <v>57.0</v>
      </c>
      <c r="F1493" s="242" t="s">
        <v>773</v>
      </c>
      <c r="G1493" s="244"/>
    </row>
    <row r="1494" ht="14.25" hidden="1" customHeight="1" outlineLevel="1">
      <c r="A1494" s="10"/>
      <c r="B1494" s="10"/>
      <c r="C1494" s="313">
        <v>0.5069444444444444</v>
      </c>
      <c r="D1494" s="338" t="s">
        <v>1562</v>
      </c>
      <c r="E1494" s="275">
        <v>0.0</v>
      </c>
      <c r="F1494" s="338" t="s">
        <v>1523</v>
      </c>
      <c r="G1494" s="244"/>
    </row>
    <row r="1495" ht="14.25" hidden="1" customHeight="1" outlineLevel="1">
      <c r="A1495" s="102">
        <v>46126.0</v>
      </c>
      <c r="B1495" s="97">
        <f>A1495</f>
        <v>46126</v>
      </c>
      <c r="C1495" s="313">
        <v>0.2916666666666667</v>
      </c>
      <c r="D1495" s="242" t="s">
        <v>236</v>
      </c>
      <c r="E1495" s="275">
        <v>85.0</v>
      </c>
      <c r="F1495" s="242" t="s">
        <v>1304</v>
      </c>
      <c r="G1495" s="244"/>
    </row>
    <row r="1496" ht="14.25" hidden="1" customHeight="1" outlineLevel="1">
      <c r="A1496" s="10"/>
      <c r="B1496" s="10"/>
      <c r="C1496" s="313">
        <v>0.5069444444444444</v>
      </c>
      <c r="D1496" s="242" t="s">
        <v>1509</v>
      </c>
      <c r="E1496" s="275">
        <v>2.0</v>
      </c>
      <c r="F1496" s="242" t="s">
        <v>1465</v>
      </c>
      <c r="G1496" s="244"/>
    </row>
    <row r="1497" ht="14.25" hidden="1" customHeight="1" outlineLevel="1">
      <c r="A1497" s="102">
        <v>46127.0</v>
      </c>
      <c r="B1497" s="97">
        <f>A1497</f>
        <v>46127</v>
      </c>
      <c r="C1497" s="313">
        <v>0.2916666666666667</v>
      </c>
      <c r="D1497" s="242" t="s">
        <v>119</v>
      </c>
      <c r="E1497" s="275">
        <v>39.0</v>
      </c>
      <c r="F1497" s="242" t="s">
        <v>1007</v>
      </c>
      <c r="G1497" s="244"/>
    </row>
    <row r="1498" ht="14.25" hidden="1" customHeight="1" outlineLevel="1">
      <c r="A1498" s="10"/>
      <c r="B1498" s="10"/>
      <c r="C1498" s="313">
        <v>0.5069444444444444</v>
      </c>
      <c r="D1498" s="242" t="s">
        <v>1064</v>
      </c>
      <c r="E1498" s="275">
        <v>0.0</v>
      </c>
      <c r="F1498" s="242" t="s">
        <v>1564</v>
      </c>
      <c r="G1498" s="244"/>
    </row>
    <row r="1499" ht="14.25" hidden="1" customHeight="1" outlineLevel="1">
      <c r="A1499" s="102">
        <v>46128.0</v>
      </c>
      <c r="B1499" s="97">
        <f>A1499</f>
        <v>46128</v>
      </c>
      <c r="C1499" s="313">
        <v>0.2916666666666667</v>
      </c>
      <c r="D1499" s="242" t="s">
        <v>119</v>
      </c>
      <c r="E1499" s="275">
        <v>89.0</v>
      </c>
      <c r="F1499" s="242" t="s">
        <v>880</v>
      </c>
      <c r="G1499" s="244"/>
    </row>
    <row r="1500" ht="14.25" hidden="1" customHeight="1" outlineLevel="1">
      <c r="A1500" s="10"/>
      <c r="B1500" s="10"/>
      <c r="C1500" s="313">
        <v>0.5069444444444444</v>
      </c>
      <c r="D1500" s="242" t="s">
        <v>980</v>
      </c>
      <c r="E1500" s="275">
        <v>0.0</v>
      </c>
      <c r="F1500" s="242" t="s">
        <v>1011</v>
      </c>
      <c r="G1500" s="244"/>
    </row>
    <row r="1501" ht="14.25" hidden="1" customHeight="1" outlineLevel="1">
      <c r="A1501" s="102">
        <v>46129.0</v>
      </c>
      <c r="B1501" s="97">
        <f>A1501</f>
        <v>46129</v>
      </c>
      <c r="C1501" s="313">
        <v>0.2916666666666667</v>
      </c>
      <c r="D1501" s="242" t="s">
        <v>236</v>
      </c>
      <c r="E1501" s="275">
        <v>87.0</v>
      </c>
      <c r="F1501" s="242" t="s">
        <v>1567</v>
      </c>
      <c r="G1501" s="244"/>
    </row>
    <row r="1502" ht="14.25" hidden="1" customHeight="1" outlineLevel="1">
      <c r="A1502" s="10"/>
      <c r="B1502" s="10"/>
      <c r="C1502" s="313">
        <v>0.5069444444444444</v>
      </c>
      <c r="D1502" s="242" t="s">
        <v>1489</v>
      </c>
      <c r="E1502" s="275">
        <v>14.0</v>
      </c>
      <c r="F1502" s="242" t="s">
        <v>426</v>
      </c>
      <c r="G1502" s="244"/>
    </row>
    <row r="1503" ht="14.25" hidden="1" customHeight="1" outlineLevel="1">
      <c r="A1503" s="125">
        <v>46130.0</v>
      </c>
      <c r="B1503" s="126">
        <f t="shared" ref="B1503:B1504" si="198">A1503</f>
        <v>46130</v>
      </c>
      <c r="C1503" s="313">
        <v>0.3333333333333333</v>
      </c>
      <c r="D1503" s="242" t="s">
        <v>119</v>
      </c>
      <c r="E1503" s="275">
        <v>116.0</v>
      </c>
      <c r="F1503" s="242" t="s">
        <v>1568</v>
      </c>
      <c r="G1503" s="244"/>
    </row>
    <row r="1504" ht="14.25" hidden="1" customHeight="1" outlineLevel="1">
      <c r="A1504" s="102">
        <v>46131.0</v>
      </c>
      <c r="B1504" s="97">
        <f t="shared" si="198"/>
        <v>46131</v>
      </c>
      <c r="C1504" s="313">
        <v>0.3333333333333333</v>
      </c>
      <c r="D1504" s="242" t="s">
        <v>490</v>
      </c>
      <c r="E1504" s="275">
        <v>267.0</v>
      </c>
      <c r="F1504" s="242" t="s">
        <v>1569</v>
      </c>
      <c r="G1504" s="244"/>
    </row>
    <row r="1505" ht="14.25" hidden="1" customHeight="1" outlineLevel="1">
      <c r="A1505" s="58"/>
      <c r="B1505" s="58"/>
      <c r="C1505" s="313">
        <v>0.4583333333333333</v>
      </c>
      <c r="D1505" s="242" t="s">
        <v>1251</v>
      </c>
      <c r="E1505" s="275">
        <v>396.0</v>
      </c>
      <c r="F1505" s="242" t="s">
        <v>1570</v>
      </c>
      <c r="G1505" s="244"/>
    </row>
    <row r="1506" ht="14.25" hidden="1" customHeight="1" outlineLevel="1">
      <c r="A1506" s="10"/>
      <c r="B1506" s="10"/>
      <c r="C1506" s="313">
        <v>0.7708333333333334</v>
      </c>
      <c r="D1506" s="242" t="s">
        <v>342</v>
      </c>
      <c r="E1506" s="275">
        <v>387.0</v>
      </c>
      <c r="F1506" s="242" t="s">
        <v>1546</v>
      </c>
      <c r="G1506" s="244"/>
    </row>
    <row r="1507" ht="14.25" hidden="1" customHeight="1" outlineLevel="1">
      <c r="A1507" s="102">
        <v>46132.0</v>
      </c>
      <c r="B1507" s="97">
        <f>A1507</f>
        <v>46132</v>
      </c>
      <c r="C1507" s="313">
        <v>0.2916666666666667</v>
      </c>
      <c r="D1507" s="242" t="s">
        <v>738</v>
      </c>
      <c r="E1507" s="275">
        <v>9.0</v>
      </c>
      <c r="F1507" s="242" t="s">
        <v>773</v>
      </c>
      <c r="G1507" s="244"/>
    </row>
    <row r="1508" ht="14.25" hidden="1" customHeight="1" outlineLevel="1">
      <c r="A1508" s="10"/>
      <c r="B1508" s="10"/>
      <c r="C1508" s="313">
        <v>0.5069444444444444</v>
      </c>
      <c r="D1508" s="242" t="s">
        <v>1064</v>
      </c>
      <c r="E1508" s="275">
        <v>60.0</v>
      </c>
      <c r="F1508" s="242" t="s">
        <v>914</v>
      </c>
      <c r="G1508" s="244"/>
    </row>
    <row r="1509" ht="14.25" hidden="1" customHeight="1" outlineLevel="1">
      <c r="A1509" s="102">
        <v>46133.0</v>
      </c>
      <c r="B1509" s="97">
        <f>A1509</f>
        <v>46133</v>
      </c>
      <c r="C1509" s="313">
        <v>0.2916666666666667</v>
      </c>
      <c r="D1509" s="242" t="s">
        <v>236</v>
      </c>
      <c r="E1509" s="275">
        <v>144.0</v>
      </c>
      <c r="F1509" s="242" t="s">
        <v>378</v>
      </c>
      <c r="G1509" s="244"/>
    </row>
    <row r="1510" ht="14.25" hidden="1" customHeight="1" outlineLevel="1">
      <c r="A1510" s="10"/>
      <c r="B1510" s="10"/>
      <c r="C1510" s="313">
        <v>0.5069444444444444</v>
      </c>
      <c r="D1510" s="338" t="s">
        <v>1562</v>
      </c>
      <c r="E1510" s="275">
        <v>0.0</v>
      </c>
      <c r="F1510" s="338" t="s">
        <v>1523</v>
      </c>
      <c r="G1510" s="244"/>
    </row>
    <row r="1511" ht="14.25" hidden="1" customHeight="1" outlineLevel="1">
      <c r="A1511" s="102">
        <v>46134.0</v>
      </c>
      <c r="B1511" s="97">
        <f>A1511</f>
        <v>46134</v>
      </c>
      <c r="C1511" s="313">
        <v>0.2916666666666667</v>
      </c>
      <c r="D1511" s="242" t="s">
        <v>119</v>
      </c>
      <c r="E1511" s="275">
        <v>50.0</v>
      </c>
      <c r="F1511" s="242" t="s">
        <v>1575</v>
      </c>
      <c r="G1511" s="244"/>
    </row>
    <row r="1512" ht="14.25" hidden="1" customHeight="1" outlineLevel="1">
      <c r="A1512" s="10"/>
      <c r="B1512" s="10"/>
      <c r="C1512" s="313">
        <v>0.5069444444444444</v>
      </c>
      <c r="D1512" s="242" t="s">
        <v>1064</v>
      </c>
      <c r="E1512" s="275">
        <v>44.0</v>
      </c>
      <c r="F1512" s="242" t="s">
        <v>1406</v>
      </c>
      <c r="G1512" s="244"/>
    </row>
    <row r="1513" ht="14.25" hidden="1" customHeight="1" outlineLevel="1">
      <c r="A1513" s="102">
        <v>46135.0</v>
      </c>
      <c r="B1513" s="97">
        <f>A1513</f>
        <v>46135</v>
      </c>
      <c r="C1513" s="313">
        <v>0.2916666666666667</v>
      </c>
      <c r="D1513" s="242" t="s">
        <v>119</v>
      </c>
      <c r="E1513" s="275">
        <v>31.0</v>
      </c>
      <c r="F1513" s="242" t="s">
        <v>1576</v>
      </c>
      <c r="G1513" s="244"/>
    </row>
    <row r="1514" ht="14.25" hidden="1" customHeight="1" outlineLevel="1">
      <c r="A1514" s="10"/>
      <c r="B1514" s="10"/>
      <c r="C1514" s="313">
        <v>0.5069444444444444</v>
      </c>
      <c r="D1514" s="242" t="s">
        <v>980</v>
      </c>
      <c r="E1514" s="275">
        <v>11.0</v>
      </c>
      <c r="F1514" s="242" t="s">
        <v>1426</v>
      </c>
      <c r="G1514" s="244"/>
    </row>
    <row r="1515" ht="14.25" hidden="1" customHeight="1" outlineLevel="1">
      <c r="A1515" s="102">
        <v>46136.0</v>
      </c>
      <c r="B1515" s="97">
        <f>A1515</f>
        <v>46136</v>
      </c>
      <c r="C1515" s="313">
        <v>0.2916666666666667</v>
      </c>
      <c r="D1515" s="242" t="s">
        <v>236</v>
      </c>
      <c r="E1515" s="275">
        <v>73.0</v>
      </c>
      <c r="F1515" s="242" t="s">
        <v>560</v>
      </c>
      <c r="G1515" s="244"/>
    </row>
    <row r="1516" ht="14.25" hidden="1" customHeight="1" outlineLevel="1">
      <c r="A1516" s="10"/>
      <c r="B1516" s="10"/>
      <c r="C1516" s="313">
        <v>0.5069444444444444</v>
      </c>
      <c r="D1516" s="242" t="s">
        <v>1489</v>
      </c>
      <c r="E1516" s="275">
        <v>35.0</v>
      </c>
      <c r="F1516" s="242" t="s">
        <v>426</v>
      </c>
      <c r="G1516" s="244"/>
    </row>
    <row r="1517" ht="14.25" hidden="1" customHeight="1" outlineLevel="1">
      <c r="A1517" s="125">
        <v>46137.0</v>
      </c>
      <c r="B1517" s="126">
        <f t="shared" ref="B1517:B1518" si="199">A1517</f>
        <v>46137</v>
      </c>
      <c r="C1517" s="313">
        <v>0.3333333333333333</v>
      </c>
      <c r="D1517" s="242" t="s">
        <v>119</v>
      </c>
      <c r="E1517" s="275">
        <v>63.0</v>
      </c>
      <c r="F1517" s="242" t="s">
        <v>129</v>
      </c>
      <c r="G1517" s="244"/>
    </row>
    <row r="1518" ht="14.25" hidden="1" customHeight="1" outlineLevel="1">
      <c r="A1518" s="102">
        <v>46138.0</v>
      </c>
      <c r="B1518" s="97">
        <f t="shared" si="199"/>
        <v>46138</v>
      </c>
      <c r="C1518" s="313">
        <v>0.3333333333333333</v>
      </c>
      <c r="D1518" s="242" t="s">
        <v>490</v>
      </c>
      <c r="E1518" s="275">
        <v>451.0</v>
      </c>
      <c r="F1518" s="242" t="s">
        <v>1239</v>
      </c>
      <c r="G1518" s="244"/>
    </row>
    <row r="1519" ht="14.25" hidden="1" customHeight="1" outlineLevel="1">
      <c r="A1519" s="58"/>
      <c r="B1519" s="58"/>
      <c r="C1519" s="313">
        <v>0.4583333333333333</v>
      </c>
      <c r="D1519" s="242" t="s">
        <v>980</v>
      </c>
      <c r="E1519" s="275">
        <v>747.0</v>
      </c>
      <c r="F1519" s="242" t="s">
        <v>1579</v>
      </c>
      <c r="G1519" s="244"/>
    </row>
    <row r="1520" ht="14.25" hidden="1" customHeight="1" outlineLevel="1">
      <c r="A1520" s="10"/>
      <c r="B1520" s="10"/>
      <c r="C1520" s="313">
        <v>0.7708333333333334</v>
      </c>
      <c r="D1520" s="242" t="s">
        <v>1484</v>
      </c>
      <c r="E1520" s="275">
        <v>306.0</v>
      </c>
      <c r="F1520" s="242" t="s">
        <v>1580</v>
      </c>
      <c r="G1520" s="244"/>
    </row>
    <row r="1521" ht="14.25" hidden="1" customHeight="1" outlineLevel="1">
      <c r="A1521" s="102">
        <v>46139.0</v>
      </c>
      <c r="B1521" s="97">
        <f>A1521</f>
        <v>46139</v>
      </c>
      <c r="C1521" s="313">
        <v>0.2916666666666667</v>
      </c>
      <c r="D1521" s="242" t="s">
        <v>1327</v>
      </c>
      <c r="E1521" s="275">
        <v>35.0</v>
      </c>
      <c r="F1521" s="242" t="s">
        <v>303</v>
      </c>
      <c r="G1521" s="244"/>
    </row>
    <row r="1522" ht="14.25" hidden="1" customHeight="1" outlineLevel="1">
      <c r="A1522" s="10"/>
      <c r="B1522" s="10"/>
      <c r="C1522" s="313">
        <v>0.5069444444444444</v>
      </c>
      <c r="D1522" s="242" t="s">
        <v>1489</v>
      </c>
      <c r="E1522" s="275">
        <v>50.0</v>
      </c>
      <c r="F1522" s="242" t="s">
        <v>1582</v>
      </c>
      <c r="G1522" s="244"/>
    </row>
    <row r="1523" ht="14.25" hidden="1" customHeight="1" outlineLevel="1">
      <c r="A1523" s="102">
        <v>46140.0</v>
      </c>
      <c r="B1523" s="97">
        <f>A1523</f>
        <v>46140</v>
      </c>
      <c r="C1523" s="313">
        <v>0.2916666666666667</v>
      </c>
      <c r="D1523" s="242" t="s">
        <v>236</v>
      </c>
      <c r="E1523" s="275">
        <v>205.0</v>
      </c>
      <c r="F1523" s="242" t="s">
        <v>218</v>
      </c>
      <c r="G1523" s="244"/>
    </row>
    <row r="1524" ht="14.25" hidden="1" customHeight="1" outlineLevel="1">
      <c r="A1524" s="10"/>
      <c r="B1524" s="10"/>
      <c r="C1524" s="313">
        <v>0.5069444444444444</v>
      </c>
      <c r="D1524" s="242" t="s">
        <v>1521</v>
      </c>
      <c r="E1524" s="275">
        <v>137.0</v>
      </c>
      <c r="F1524" s="242" t="s">
        <v>1465</v>
      </c>
      <c r="G1524" s="244"/>
    </row>
    <row r="1525" ht="14.25" hidden="1" customHeight="1" outlineLevel="1">
      <c r="A1525" s="102">
        <v>46141.0</v>
      </c>
      <c r="B1525" s="97">
        <f>A1525</f>
        <v>46141</v>
      </c>
      <c r="C1525" s="313">
        <v>0.2916666666666667</v>
      </c>
      <c r="D1525" s="242" t="s">
        <v>119</v>
      </c>
      <c r="E1525" s="275">
        <v>36.0</v>
      </c>
      <c r="F1525" s="242" t="s">
        <v>1007</v>
      </c>
      <c r="G1525" s="244"/>
    </row>
    <row r="1526" ht="14.25" hidden="1" customHeight="1" outlineLevel="1">
      <c r="A1526" s="10"/>
      <c r="B1526" s="10"/>
      <c r="C1526" s="313">
        <v>0.5069444444444444</v>
      </c>
      <c r="D1526" s="242" t="s">
        <v>1064</v>
      </c>
      <c r="E1526" s="275">
        <v>12.0</v>
      </c>
      <c r="F1526" s="242" t="s">
        <v>1006</v>
      </c>
      <c r="G1526" s="244"/>
    </row>
    <row r="1527" ht="14.25" hidden="1" customHeight="1" outlineLevel="1">
      <c r="A1527" s="102">
        <v>46142.0</v>
      </c>
      <c r="B1527" s="97">
        <f>A1527</f>
        <v>46142</v>
      </c>
      <c r="C1527" s="313">
        <v>0.2916666666666667</v>
      </c>
      <c r="D1527" s="242" t="s">
        <v>119</v>
      </c>
      <c r="E1527" s="275">
        <v>120.0</v>
      </c>
      <c r="F1527" s="242" t="s">
        <v>1585</v>
      </c>
      <c r="G1527" s="244"/>
    </row>
    <row r="1528" ht="14.25" hidden="1" customHeight="1" outlineLevel="1">
      <c r="A1528" s="10"/>
      <c r="B1528" s="10"/>
      <c r="C1528" s="313">
        <v>0.5069444444444444</v>
      </c>
      <c r="D1528" s="242" t="s">
        <v>980</v>
      </c>
      <c r="E1528" s="275">
        <v>107.0</v>
      </c>
      <c r="F1528" s="242" t="s">
        <v>1586</v>
      </c>
      <c r="G1528" s="244"/>
    </row>
    <row r="1529" ht="14.25" customHeight="1">
      <c r="A1529" s="117" t="s">
        <v>195</v>
      </c>
      <c r="B1529" s="27"/>
      <c r="C1529" s="27"/>
      <c r="D1529" s="28"/>
      <c r="E1529" s="312">
        <f>SUM(E1470:E1528)</f>
        <v>10139</v>
      </c>
      <c r="F1529" s="335"/>
      <c r="G1529" s="332"/>
    </row>
    <row r="1530" ht="14.25" customHeight="1">
      <c r="A1530" s="329"/>
      <c r="B1530" s="330"/>
      <c r="C1530" s="331"/>
      <c r="D1530" s="335"/>
      <c r="E1530" s="336"/>
      <c r="F1530" s="335"/>
      <c r="G1530" s="332"/>
    </row>
    <row r="1531" ht="14.25" customHeight="1" collapsed="1">
      <c r="A1531" s="339" t="s">
        <v>1587</v>
      </c>
      <c r="B1531" s="246"/>
      <c r="C1531" s="246"/>
      <c r="D1531" s="246"/>
      <c r="E1531" s="246"/>
      <c r="F1531" s="246"/>
      <c r="G1531" s="246"/>
      <c r="H1531" s="246"/>
      <c r="I1531" s="246"/>
      <c r="J1531" s="246"/>
      <c r="K1531" s="246"/>
      <c r="L1531" s="246"/>
      <c r="M1531" s="246"/>
      <c r="N1531" s="246"/>
      <c r="O1531" s="246"/>
      <c r="P1531" s="246"/>
      <c r="Q1531" s="247"/>
    </row>
    <row r="1532" ht="14.25" hidden="1" customHeight="1" outlineLevel="1">
      <c r="A1532" s="102">
        <v>46143.0</v>
      </c>
      <c r="B1532" s="97">
        <f t="shared" ref="B1532:B1534" si="200">A1532</f>
        <v>46143</v>
      </c>
      <c r="C1532" s="398">
        <v>0.3333333333333333</v>
      </c>
      <c r="D1532" s="242" t="s">
        <v>236</v>
      </c>
      <c r="E1532" s="275">
        <v>239.0</v>
      </c>
      <c r="F1532" s="242" t="s">
        <v>1308</v>
      </c>
      <c r="G1532" s="244"/>
      <c r="I1532" s="72" t="s">
        <v>91</v>
      </c>
      <c r="J1532" s="73"/>
      <c r="K1532" s="73"/>
      <c r="L1532" s="74"/>
      <c r="N1532" s="72" t="s">
        <v>992</v>
      </c>
      <c r="O1532" s="73"/>
      <c r="P1532" s="73"/>
      <c r="Q1532" s="74"/>
    </row>
    <row r="1533" ht="14.25" hidden="1" customHeight="1" outlineLevel="1">
      <c r="A1533" s="125">
        <v>46144.0</v>
      </c>
      <c r="B1533" s="126">
        <f t="shared" si="200"/>
        <v>46144</v>
      </c>
      <c r="C1533" s="313">
        <v>0.3333333333333333</v>
      </c>
      <c r="D1533" s="242" t="s">
        <v>490</v>
      </c>
      <c r="E1533" s="275">
        <v>60.0</v>
      </c>
      <c r="F1533" s="242" t="s">
        <v>1590</v>
      </c>
      <c r="G1533" s="244"/>
      <c r="I1533" s="86">
        <v>46152.0</v>
      </c>
      <c r="J1533" s="88">
        <f t="shared" ref="J1533:J1534" si="201">I1533</f>
        <v>46152</v>
      </c>
      <c r="K1533" s="93">
        <v>46.2</v>
      </c>
      <c r="L1533" s="90"/>
      <c r="M1533" s="51"/>
      <c r="N1533" s="86">
        <v>46171.0</v>
      </c>
      <c r="O1533" s="88">
        <f>N1533</f>
        <v>46171</v>
      </c>
      <c r="P1533" s="93">
        <v>3300.0</v>
      </c>
      <c r="Q1533" s="91"/>
    </row>
    <row r="1534" ht="14.25" hidden="1" customHeight="1" outlineLevel="1">
      <c r="A1534" s="102">
        <v>46145.0</v>
      </c>
      <c r="B1534" s="97">
        <f t="shared" si="200"/>
        <v>46145</v>
      </c>
      <c r="C1534" s="313">
        <v>0.3333333333333333</v>
      </c>
      <c r="D1534" s="242" t="s">
        <v>490</v>
      </c>
      <c r="E1534" s="275">
        <v>190.0</v>
      </c>
      <c r="F1534" s="242" t="s">
        <v>1592</v>
      </c>
      <c r="G1534" s="244"/>
      <c r="I1534" s="86">
        <v>46161.0</v>
      </c>
      <c r="J1534" s="88">
        <f t="shared" si="201"/>
        <v>46161</v>
      </c>
      <c r="K1534" s="93">
        <v>33.65</v>
      </c>
      <c r="L1534" s="90"/>
      <c r="M1534" s="51"/>
      <c r="N1534" s="86"/>
      <c r="O1534" s="88"/>
      <c r="P1534" s="93"/>
      <c r="Q1534" s="91"/>
    </row>
    <row r="1535" ht="14.25" hidden="1" customHeight="1" outlineLevel="1">
      <c r="A1535" s="58"/>
      <c r="B1535" s="58"/>
      <c r="C1535" s="313">
        <v>0.4583333333333333</v>
      </c>
      <c r="D1535" s="242" t="s">
        <v>1251</v>
      </c>
      <c r="E1535" s="275">
        <v>701.0</v>
      </c>
      <c r="F1535" s="242" t="s">
        <v>297</v>
      </c>
      <c r="G1535" s="244"/>
      <c r="I1535" s="86"/>
      <c r="J1535" s="88"/>
      <c r="K1535" s="93"/>
      <c r="L1535" s="90"/>
      <c r="M1535" s="51"/>
      <c r="N1535" s="86"/>
      <c r="O1535" s="88"/>
      <c r="P1535" s="93">
        <v>0.0</v>
      </c>
      <c r="Q1535" s="91"/>
    </row>
    <row r="1536" ht="14.25" hidden="1" customHeight="1" outlineLevel="1">
      <c r="A1536" s="10"/>
      <c r="B1536" s="10"/>
      <c r="C1536" s="313">
        <v>0.7708333333333334</v>
      </c>
      <c r="D1536" s="242" t="s">
        <v>325</v>
      </c>
      <c r="E1536" s="275">
        <v>462.0</v>
      </c>
      <c r="F1536" s="242" t="s">
        <v>1579</v>
      </c>
      <c r="G1536" s="244"/>
      <c r="I1536" s="86"/>
      <c r="J1536" s="88"/>
      <c r="K1536" s="93"/>
      <c r="L1536" s="90"/>
      <c r="M1536" s="51"/>
      <c r="N1536" s="86"/>
      <c r="O1536" s="88"/>
      <c r="P1536" s="93">
        <v>0.0</v>
      </c>
      <c r="Q1536" s="91"/>
    </row>
    <row r="1537" ht="14.25" hidden="1" customHeight="1" outlineLevel="1">
      <c r="A1537" s="102">
        <v>46146.0</v>
      </c>
      <c r="B1537" s="97">
        <f>A1537</f>
        <v>46146</v>
      </c>
      <c r="C1537" s="313">
        <v>0.2916666666666667</v>
      </c>
      <c r="D1537" s="242" t="s">
        <v>738</v>
      </c>
      <c r="E1537" s="275">
        <v>79.0</v>
      </c>
      <c r="F1537" s="242" t="s">
        <v>1493</v>
      </c>
      <c r="G1537" s="244"/>
      <c r="I1537" s="86"/>
      <c r="J1537" s="88"/>
      <c r="K1537" s="92"/>
      <c r="L1537" s="90"/>
      <c r="M1537" s="51"/>
      <c r="N1537" s="165" t="s">
        <v>195</v>
      </c>
      <c r="O1537" s="165"/>
      <c r="P1537" s="291">
        <f>SUM(P1533:P1536)</f>
        <v>3300</v>
      </c>
      <c r="Q1537" s="114"/>
    </row>
    <row r="1538" ht="14.25" hidden="1" customHeight="1" outlineLevel="1">
      <c r="A1538" s="10"/>
      <c r="B1538" s="10"/>
      <c r="C1538" s="313">
        <v>0.5069444444444444</v>
      </c>
      <c r="D1538" s="242" t="s">
        <v>1489</v>
      </c>
      <c r="E1538" s="275">
        <v>40.0</v>
      </c>
      <c r="F1538" s="242" t="s">
        <v>914</v>
      </c>
      <c r="G1538" s="244"/>
      <c r="I1538" s="108" t="s">
        <v>195</v>
      </c>
      <c r="J1538" s="109"/>
      <c r="K1538" s="113">
        <f>SUM(K1533:K1537)</f>
        <v>79.85</v>
      </c>
      <c r="L1538" s="114"/>
      <c r="M1538" s="51"/>
    </row>
    <row r="1539" ht="14.25" hidden="1" customHeight="1" outlineLevel="1">
      <c r="A1539" s="102">
        <v>46147.0</v>
      </c>
      <c r="B1539" s="97">
        <f>A1539</f>
        <v>46147</v>
      </c>
      <c r="C1539" s="313">
        <v>0.2916666666666667</v>
      </c>
      <c r="D1539" s="242" t="s">
        <v>236</v>
      </c>
      <c r="E1539" s="275">
        <v>60.0</v>
      </c>
      <c r="F1539" s="242" t="s">
        <v>1159</v>
      </c>
      <c r="G1539" s="244"/>
      <c r="N1539" s="235" t="s">
        <v>344</v>
      </c>
      <c r="O1539" s="27"/>
      <c r="P1539" s="27"/>
      <c r="Q1539" s="28"/>
    </row>
    <row r="1540" ht="14.25" hidden="1" customHeight="1" outlineLevel="1">
      <c r="A1540" s="10"/>
      <c r="B1540" s="10"/>
      <c r="C1540" s="313">
        <v>0.5069444444444444</v>
      </c>
      <c r="D1540" s="242" t="s">
        <v>1489</v>
      </c>
      <c r="E1540" s="275">
        <v>62.0</v>
      </c>
      <c r="F1540" s="242" t="s">
        <v>1465</v>
      </c>
      <c r="G1540" s="244"/>
      <c r="N1540" s="86">
        <v>46143.0</v>
      </c>
      <c r="O1540" s="88">
        <f>N1540</f>
        <v>46143</v>
      </c>
      <c r="P1540" s="93">
        <v>0.0</v>
      </c>
      <c r="Q1540" s="91"/>
    </row>
    <row r="1541" ht="14.25" hidden="1" customHeight="1" outlineLevel="1">
      <c r="A1541" s="102">
        <v>46148.0</v>
      </c>
      <c r="B1541" s="97">
        <f>A1541</f>
        <v>46148</v>
      </c>
      <c r="C1541" s="313">
        <v>0.3333333333333333</v>
      </c>
      <c r="D1541" s="242" t="s">
        <v>119</v>
      </c>
      <c r="E1541" s="275">
        <v>95.0</v>
      </c>
      <c r="F1541" s="242" t="s">
        <v>324</v>
      </c>
      <c r="G1541" s="244"/>
      <c r="N1541" s="86"/>
      <c r="O1541" s="88"/>
      <c r="P1541" s="93">
        <v>0.0</v>
      </c>
      <c r="Q1541" s="91"/>
    </row>
    <row r="1542" ht="14.25" hidden="1" customHeight="1" outlineLevel="1">
      <c r="A1542" s="10"/>
      <c r="B1542" s="10"/>
      <c r="C1542" s="313">
        <v>0.5069444444444444</v>
      </c>
      <c r="D1542" s="242" t="s">
        <v>1064</v>
      </c>
      <c r="E1542" s="275">
        <v>5.0</v>
      </c>
      <c r="F1542" s="242" t="s">
        <v>1598</v>
      </c>
      <c r="G1542" s="244"/>
    </row>
    <row r="1543" ht="14.25" hidden="1" customHeight="1" outlineLevel="1">
      <c r="A1543" s="102">
        <v>46149.0</v>
      </c>
      <c r="B1543" s="97">
        <f>A1543</f>
        <v>46149</v>
      </c>
      <c r="C1543" s="313">
        <v>0.2916666666666667</v>
      </c>
      <c r="D1543" s="242" t="s">
        <v>119</v>
      </c>
      <c r="E1543" s="275">
        <v>50.0</v>
      </c>
      <c r="F1543" s="242" t="s">
        <v>1435</v>
      </c>
      <c r="G1543" s="244"/>
    </row>
    <row r="1544" ht="14.25" hidden="1" customHeight="1" outlineLevel="1">
      <c r="A1544" s="10"/>
      <c r="B1544" s="10"/>
      <c r="C1544" s="313">
        <v>0.5069444444444444</v>
      </c>
      <c r="D1544" s="242" t="s">
        <v>1251</v>
      </c>
      <c r="E1544" s="275">
        <v>40.0</v>
      </c>
      <c r="F1544" s="242" t="s">
        <v>1599</v>
      </c>
      <c r="G1544" s="244"/>
    </row>
    <row r="1545" ht="14.25" hidden="1" customHeight="1" outlineLevel="1">
      <c r="A1545" s="102">
        <v>46150.0</v>
      </c>
      <c r="B1545" s="97">
        <f>A1545</f>
        <v>46150</v>
      </c>
      <c r="C1545" s="313">
        <v>0.2916666666666667</v>
      </c>
      <c r="D1545" s="242" t="s">
        <v>236</v>
      </c>
      <c r="E1545" s="275">
        <v>129.0</v>
      </c>
      <c r="F1545" s="242" t="s">
        <v>1126</v>
      </c>
      <c r="G1545" s="244"/>
    </row>
    <row r="1546" ht="14.25" hidden="1" customHeight="1" outlineLevel="1">
      <c r="A1546" s="10"/>
      <c r="B1546" s="10"/>
      <c r="C1546" s="313">
        <v>0.5069444444444444</v>
      </c>
      <c r="D1546" s="242" t="s">
        <v>1489</v>
      </c>
      <c r="E1546" s="275">
        <v>55.0</v>
      </c>
      <c r="F1546" s="242" t="s">
        <v>1006</v>
      </c>
      <c r="G1546" s="244"/>
    </row>
    <row r="1547" ht="14.25" hidden="1" customHeight="1" outlineLevel="1">
      <c r="A1547" s="125">
        <v>46151.0</v>
      </c>
      <c r="B1547" s="126">
        <f t="shared" ref="B1547:B1548" si="202">A1547</f>
        <v>46151</v>
      </c>
      <c r="C1547" s="313">
        <v>0.3333333333333333</v>
      </c>
      <c r="D1547" s="242" t="s">
        <v>119</v>
      </c>
      <c r="E1547" s="275">
        <v>37.0</v>
      </c>
      <c r="F1547" s="242" t="s">
        <v>129</v>
      </c>
      <c r="G1547" s="244"/>
    </row>
    <row r="1548" ht="14.25" hidden="1" customHeight="1" outlineLevel="1">
      <c r="A1548" s="102">
        <v>46152.0</v>
      </c>
      <c r="B1548" s="97">
        <f t="shared" si="202"/>
        <v>46152</v>
      </c>
      <c r="C1548" s="313">
        <v>0.3333333333333333</v>
      </c>
      <c r="D1548" s="242" t="s">
        <v>490</v>
      </c>
      <c r="E1548" s="275">
        <v>543.0</v>
      </c>
      <c r="F1548" s="242" t="s">
        <v>1601</v>
      </c>
      <c r="G1548" s="244"/>
    </row>
    <row r="1549" ht="14.25" hidden="1" customHeight="1" outlineLevel="1">
      <c r="A1549" s="58"/>
      <c r="B1549" s="58"/>
      <c r="C1549" s="313">
        <v>0.4583333333333333</v>
      </c>
      <c r="D1549" s="242" t="s">
        <v>980</v>
      </c>
      <c r="E1549" s="275">
        <v>550.0</v>
      </c>
      <c r="F1549" s="242" t="s">
        <v>1602</v>
      </c>
      <c r="G1549" s="244"/>
    </row>
    <row r="1550" ht="14.25" hidden="1" customHeight="1" outlineLevel="1">
      <c r="A1550" s="10"/>
      <c r="B1550" s="10"/>
      <c r="C1550" s="313">
        <v>0.7708333333333334</v>
      </c>
      <c r="D1550" s="242" t="s">
        <v>342</v>
      </c>
      <c r="E1550" s="275">
        <v>361.0</v>
      </c>
      <c r="F1550" s="242" t="s">
        <v>1603</v>
      </c>
      <c r="G1550" s="244"/>
    </row>
    <row r="1551" ht="14.25" hidden="1" customHeight="1" outlineLevel="1">
      <c r="A1551" s="102">
        <v>46153.0</v>
      </c>
      <c r="B1551" s="97">
        <f>A1551</f>
        <v>46153</v>
      </c>
      <c r="C1551" s="313">
        <v>0.2916666666666667</v>
      </c>
      <c r="D1551" s="242" t="s">
        <v>738</v>
      </c>
      <c r="E1551" s="275">
        <v>74.0</v>
      </c>
      <c r="F1551" s="242" t="s">
        <v>773</v>
      </c>
      <c r="G1551" s="244"/>
    </row>
    <row r="1552" ht="14.25" hidden="1" customHeight="1" outlineLevel="1">
      <c r="A1552" s="10"/>
      <c r="B1552" s="10"/>
      <c r="C1552" s="313">
        <v>0.5069444444444444</v>
      </c>
      <c r="D1552" s="242" t="s">
        <v>1064</v>
      </c>
      <c r="E1552" s="275">
        <v>104.0</v>
      </c>
      <c r="F1552" s="242" t="s">
        <v>914</v>
      </c>
      <c r="G1552" s="244"/>
    </row>
    <row r="1553" ht="14.25" hidden="1" customHeight="1" outlineLevel="1">
      <c r="A1553" s="102">
        <v>46154.0</v>
      </c>
      <c r="B1553" s="97">
        <f>A1553</f>
        <v>46154</v>
      </c>
      <c r="C1553" s="398">
        <v>0.2916666666666667</v>
      </c>
      <c r="D1553" s="242" t="s">
        <v>236</v>
      </c>
      <c r="E1553" s="275">
        <v>80.0</v>
      </c>
      <c r="F1553" s="242" t="s">
        <v>1604</v>
      </c>
      <c r="G1553" s="244"/>
    </row>
    <row r="1554" ht="14.25" hidden="1" customHeight="1" outlineLevel="1">
      <c r="A1554" s="58"/>
      <c r="B1554" s="58"/>
      <c r="C1554" s="403">
        <v>0.5069444444444444</v>
      </c>
      <c r="D1554" s="242" t="s">
        <v>1521</v>
      </c>
      <c r="E1554" s="275">
        <v>2.0</v>
      </c>
      <c r="F1554" s="242" t="s">
        <v>1423</v>
      </c>
      <c r="G1554" s="244"/>
    </row>
    <row r="1555" ht="14.25" hidden="1" customHeight="1" outlineLevel="1">
      <c r="A1555" s="10"/>
      <c r="B1555" s="10"/>
      <c r="C1555" s="403">
        <v>0.7916666666666666</v>
      </c>
      <c r="D1555" s="242" t="s">
        <v>1605</v>
      </c>
      <c r="E1555" s="275">
        <v>155.0</v>
      </c>
      <c r="F1555" s="242" t="s">
        <v>129</v>
      </c>
      <c r="G1555" s="244"/>
    </row>
    <row r="1556" ht="14.25" hidden="1" customHeight="1" outlineLevel="1">
      <c r="A1556" s="102">
        <v>46155.0</v>
      </c>
      <c r="B1556" s="97">
        <f>A1556</f>
        <v>46155</v>
      </c>
      <c r="C1556" s="313">
        <v>0.3333333333333333</v>
      </c>
      <c r="D1556" s="242" t="s">
        <v>119</v>
      </c>
      <c r="E1556" s="275">
        <v>128.0</v>
      </c>
      <c r="F1556" s="242" t="s">
        <v>1452</v>
      </c>
      <c r="G1556" s="244"/>
    </row>
    <row r="1557" ht="14.25" hidden="1" customHeight="1" outlineLevel="1">
      <c r="A1557" s="10"/>
      <c r="B1557" s="10"/>
      <c r="C1557" s="313">
        <v>0.5069444444444444</v>
      </c>
      <c r="D1557" s="242" t="s">
        <v>1521</v>
      </c>
      <c r="E1557" s="275">
        <v>55.0</v>
      </c>
      <c r="F1557" s="242" t="s">
        <v>153</v>
      </c>
      <c r="G1557" s="244"/>
    </row>
    <row r="1558" ht="14.25" hidden="1" customHeight="1" outlineLevel="1">
      <c r="A1558" s="102">
        <v>46156.0</v>
      </c>
      <c r="B1558" s="97">
        <f>A1558</f>
        <v>46156</v>
      </c>
      <c r="C1558" s="313">
        <v>0.2916666666666667</v>
      </c>
      <c r="D1558" s="242" t="s">
        <v>119</v>
      </c>
      <c r="E1558" s="275">
        <v>25.0</v>
      </c>
      <c r="F1558" s="242" t="s">
        <v>1607</v>
      </c>
      <c r="G1558" s="244"/>
    </row>
    <row r="1559" ht="14.25" hidden="1" customHeight="1" outlineLevel="1">
      <c r="A1559" s="10"/>
      <c r="B1559" s="10"/>
      <c r="C1559" s="313">
        <v>0.5069444444444444</v>
      </c>
      <c r="D1559" s="242" t="s">
        <v>980</v>
      </c>
      <c r="E1559" s="275">
        <v>19.0</v>
      </c>
      <c r="F1559" s="242" t="s">
        <v>1608</v>
      </c>
      <c r="G1559" s="244"/>
    </row>
    <row r="1560" ht="14.25" hidden="1" customHeight="1" outlineLevel="1">
      <c r="A1560" s="102">
        <v>46157.0</v>
      </c>
      <c r="B1560" s="97">
        <f>A1560</f>
        <v>46157</v>
      </c>
      <c r="C1560" s="313">
        <v>0.2916666666666667</v>
      </c>
      <c r="D1560" s="242" t="s">
        <v>236</v>
      </c>
      <c r="E1560" s="275">
        <v>110.0</v>
      </c>
      <c r="F1560" s="242" t="s">
        <v>560</v>
      </c>
      <c r="G1560" s="244"/>
    </row>
    <row r="1561" ht="14.25" hidden="1" customHeight="1" outlineLevel="1">
      <c r="A1561" s="10"/>
      <c r="B1561" s="10"/>
      <c r="C1561" s="313">
        <v>0.5069444444444444</v>
      </c>
      <c r="D1561" s="242" t="s">
        <v>1489</v>
      </c>
      <c r="E1561" s="275">
        <v>11.0</v>
      </c>
      <c r="F1561" s="242" t="s">
        <v>1006</v>
      </c>
      <c r="G1561" s="244"/>
    </row>
    <row r="1562" ht="14.25" hidden="1" customHeight="1" outlineLevel="1">
      <c r="A1562" s="125">
        <v>46158.0</v>
      </c>
      <c r="B1562" s="126">
        <f t="shared" ref="B1562:B1563" si="203">A1562</f>
        <v>46158</v>
      </c>
      <c r="C1562" s="313">
        <v>0.3333333333333333</v>
      </c>
      <c r="D1562" s="242" t="s">
        <v>1327</v>
      </c>
      <c r="E1562" s="275">
        <v>65.0</v>
      </c>
      <c r="F1562" s="242" t="s">
        <v>1448</v>
      </c>
      <c r="G1562" s="244"/>
    </row>
    <row r="1563" ht="14.25" hidden="1" customHeight="1" outlineLevel="1">
      <c r="A1563" s="102">
        <v>46159.0</v>
      </c>
      <c r="B1563" s="97">
        <f t="shared" si="203"/>
        <v>46159</v>
      </c>
      <c r="C1563" s="313">
        <v>0.3333333333333333</v>
      </c>
      <c r="D1563" s="242" t="s">
        <v>1605</v>
      </c>
      <c r="E1563" s="275">
        <v>599.0</v>
      </c>
      <c r="F1563" s="242" t="s">
        <v>1614</v>
      </c>
      <c r="G1563" s="244"/>
    </row>
    <row r="1564" ht="14.25" hidden="1" customHeight="1" outlineLevel="1">
      <c r="A1564" s="58"/>
      <c r="B1564" s="58"/>
      <c r="C1564" s="313">
        <v>0.4583333333333333</v>
      </c>
      <c r="D1564" s="242" t="s">
        <v>1251</v>
      </c>
      <c r="E1564" s="275">
        <v>510.0</v>
      </c>
      <c r="F1564" s="242" t="s">
        <v>1615</v>
      </c>
      <c r="G1564" s="244"/>
    </row>
    <row r="1565" ht="14.25" hidden="1" customHeight="1" outlineLevel="1">
      <c r="A1565" s="10"/>
      <c r="B1565" s="10"/>
      <c r="C1565" s="313">
        <v>0.7708333333333334</v>
      </c>
      <c r="D1565" s="242" t="s">
        <v>1484</v>
      </c>
      <c r="E1565" s="275">
        <v>396.0</v>
      </c>
      <c r="F1565" s="242" t="s">
        <v>1616</v>
      </c>
      <c r="G1565" s="244"/>
    </row>
    <row r="1566" ht="14.25" hidden="1" customHeight="1" outlineLevel="1">
      <c r="A1566" s="102">
        <v>46160.0</v>
      </c>
      <c r="B1566" s="97">
        <f>A1566</f>
        <v>46160</v>
      </c>
      <c r="C1566" s="313">
        <v>0.2916666666666667</v>
      </c>
      <c r="D1566" s="242" t="s">
        <v>1327</v>
      </c>
      <c r="E1566" s="275">
        <v>24.0</v>
      </c>
      <c r="F1566" s="242" t="s">
        <v>303</v>
      </c>
      <c r="G1566" s="244"/>
    </row>
    <row r="1567" ht="14.25" hidden="1" customHeight="1" outlineLevel="1">
      <c r="A1567" s="10"/>
      <c r="B1567" s="10"/>
      <c r="C1567" s="313">
        <v>0.5069444444444444</v>
      </c>
      <c r="D1567" s="242" t="s">
        <v>1489</v>
      </c>
      <c r="E1567" s="275">
        <v>36.0</v>
      </c>
      <c r="F1567" s="242" t="s">
        <v>914</v>
      </c>
      <c r="G1567" s="244"/>
    </row>
    <row r="1568" ht="14.25" hidden="1" customHeight="1" outlineLevel="1">
      <c r="A1568" s="102">
        <v>46161.0</v>
      </c>
      <c r="B1568" s="97">
        <f>A1568</f>
        <v>46161</v>
      </c>
      <c r="C1568" s="398">
        <v>0.2916666666666667</v>
      </c>
      <c r="D1568" s="242" t="s">
        <v>236</v>
      </c>
      <c r="E1568" s="275">
        <v>44.0</v>
      </c>
      <c r="F1568" s="242" t="s">
        <v>1159</v>
      </c>
      <c r="G1568" s="244"/>
    </row>
    <row r="1569" ht="14.25" hidden="1" customHeight="1" outlineLevel="1">
      <c r="A1569" s="10"/>
      <c r="B1569" s="10"/>
      <c r="C1569" s="403">
        <v>0.5069444444444444</v>
      </c>
      <c r="D1569" s="242" t="s">
        <v>1521</v>
      </c>
      <c r="E1569" s="275">
        <v>9.0</v>
      </c>
      <c r="F1569" s="242" t="s">
        <v>1465</v>
      </c>
      <c r="G1569" s="244"/>
    </row>
    <row r="1570" ht="14.25" hidden="1" customHeight="1" outlineLevel="1">
      <c r="A1570" s="102">
        <v>46162.0</v>
      </c>
      <c r="B1570" s="97">
        <f>A1570</f>
        <v>46162</v>
      </c>
      <c r="C1570" s="313">
        <v>0.2916666666666667</v>
      </c>
      <c r="D1570" s="242" t="s">
        <v>119</v>
      </c>
      <c r="E1570" s="275">
        <v>14.0</v>
      </c>
      <c r="F1570" s="242" t="s">
        <v>1452</v>
      </c>
      <c r="G1570" s="244"/>
    </row>
    <row r="1571" ht="14.25" hidden="1" customHeight="1" outlineLevel="1">
      <c r="A1571" s="10"/>
      <c r="B1571" s="10"/>
      <c r="C1571" s="313">
        <v>0.5069444444444444</v>
      </c>
      <c r="D1571" s="242" t="s">
        <v>1489</v>
      </c>
      <c r="E1571" s="275">
        <v>56.0</v>
      </c>
      <c r="F1571" s="242" t="s">
        <v>1406</v>
      </c>
      <c r="G1571" s="244"/>
    </row>
    <row r="1572" ht="14.25" hidden="1" customHeight="1" outlineLevel="1">
      <c r="A1572" s="102">
        <v>46163.0</v>
      </c>
      <c r="B1572" s="97">
        <f>A1572</f>
        <v>46163</v>
      </c>
      <c r="C1572" s="313">
        <v>0.2916666666666667</v>
      </c>
      <c r="D1572" s="242" t="s">
        <v>119</v>
      </c>
      <c r="E1572" s="275">
        <v>22.0</v>
      </c>
      <c r="F1572" s="242" t="s">
        <v>489</v>
      </c>
      <c r="G1572" s="244"/>
    </row>
    <row r="1573" ht="14.25" hidden="1" customHeight="1" outlineLevel="1">
      <c r="A1573" s="10"/>
      <c r="B1573" s="10"/>
      <c r="C1573" s="313">
        <v>0.5069444444444444</v>
      </c>
      <c r="D1573" s="242" t="s">
        <v>1620</v>
      </c>
      <c r="E1573" s="275">
        <v>90.0</v>
      </c>
      <c r="F1573" s="242" t="s">
        <v>1436</v>
      </c>
      <c r="G1573" s="244"/>
    </row>
    <row r="1574" ht="14.25" hidden="1" customHeight="1" outlineLevel="1">
      <c r="A1574" s="102">
        <v>46164.0</v>
      </c>
      <c r="B1574" s="97">
        <f>A1574</f>
        <v>46164</v>
      </c>
      <c r="C1574" s="313">
        <v>0.2916666666666667</v>
      </c>
      <c r="D1574" s="242" t="s">
        <v>236</v>
      </c>
      <c r="E1574" s="275">
        <v>69.0</v>
      </c>
      <c r="F1574" s="242" t="s">
        <v>1623</v>
      </c>
      <c r="G1574" s="244"/>
    </row>
    <row r="1575" ht="14.25" hidden="1" customHeight="1" outlineLevel="1">
      <c r="A1575" s="10"/>
      <c r="B1575" s="10"/>
      <c r="C1575" s="313">
        <v>0.5069444444444444</v>
      </c>
      <c r="D1575" s="242" t="s">
        <v>1489</v>
      </c>
      <c r="E1575" s="275">
        <v>200.0</v>
      </c>
      <c r="F1575" s="242" t="s">
        <v>1006</v>
      </c>
      <c r="G1575" s="244"/>
    </row>
    <row r="1576" ht="14.25" hidden="1" customHeight="1" outlineLevel="1">
      <c r="A1576" s="125">
        <v>46165.0</v>
      </c>
      <c r="B1576" s="126">
        <f t="shared" ref="B1576:B1577" si="204">A1576</f>
        <v>46165</v>
      </c>
      <c r="C1576" s="313">
        <v>0.3333333333333333</v>
      </c>
      <c r="D1576" s="242" t="s">
        <v>119</v>
      </c>
      <c r="E1576" s="275">
        <v>41.0</v>
      </c>
      <c r="F1576" s="242" t="s">
        <v>1625</v>
      </c>
      <c r="G1576" s="244"/>
    </row>
    <row r="1577" ht="14.25" hidden="1" customHeight="1" outlineLevel="1">
      <c r="A1577" s="102">
        <v>46166.0</v>
      </c>
      <c r="B1577" s="97">
        <f t="shared" si="204"/>
        <v>46166</v>
      </c>
      <c r="C1577" s="313">
        <v>0.3333333333333333</v>
      </c>
      <c r="D1577" s="242" t="s">
        <v>490</v>
      </c>
      <c r="E1577" s="275">
        <v>228.0</v>
      </c>
      <c r="F1577" s="242" t="s">
        <v>1626</v>
      </c>
      <c r="G1577" s="244"/>
    </row>
    <row r="1578" ht="14.25" hidden="1" customHeight="1" outlineLevel="1">
      <c r="A1578" s="58"/>
      <c r="B1578" s="58"/>
      <c r="C1578" s="313">
        <v>0.4583333333333333</v>
      </c>
      <c r="D1578" s="242" t="s">
        <v>980</v>
      </c>
      <c r="E1578" s="275">
        <v>750.0</v>
      </c>
      <c r="F1578" s="242" t="s">
        <v>1459</v>
      </c>
      <c r="G1578" s="244"/>
    </row>
    <row r="1579" ht="14.25" hidden="1" customHeight="1" outlineLevel="1">
      <c r="A1579" s="10"/>
      <c r="B1579" s="10"/>
      <c r="C1579" s="313">
        <v>0.7708333333333334</v>
      </c>
      <c r="D1579" s="242" t="s">
        <v>1484</v>
      </c>
      <c r="E1579" s="275">
        <v>707.0</v>
      </c>
      <c r="F1579" s="242" t="s">
        <v>617</v>
      </c>
      <c r="G1579" s="244"/>
    </row>
    <row r="1580" ht="14.25" hidden="1" customHeight="1" outlineLevel="1">
      <c r="A1580" s="102">
        <v>46167.0</v>
      </c>
      <c r="B1580" s="97">
        <f>A1580</f>
        <v>46167</v>
      </c>
      <c r="C1580" s="313">
        <v>0.2916666666666667</v>
      </c>
      <c r="D1580" s="242"/>
      <c r="E1580" s="275"/>
      <c r="F1580" s="242"/>
      <c r="G1580" s="242" t="s">
        <v>1627</v>
      </c>
    </row>
    <row r="1581" ht="14.25" hidden="1" customHeight="1" outlineLevel="1">
      <c r="A1581" s="10"/>
      <c r="B1581" s="10"/>
      <c r="C1581" s="313">
        <v>0.5069444444444444</v>
      </c>
      <c r="D1581" s="242" t="s">
        <v>1489</v>
      </c>
      <c r="E1581" s="275">
        <v>80.0</v>
      </c>
      <c r="F1581" s="242" t="s">
        <v>1415</v>
      </c>
      <c r="G1581" s="244"/>
    </row>
    <row r="1582" ht="14.25" hidden="1" customHeight="1" outlineLevel="1">
      <c r="A1582" s="102">
        <v>46168.0</v>
      </c>
      <c r="B1582" s="97">
        <f>A1582</f>
        <v>46168</v>
      </c>
      <c r="C1582" s="398">
        <v>0.2916666666666667</v>
      </c>
      <c r="D1582" s="242" t="s">
        <v>296</v>
      </c>
      <c r="E1582" s="275">
        <v>61.0</v>
      </c>
      <c r="F1582" s="242" t="s">
        <v>378</v>
      </c>
      <c r="G1582" s="244"/>
    </row>
    <row r="1583" ht="14.25" hidden="1" customHeight="1" outlineLevel="1">
      <c r="A1583" s="10"/>
      <c r="B1583" s="10"/>
      <c r="C1583" s="403">
        <v>0.5069444444444444</v>
      </c>
      <c r="D1583" s="242" t="s">
        <v>1521</v>
      </c>
      <c r="E1583" s="275">
        <v>2.0</v>
      </c>
      <c r="F1583" s="242" t="s">
        <v>1465</v>
      </c>
      <c r="G1583" s="244"/>
    </row>
    <row r="1584" ht="14.25" hidden="1" customHeight="1" outlineLevel="1">
      <c r="A1584" s="102">
        <v>46169.0</v>
      </c>
      <c r="B1584" s="97">
        <f>A1584</f>
        <v>46169</v>
      </c>
      <c r="C1584" s="313">
        <v>0.2916666666666667</v>
      </c>
      <c r="D1584" s="242" t="s">
        <v>119</v>
      </c>
      <c r="E1584" s="275">
        <v>15.0</v>
      </c>
      <c r="F1584" s="242" t="s">
        <v>1452</v>
      </c>
      <c r="G1584" s="244"/>
    </row>
    <row r="1585" ht="14.25" hidden="1" customHeight="1" outlineLevel="1">
      <c r="A1585" s="10"/>
      <c r="B1585" s="10"/>
      <c r="C1585" s="313">
        <v>0.5069444444444444</v>
      </c>
      <c r="D1585" s="242" t="s">
        <v>1489</v>
      </c>
      <c r="E1585" s="275">
        <v>65.0</v>
      </c>
      <c r="F1585" s="242" t="s">
        <v>1628</v>
      </c>
      <c r="G1585" s="244"/>
    </row>
    <row r="1586" ht="14.25" hidden="1" customHeight="1" outlineLevel="1">
      <c r="A1586" s="102">
        <v>46170.0</v>
      </c>
      <c r="B1586" s="97">
        <f>A1586</f>
        <v>46170</v>
      </c>
      <c r="C1586" s="313">
        <v>0.2916666666666667</v>
      </c>
      <c r="D1586" s="242" t="s">
        <v>119</v>
      </c>
      <c r="E1586" s="275">
        <v>15.0</v>
      </c>
      <c r="F1586" s="242" t="s">
        <v>1493</v>
      </c>
      <c r="G1586" s="244"/>
    </row>
    <row r="1587" ht="14.25" hidden="1" customHeight="1" outlineLevel="1">
      <c r="A1587" s="10"/>
      <c r="B1587" s="10"/>
      <c r="C1587" s="313">
        <v>0.5069444444444444</v>
      </c>
      <c r="D1587" s="242" t="s">
        <v>980</v>
      </c>
      <c r="E1587" s="275">
        <v>39.0</v>
      </c>
      <c r="F1587" s="242" t="s">
        <v>914</v>
      </c>
      <c r="G1587" s="244"/>
    </row>
    <row r="1588" ht="14.25" hidden="1" customHeight="1" outlineLevel="1">
      <c r="A1588" s="102">
        <v>46171.0</v>
      </c>
      <c r="B1588" s="97">
        <f>A1588</f>
        <v>46171</v>
      </c>
      <c r="C1588" s="313">
        <v>0.2916666666666667</v>
      </c>
      <c r="D1588" s="242" t="s">
        <v>236</v>
      </c>
      <c r="E1588" s="275">
        <v>48.0</v>
      </c>
      <c r="F1588" s="242" t="s">
        <v>1029</v>
      </c>
      <c r="G1588" s="244"/>
    </row>
    <row r="1589" ht="14.25" hidden="1" customHeight="1" outlineLevel="1">
      <c r="A1589" s="10"/>
      <c r="B1589" s="10"/>
      <c r="C1589" s="313">
        <v>0.5069444444444444</v>
      </c>
      <c r="D1589" s="242" t="s">
        <v>1489</v>
      </c>
      <c r="E1589" s="275">
        <v>9.25</v>
      </c>
      <c r="F1589" s="242" t="s">
        <v>1628</v>
      </c>
      <c r="G1589" s="244"/>
    </row>
    <row r="1590" ht="14.25" hidden="1" customHeight="1" outlineLevel="1">
      <c r="A1590" s="125">
        <v>46172.0</v>
      </c>
      <c r="B1590" s="126">
        <f t="shared" ref="B1590:B1591" si="205">A1590</f>
        <v>46172</v>
      </c>
      <c r="C1590" s="313">
        <v>0.3333333333333333</v>
      </c>
      <c r="D1590" s="242" t="s">
        <v>1327</v>
      </c>
      <c r="E1590" s="275">
        <v>24.0</v>
      </c>
      <c r="F1590" s="242" t="s">
        <v>1448</v>
      </c>
      <c r="G1590" s="244"/>
    </row>
    <row r="1591" ht="14.25" hidden="1" customHeight="1" outlineLevel="1">
      <c r="A1591" s="102">
        <v>46173.0</v>
      </c>
      <c r="B1591" s="97">
        <f t="shared" si="205"/>
        <v>46173</v>
      </c>
      <c r="C1591" s="313">
        <v>0.3333333333333333</v>
      </c>
      <c r="D1591" s="242" t="s">
        <v>490</v>
      </c>
      <c r="E1591" s="275">
        <v>406.0</v>
      </c>
      <c r="F1591" s="242" t="s">
        <v>1430</v>
      </c>
      <c r="G1591" s="244"/>
    </row>
    <row r="1592" ht="14.25" hidden="1" customHeight="1" outlineLevel="1">
      <c r="A1592" s="58"/>
      <c r="B1592" s="58"/>
      <c r="C1592" s="313">
        <v>0.4583333333333333</v>
      </c>
      <c r="D1592" s="242" t="s">
        <v>1251</v>
      </c>
      <c r="E1592" s="275">
        <v>658.0</v>
      </c>
      <c r="F1592" s="242" t="s">
        <v>1632</v>
      </c>
      <c r="G1592" s="244"/>
    </row>
    <row r="1593" ht="14.25" hidden="1" customHeight="1" outlineLevel="1">
      <c r="A1593" s="10"/>
      <c r="B1593" s="10"/>
      <c r="C1593" s="313">
        <v>0.7708333333333334</v>
      </c>
      <c r="D1593" s="242" t="s">
        <v>342</v>
      </c>
      <c r="E1593" s="275">
        <v>280.0</v>
      </c>
      <c r="F1593" s="242" t="s">
        <v>1633</v>
      </c>
      <c r="G1593" s="244"/>
    </row>
    <row r="1594" ht="14.25" customHeight="1">
      <c r="A1594" s="117" t="s">
        <v>195</v>
      </c>
      <c r="B1594" s="27"/>
      <c r="C1594" s="27"/>
      <c r="D1594" s="28"/>
      <c r="E1594" s="312">
        <f>SUM(E1532:E1593)</f>
        <v>10083.25</v>
      </c>
      <c r="F1594" s="335"/>
      <c r="G1594" s="332"/>
    </row>
    <row r="1595" ht="14.25" customHeight="1">
      <c r="A1595" s="329"/>
      <c r="B1595" s="330"/>
      <c r="C1595" s="331"/>
      <c r="D1595" s="335"/>
      <c r="E1595" s="336"/>
      <c r="F1595" s="335"/>
      <c r="G1595" s="332"/>
    </row>
    <row r="1596" ht="14.25" customHeight="1" collapsed="1">
      <c r="A1596" s="339" t="s">
        <v>1635</v>
      </c>
      <c r="B1596" s="246"/>
      <c r="C1596" s="246"/>
      <c r="D1596" s="246"/>
      <c r="E1596" s="246"/>
      <c r="F1596" s="246"/>
      <c r="G1596" s="246"/>
      <c r="H1596" s="246"/>
      <c r="I1596" s="246"/>
      <c r="J1596" s="246"/>
      <c r="K1596" s="246"/>
      <c r="L1596" s="246"/>
      <c r="M1596" s="246"/>
      <c r="N1596" s="246"/>
      <c r="O1596" s="246"/>
      <c r="P1596" s="246"/>
      <c r="Q1596" s="247"/>
    </row>
    <row r="1597" ht="14.25" hidden="1" customHeight="1" outlineLevel="1">
      <c r="A1597" s="102">
        <v>46174.0</v>
      </c>
      <c r="B1597" s="97">
        <f>A1597</f>
        <v>46174</v>
      </c>
      <c r="C1597" s="313">
        <v>0.2916666666666667</v>
      </c>
      <c r="D1597" s="242" t="s">
        <v>1327</v>
      </c>
      <c r="E1597" s="275">
        <v>64.0</v>
      </c>
      <c r="F1597" s="242" t="s">
        <v>303</v>
      </c>
      <c r="G1597" s="244"/>
      <c r="I1597" s="235" t="s">
        <v>91</v>
      </c>
      <c r="J1597" s="27"/>
      <c r="K1597" s="27"/>
      <c r="L1597" s="28"/>
      <c r="N1597" s="235" t="s">
        <v>992</v>
      </c>
      <c r="O1597" s="27"/>
      <c r="P1597" s="27"/>
      <c r="Q1597" s="28"/>
    </row>
    <row r="1598" ht="14.25" hidden="1" customHeight="1" outlineLevel="1">
      <c r="A1598" s="10"/>
      <c r="B1598" s="10"/>
      <c r="C1598" s="313">
        <v>0.5069444444444444</v>
      </c>
      <c r="D1598" s="242" t="s">
        <v>1489</v>
      </c>
      <c r="E1598" s="275">
        <v>20.0</v>
      </c>
      <c r="F1598" s="242" t="s">
        <v>914</v>
      </c>
      <c r="G1598" s="244"/>
      <c r="I1598" s="86">
        <v>46183.0</v>
      </c>
      <c r="J1598" s="88">
        <f t="shared" ref="J1598:J1600" si="206">I1598</f>
        <v>46183</v>
      </c>
      <c r="K1598" s="93">
        <v>32.75</v>
      </c>
      <c r="L1598" s="90"/>
      <c r="M1598" s="51"/>
      <c r="N1598" s="86">
        <v>46199.0</v>
      </c>
      <c r="O1598" s="88">
        <f t="shared" ref="O1598:O1599" si="207">N1598</f>
        <v>46199</v>
      </c>
      <c r="P1598" s="93">
        <v>2850.0</v>
      </c>
      <c r="Q1598" s="91" t="s">
        <v>1277</v>
      </c>
    </row>
    <row r="1599" ht="14.25" hidden="1" customHeight="1" outlineLevel="1">
      <c r="A1599" s="102">
        <v>46175.0</v>
      </c>
      <c r="B1599" s="97">
        <f>A1599</f>
        <v>46175</v>
      </c>
      <c r="C1599" s="398">
        <v>0.2916666666666667</v>
      </c>
      <c r="D1599" s="242" t="s">
        <v>236</v>
      </c>
      <c r="E1599" s="275">
        <v>29.0</v>
      </c>
      <c r="F1599" s="242" t="s">
        <v>378</v>
      </c>
      <c r="G1599" s="244"/>
      <c r="I1599" s="86">
        <v>46190.0</v>
      </c>
      <c r="J1599" s="88">
        <f t="shared" si="206"/>
        <v>46190</v>
      </c>
      <c r="K1599" s="93">
        <v>25.0</v>
      </c>
      <c r="L1599" s="90"/>
      <c r="M1599" s="51"/>
      <c r="N1599" s="86">
        <v>46203.0</v>
      </c>
      <c r="O1599" s="88">
        <f t="shared" si="207"/>
        <v>46203</v>
      </c>
      <c r="P1599" s="93">
        <v>2400.0</v>
      </c>
      <c r="Q1599" s="91" t="s">
        <v>1636</v>
      </c>
    </row>
    <row r="1600" ht="14.25" hidden="1" customHeight="1" outlineLevel="1">
      <c r="A1600" s="10"/>
      <c r="B1600" s="10"/>
      <c r="C1600" s="403">
        <v>0.5069444444444444</v>
      </c>
      <c r="D1600" s="242" t="s">
        <v>1521</v>
      </c>
      <c r="E1600" s="275">
        <v>6.0</v>
      </c>
      <c r="F1600" s="242" t="s">
        <v>1465</v>
      </c>
      <c r="G1600" s="244"/>
      <c r="I1600" s="86">
        <v>46203.0</v>
      </c>
      <c r="J1600" s="88">
        <f t="shared" si="206"/>
        <v>46203</v>
      </c>
      <c r="K1600" s="93">
        <v>41.2</v>
      </c>
      <c r="L1600" s="90"/>
      <c r="M1600" s="51"/>
      <c r="N1600" s="86"/>
      <c r="O1600" s="88"/>
      <c r="P1600" s="93">
        <v>0.0</v>
      </c>
      <c r="Q1600" s="91"/>
    </row>
    <row r="1601" ht="14.25" hidden="1" customHeight="1" outlineLevel="1">
      <c r="A1601" s="102">
        <v>46176.0</v>
      </c>
      <c r="B1601" s="97">
        <f>A1601</f>
        <v>46176</v>
      </c>
      <c r="C1601" s="313">
        <v>0.2916666666666667</v>
      </c>
      <c r="D1601" s="242" t="s">
        <v>119</v>
      </c>
      <c r="E1601" s="275">
        <v>40.0</v>
      </c>
      <c r="F1601" s="242" t="s">
        <v>1452</v>
      </c>
      <c r="G1601" s="244"/>
      <c r="I1601" s="86"/>
      <c r="J1601" s="88"/>
      <c r="K1601" s="93"/>
      <c r="L1601" s="90"/>
      <c r="M1601" s="51"/>
      <c r="N1601" s="86"/>
      <c r="O1601" s="88"/>
      <c r="P1601" s="93">
        <v>0.0</v>
      </c>
      <c r="Q1601" s="91"/>
    </row>
    <row r="1602" ht="14.25" hidden="1" customHeight="1" outlineLevel="1">
      <c r="A1602" s="10"/>
      <c r="B1602" s="10"/>
      <c r="C1602" s="313">
        <v>0.5069444444444444</v>
      </c>
      <c r="D1602" s="242"/>
      <c r="E1602" s="275">
        <v>0.0</v>
      </c>
      <c r="F1602" s="242" t="s">
        <v>1638</v>
      </c>
      <c r="G1602" s="244"/>
      <c r="I1602" s="86"/>
      <c r="J1602" s="88"/>
      <c r="K1602" s="92"/>
      <c r="L1602" s="90"/>
      <c r="M1602" s="51"/>
      <c r="N1602" s="165" t="s">
        <v>195</v>
      </c>
      <c r="O1602" s="165"/>
      <c r="P1602" s="291">
        <f>SUM(P1598:P1601)</f>
        <v>5250</v>
      </c>
      <c r="Q1602" s="114"/>
    </row>
    <row r="1603" ht="14.25" hidden="1" customHeight="1" outlineLevel="1">
      <c r="A1603" s="125">
        <v>46177.0</v>
      </c>
      <c r="B1603" s="126">
        <f t="shared" ref="B1603:B1604" si="208">A1603</f>
        <v>46177</v>
      </c>
      <c r="C1603" s="313">
        <v>0.2916666666666667</v>
      </c>
      <c r="D1603" s="242" t="s">
        <v>490</v>
      </c>
      <c r="E1603" s="275">
        <v>902.0</v>
      </c>
      <c r="F1603" s="242" t="s">
        <v>1641</v>
      </c>
      <c r="G1603" s="129" t="s">
        <v>1642</v>
      </c>
      <c r="I1603" s="108" t="s">
        <v>195</v>
      </c>
      <c r="J1603" s="109"/>
      <c r="K1603" s="113">
        <f>SUM(K1598:K1602)</f>
        <v>98.95</v>
      </c>
      <c r="L1603" s="114"/>
      <c r="M1603" s="51"/>
    </row>
    <row r="1604" ht="14.25" hidden="1" customHeight="1" outlineLevel="1">
      <c r="A1604" s="102">
        <v>46178.0</v>
      </c>
      <c r="B1604" s="97">
        <f t="shared" si="208"/>
        <v>46178</v>
      </c>
      <c r="C1604" s="313">
        <v>0.2916666666666667</v>
      </c>
      <c r="D1604" s="242" t="s">
        <v>236</v>
      </c>
      <c r="E1604" s="275">
        <v>178.0</v>
      </c>
      <c r="F1604" s="242" t="s">
        <v>560</v>
      </c>
      <c r="G1604" s="244"/>
      <c r="N1604" s="235" t="s">
        <v>344</v>
      </c>
      <c r="O1604" s="27"/>
      <c r="P1604" s="27"/>
      <c r="Q1604" s="28"/>
    </row>
    <row r="1605" ht="14.25" hidden="1" customHeight="1" outlineLevel="1">
      <c r="A1605" s="10"/>
      <c r="B1605" s="10"/>
      <c r="C1605" s="313">
        <v>0.5069444444444444</v>
      </c>
      <c r="D1605" s="242" t="s">
        <v>1489</v>
      </c>
      <c r="E1605" s="275">
        <v>39.0</v>
      </c>
      <c r="F1605" s="242" t="s">
        <v>1643</v>
      </c>
      <c r="G1605" s="244"/>
      <c r="N1605" s="86">
        <v>46174.0</v>
      </c>
      <c r="O1605" s="88">
        <f>N1605</f>
        <v>46174</v>
      </c>
      <c r="P1605" s="93">
        <v>0.0</v>
      </c>
      <c r="Q1605" s="91"/>
    </row>
    <row r="1606" ht="14.25" hidden="1" customHeight="1" outlineLevel="1">
      <c r="A1606" s="125">
        <v>46179.0</v>
      </c>
      <c r="B1606" s="126">
        <f t="shared" ref="B1606:B1607" si="209">A1606</f>
        <v>46179</v>
      </c>
      <c r="C1606" s="313">
        <v>0.3333333333333333</v>
      </c>
      <c r="D1606" s="242" t="s">
        <v>1251</v>
      </c>
      <c r="E1606" s="275">
        <v>110.0</v>
      </c>
      <c r="F1606" s="242" t="s">
        <v>129</v>
      </c>
      <c r="G1606" s="244"/>
      <c r="N1606" s="86"/>
      <c r="O1606" s="88"/>
      <c r="P1606" s="93">
        <v>0.0</v>
      </c>
      <c r="Q1606" s="91"/>
    </row>
    <row r="1607" ht="14.25" hidden="1" customHeight="1" outlineLevel="1">
      <c r="A1607" s="102">
        <v>46180.0</v>
      </c>
      <c r="B1607" s="97">
        <f t="shared" si="209"/>
        <v>46180</v>
      </c>
      <c r="C1607" s="313">
        <v>0.3333333333333333</v>
      </c>
      <c r="D1607" s="242" t="s">
        <v>490</v>
      </c>
      <c r="E1607" s="275">
        <v>321.0</v>
      </c>
      <c r="F1607" s="242" t="s">
        <v>1430</v>
      </c>
      <c r="G1607" s="244"/>
    </row>
    <row r="1608" ht="14.25" hidden="1" customHeight="1" outlineLevel="1">
      <c r="A1608" s="58"/>
      <c r="B1608" s="58"/>
      <c r="C1608" s="313">
        <v>0.4583333333333333</v>
      </c>
      <c r="D1608" s="242" t="s">
        <v>1251</v>
      </c>
      <c r="E1608" s="275">
        <v>672.0</v>
      </c>
      <c r="F1608" s="242" t="s">
        <v>563</v>
      </c>
      <c r="G1608" s="244"/>
    </row>
    <row r="1609" ht="14.25" hidden="1" customHeight="1" outlineLevel="1">
      <c r="A1609" s="10"/>
      <c r="B1609" s="10"/>
      <c r="C1609" s="313">
        <v>0.7708333333333334</v>
      </c>
      <c r="D1609" s="242" t="s">
        <v>325</v>
      </c>
      <c r="E1609" s="275">
        <v>290.0</v>
      </c>
      <c r="F1609" s="242" t="s">
        <v>1644</v>
      </c>
      <c r="G1609" s="244"/>
    </row>
    <row r="1610" ht="14.25" hidden="1" customHeight="1" outlineLevel="1">
      <c r="A1610" s="102">
        <v>46181.0</v>
      </c>
      <c r="B1610" s="97">
        <f>A1610</f>
        <v>46181</v>
      </c>
      <c r="C1610" s="313">
        <v>0.2916666666666667</v>
      </c>
      <c r="D1610" s="242" t="s">
        <v>1327</v>
      </c>
      <c r="E1610" s="275">
        <v>41.0</v>
      </c>
      <c r="F1610" s="242" t="s">
        <v>303</v>
      </c>
      <c r="G1610" s="244"/>
    </row>
    <row r="1611" ht="14.25" hidden="1" customHeight="1" outlineLevel="1">
      <c r="A1611" s="10"/>
      <c r="B1611" s="10"/>
      <c r="C1611" s="313">
        <v>0.5069444444444444</v>
      </c>
      <c r="D1611" s="242" t="s">
        <v>1489</v>
      </c>
      <c r="E1611" s="275">
        <v>10.0</v>
      </c>
      <c r="F1611" s="242" t="s">
        <v>914</v>
      </c>
      <c r="G1611" s="244"/>
    </row>
    <row r="1612" ht="14.25" hidden="1" customHeight="1" outlineLevel="1">
      <c r="A1612" s="102">
        <v>46182.0</v>
      </c>
      <c r="B1612" s="97">
        <f>A1612</f>
        <v>46182</v>
      </c>
      <c r="C1612" s="398">
        <v>0.2916666666666667</v>
      </c>
      <c r="D1612" s="242" t="s">
        <v>236</v>
      </c>
      <c r="E1612" s="275">
        <v>167.0</v>
      </c>
      <c r="F1612" s="242" t="s">
        <v>1549</v>
      </c>
      <c r="G1612" s="244"/>
    </row>
    <row r="1613" ht="14.25" hidden="1" customHeight="1" outlineLevel="1">
      <c r="A1613" s="10"/>
      <c r="B1613" s="10"/>
      <c r="C1613" s="403">
        <v>0.5069444444444444</v>
      </c>
      <c r="D1613" s="242" t="s">
        <v>1521</v>
      </c>
      <c r="E1613" s="275">
        <v>37.0</v>
      </c>
      <c r="F1613" s="242" t="s">
        <v>1465</v>
      </c>
      <c r="G1613" s="244"/>
    </row>
    <row r="1614" ht="14.25" hidden="1" customHeight="1" outlineLevel="1">
      <c r="A1614" s="102">
        <v>46183.0</v>
      </c>
      <c r="B1614" s="97">
        <f>A1614</f>
        <v>46183</v>
      </c>
      <c r="C1614" s="313">
        <v>0.2916666666666667</v>
      </c>
      <c r="D1614" s="242" t="s">
        <v>119</v>
      </c>
      <c r="E1614" s="275">
        <v>40.0</v>
      </c>
      <c r="F1614" s="242" t="s">
        <v>1452</v>
      </c>
      <c r="G1614" s="244"/>
    </row>
    <row r="1615" ht="14.25" hidden="1" customHeight="1" outlineLevel="1">
      <c r="A1615" s="10"/>
      <c r="B1615" s="10"/>
      <c r="C1615" s="313">
        <v>0.5069444444444444</v>
      </c>
      <c r="D1615" s="242" t="s">
        <v>1489</v>
      </c>
      <c r="E1615" s="275">
        <v>20.0</v>
      </c>
      <c r="F1615" s="242" t="s">
        <v>1215</v>
      </c>
      <c r="G1615" s="244"/>
    </row>
    <row r="1616" ht="14.25" hidden="1" customHeight="1" outlineLevel="1">
      <c r="A1616" s="102">
        <v>46184.0</v>
      </c>
      <c r="B1616" s="97">
        <f>A1616</f>
        <v>46184</v>
      </c>
      <c r="C1616" s="313">
        <v>0.2916666666666667</v>
      </c>
      <c r="D1616" s="242" t="s">
        <v>119</v>
      </c>
      <c r="E1616" s="275">
        <v>78.0</v>
      </c>
      <c r="F1616" s="242" t="s">
        <v>1435</v>
      </c>
      <c r="G1616" s="244"/>
    </row>
    <row r="1617" ht="14.25" hidden="1" customHeight="1" outlineLevel="1">
      <c r="A1617" s="10"/>
      <c r="B1617" s="10"/>
      <c r="C1617" s="313">
        <v>0.5069444444444444</v>
      </c>
      <c r="D1617" s="242" t="s">
        <v>980</v>
      </c>
      <c r="E1617" s="275">
        <v>26.0</v>
      </c>
      <c r="F1617" s="242" t="s">
        <v>1191</v>
      </c>
      <c r="G1617" s="244"/>
    </row>
    <row r="1618" ht="14.25" hidden="1" customHeight="1" outlineLevel="1">
      <c r="A1618" s="102">
        <v>46185.0</v>
      </c>
      <c r="B1618" s="97">
        <f>A1618</f>
        <v>46185</v>
      </c>
      <c r="C1618" s="313">
        <v>0.2916666666666667</v>
      </c>
      <c r="D1618" s="242" t="s">
        <v>656</v>
      </c>
      <c r="E1618" s="275">
        <v>65.0</v>
      </c>
      <c r="F1618" s="242" t="s">
        <v>1645</v>
      </c>
      <c r="G1618" s="244"/>
    </row>
    <row r="1619" ht="14.25" hidden="1" customHeight="1" outlineLevel="1">
      <c r="A1619" s="10"/>
      <c r="B1619" s="10"/>
      <c r="C1619" s="313">
        <v>0.5069444444444444</v>
      </c>
      <c r="D1619" s="242" t="s">
        <v>1064</v>
      </c>
      <c r="E1619" s="275">
        <v>35.0</v>
      </c>
      <c r="F1619" s="242" t="s">
        <v>1006</v>
      </c>
      <c r="G1619" s="244"/>
    </row>
    <row r="1620" ht="14.25" hidden="1" customHeight="1" outlineLevel="1">
      <c r="A1620" s="125">
        <v>46186.0</v>
      </c>
      <c r="B1620" s="126">
        <f t="shared" ref="B1620:B1621" si="210">A1620</f>
        <v>46186</v>
      </c>
      <c r="C1620" s="313">
        <v>0.3333333333333333</v>
      </c>
      <c r="D1620" s="242" t="s">
        <v>656</v>
      </c>
      <c r="E1620" s="275">
        <v>332.0</v>
      </c>
      <c r="F1620" s="242" t="s">
        <v>1448</v>
      </c>
      <c r="G1620" s="244"/>
    </row>
    <row r="1621" ht="14.25" hidden="1" customHeight="1" outlineLevel="1">
      <c r="A1621" s="102">
        <v>46187.0</v>
      </c>
      <c r="B1621" s="97">
        <f t="shared" si="210"/>
        <v>46187</v>
      </c>
      <c r="C1621" s="313">
        <v>0.3333333333333333</v>
      </c>
      <c r="D1621" s="242" t="s">
        <v>490</v>
      </c>
      <c r="E1621" s="275">
        <v>197.0</v>
      </c>
      <c r="F1621" s="242" t="s">
        <v>1430</v>
      </c>
      <c r="G1621" s="244"/>
    </row>
    <row r="1622" ht="14.25" hidden="1" customHeight="1" outlineLevel="1">
      <c r="A1622" s="58"/>
      <c r="B1622" s="58"/>
      <c r="C1622" s="313">
        <v>0.4583333333333333</v>
      </c>
      <c r="D1622" s="242" t="s">
        <v>656</v>
      </c>
      <c r="E1622" s="275">
        <v>600.0</v>
      </c>
      <c r="F1622" s="242" t="s">
        <v>1649</v>
      </c>
      <c r="G1622" s="244"/>
    </row>
    <row r="1623" ht="14.25" hidden="1" customHeight="1" outlineLevel="1">
      <c r="A1623" s="10"/>
      <c r="B1623" s="10"/>
      <c r="C1623" s="313">
        <v>0.7708333333333334</v>
      </c>
      <c r="D1623" s="242" t="s">
        <v>342</v>
      </c>
      <c r="E1623" s="275">
        <v>114.0</v>
      </c>
      <c r="F1623" s="242" t="s">
        <v>940</v>
      </c>
      <c r="G1623" s="244"/>
    </row>
    <row r="1624" ht="14.25" hidden="1" customHeight="1" outlineLevel="1">
      <c r="A1624" s="102">
        <v>46188.0</v>
      </c>
      <c r="B1624" s="97">
        <f>A1624</f>
        <v>46188</v>
      </c>
      <c r="C1624" s="313">
        <v>0.2916666666666667</v>
      </c>
      <c r="D1624" s="242" t="s">
        <v>656</v>
      </c>
      <c r="E1624" s="275">
        <v>158.0</v>
      </c>
      <c r="F1624" s="242" t="s">
        <v>303</v>
      </c>
      <c r="G1624" s="244"/>
    </row>
    <row r="1625" ht="14.25" hidden="1" customHeight="1" outlineLevel="1">
      <c r="A1625" s="10"/>
      <c r="B1625" s="10"/>
      <c r="C1625" s="313">
        <v>0.5069444444444444</v>
      </c>
      <c r="D1625" s="242" t="s">
        <v>1064</v>
      </c>
      <c r="E1625" s="275">
        <v>30.0</v>
      </c>
      <c r="F1625" s="242" t="s">
        <v>914</v>
      </c>
      <c r="G1625" s="244"/>
    </row>
    <row r="1626" ht="14.25" hidden="1" customHeight="1" outlineLevel="1">
      <c r="A1626" s="102">
        <v>46189.0</v>
      </c>
      <c r="B1626" s="97">
        <f>A1626</f>
        <v>46189</v>
      </c>
      <c r="C1626" s="398">
        <v>0.2916666666666667</v>
      </c>
      <c r="D1626" s="242" t="s">
        <v>1521</v>
      </c>
      <c r="E1626" s="275">
        <v>19.0</v>
      </c>
      <c r="F1626" s="242" t="s">
        <v>1465</v>
      </c>
      <c r="G1626" s="244"/>
    </row>
    <row r="1627" ht="14.25" hidden="1" customHeight="1" outlineLevel="1">
      <c r="A1627" s="10"/>
      <c r="B1627" s="10"/>
      <c r="C1627" s="403">
        <v>0.5069444444444444</v>
      </c>
      <c r="D1627" s="242" t="s">
        <v>236</v>
      </c>
      <c r="E1627" s="275">
        <v>39.0</v>
      </c>
      <c r="F1627" s="242" t="s">
        <v>1493</v>
      </c>
      <c r="G1627" s="244"/>
    </row>
    <row r="1628" ht="14.25" hidden="1" customHeight="1" outlineLevel="1">
      <c r="A1628" s="102">
        <v>46190.0</v>
      </c>
      <c r="B1628" s="97">
        <f>A1628</f>
        <v>46190</v>
      </c>
      <c r="C1628" s="313">
        <v>0.2916666666666667</v>
      </c>
      <c r="D1628" s="242" t="s">
        <v>119</v>
      </c>
      <c r="E1628" s="275">
        <v>44.0</v>
      </c>
      <c r="F1628" s="242" t="s">
        <v>1452</v>
      </c>
      <c r="G1628" s="244"/>
    </row>
    <row r="1629" ht="14.25" hidden="1" customHeight="1" outlineLevel="1">
      <c r="A1629" s="10"/>
      <c r="B1629" s="10"/>
      <c r="C1629" s="313">
        <v>0.5069444444444444</v>
      </c>
      <c r="D1629" s="242" t="s">
        <v>1064</v>
      </c>
      <c r="E1629" s="275">
        <v>40.0</v>
      </c>
      <c r="F1629" s="242" t="s">
        <v>1651</v>
      </c>
      <c r="G1629" s="244"/>
    </row>
    <row r="1630" ht="14.25" hidden="1" customHeight="1" outlineLevel="1">
      <c r="A1630" s="102">
        <v>46191.0</v>
      </c>
      <c r="B1630" s="97">
        <f>A1630</f>
        <v>46191</v>
      </c>
      <c r="C1630" s="313">
        <v>0.2916666666666667</v>
      </c>
      <c r="D1630" s="242" t="s">
        <v>119</v>
      </c>
      <c r="E1630" s="275">
        <v>9.0</v>
      </c>
      <c r="F1630" s="242" t="s">
        <v>1493</v>
      </c>
      <c r="G1630" s="244"/>
    </row>
    <row r="1631" ht="14.25" hidden="1" customHeight="1" outlineLevel="1">
      <c r="A1631" s="10"/>
      <c r="B1631" s="10"/>
      <c r="C1631" s="313">
        <v>0.5069444444444444</v>
      </c>
      <c r="D1631" s="242" t="s">
        <v>980</v>
      </c>
      <c r="E1631" s="275">
        <v>70.0</v>
      </c>
      <c r="F1631" s="242" t="s">
        <v>1415</v>
      </c>
      <c r="G1631" s="244"/>
    </row>
    <row r="1632" ht="14.25" hidden="1" customHeight="1" outlineLevel="1">
      <c r="A1632" s="102">
        <v>46192.0</v>
      </c>
      <c r="B1632" s="97">
        <f>A1632</f>
        <v>46192</v>
      </c>
      <c r="C1632" s="313">
        <v>0.2916666666666667</v>
      </c>
      <c r="D1632" s="242" t="s">
        <v>236</v>
      </c>
      <c r="E1632" s="275">
        <v>79.0</v>
      </c>
      <c r="F1632" s="242" t="s">
        <v>1029</v>
      </c>
      <c r="G1632" s="244"/>
    </row>
    <row r="1633" ht="14.25" hidden="1" customHeight="1" outlineLevel="1">
      <c r="A1633" s="10"/>
      <c r="B1633" s="10"/>
      <c r="C1633" s="313">
        <v>0.5069444444444444</v>
      </c>
      <c r="D1633" s="242" t="s">
        <v>1489</v>
      </c>
      <c r="E1633" s="275">
        <v>14.0</v>
      </c>
      <c r="F1633" s="242" t="s">
        <v>1006</v>
      </c>
      <c r="G1633" s="244"/>
    </row>
    <row r="1634" ht="14.25" hidden="1" customHeight="1" outlineLevel="1">
      <c r="A1634" s="125">
        <v>46193.0</v>
      </c>
      <c r="B1634" s="126">
        <f t="shared" ref="B1634:B1635" si="211">A1634</f>
        <v>46193</v>
      </c>
      <c r="C1634" s="313">
        <v>0.3333333333333333</v>
      </c>
      <c r="D1634" s="242" t="s">
        <v>119</v>
      </c>
      <c r="E1634" s="275">
        <v>25.0</v>
      </c>
      <c r="F1634" s="242" t="s">
        <v>1354</v>
      </c>
      <c r="G1634" s="244"/>
    </row>
    <row r="1635" ht="14.25" hidden="1" customHeight="1" outlineLevel="1">
      <c r="A1635" s="102">
        <v>46194.0</v>
      </c>
      <c r="B1635" s="97">
        <f t="shared" si="211"/>
        <v>46194</v>
      </c>
      <c r="C1635" s="313">
        <v>0.3333333333333333</v>
      </c>
      <c r="D1635" s="242" t="s">
        <v>490</v>
      </c>
      <c r="E1635" s="275">
        <v>327.0</v>
      </c>
      <c r="F1635" s="242" t="s">
        <v>1657</v>
      </c>
      <c r="G1635" s="244"/>
    </row>
    <row r="1636" ht="14.25" hidden="1" customHeight="1" outlineLevel="1">
      <c r="A1636" s="58"/>
      <c r="B1636" s="58"/>
      <c r="C1636" s="313">
        <v>0.4583333333333333</v>
      </c>
      <c r="D1636" s="242" t="s">
        <v>1251</v>
      </c>
      <c r="E1636" s="275">
        <v>800.0</v>
      </c>
      <c r="F1636" s="242" t="s">
        <v>580</v>
      </c>
      <c r="G1636" s="244"/>
    </row>
    <row r="1637" ht="14.25" hidden="1" customHeight="1" outlineLevel="1">
      <c r="A1637" s="10"/>
      <c r="B1637" s="10"/>
      <c r="C1637" s="313">
        <v>0.7708333333333334</v>
      </c>
      <c r="D1637" s="242" t="s">
        <v>1660</v>
      </c>
      <c r="E1637" s="275">
        <v>324.0</v>
      </c>
      <c r="F1637" s="242" t="s">
        <v>1661</v>
      </c>
      <c r="G1637" s="244"/>
    </row>
    <row r="1638" ht="14.25" hidden="1" customHeight="1" outlineLevel="1">
      <c r="A1638" s="102">
        <v>46195.0</v>
      </c>
      <c r="B1638" s="97">
        <f>A1638</f>
        <v>46195</v>
      </c>
      <c r="C1638" s="313">
        <v>0.2916666666666667</v>
      </c>
      <c r="D1638" s="242" t="s">
        <v>1327</v>
      </c>
      <c r="E1638" s="275">
        <v>132.0</v>
      </c>
      <c r="F1638" s="242" t="s">
        <v>727</v>
      </c>
      <c r="G1638" s="244"/>
    </row>
    <row r="1639" ht="14.25" hidden="1" customHeight="1" outlineLevel="1">
      <c r="A1639" s="10"/>
      <c r="B1639" s="10"/>
      <c r="C1639" s="313">
        <v>0.5069444444444444</v>
      </c>
      <c r="D1639" s="242" t="s">
        <v>1382</v>
      </c>
      <c r="E1639" s="275">
        <v>39.0</v>
      </c>
      <c r="F1639" s="242" t="s">
        <v>914</v>
      </c>
      <c r="G1639" s="244"/>
    </row>
    <row r="1640" ht="14.25" hidden="1" customHeight="1" outlineLevel="1">
      <c r="A1640" s="102">
        <v>46196.0</v>
      </c>
      <c r="B1640" s="97">
        <f>A1640</f>
        <v>46196</v>
      </c>
      <c r="C1640" s="398">
        <v>0.2916666666666667</v>
      </c>
      <c r="D1640" s="242" t="s">
        <v>236</v>
      </c>
      <c r="E1640" s="275">
        <v>26.0</v>
      </c>
      <c r="F1640" s="242" t="s">
        <v>1662</v>
      </c>
      <c r="G1640" s="244"/>
    </row>
    <row r="1641" ht="14.25" hidden="1" customHeight="1" outlineLevel="1">
      <c r="A1641" s="10"/>
      <c r="B1641" s="10"/>
      <c r="C1641" s="403">
        <v>0.5069444444444444</v>
      </c>
      <c r="D1641" s="242" t="s">
        <v>296</v>
      </c>
      <c r="E1641" s="275">
        <v>50.0</v>
      </c>
      <c r="F1641" s="242" t="s">
        <v>1465</v>
      </c>
      <c r="G1641" s="244"/>
    </row>
    <row r="1642" ht="14.25" hidden="1" customHeight="1" outlineLevel="1">
      <c r="A1642" s="102">
        <v>46197.0</v>
      </c>
      <c r="B1642" s="97">
        <f>A1642</f>
        <v>46197</v>
      </c>
      <c r="C1642" s="313">
        <v>0.2916666666666667</v>
      </c>
      <c r="D1642" s="242" t="s">
        <v>119</v>
      </c>
      <c r="E1642" s="275">
        <v>52.0</v>
      </c>
      <c r="F1642" s="242" t="s">
        <v>1488</v>
      </c>
      <c r="G1642" s="244"/>
    </row>
    <row r="1643" ht="14.25" hidden="1" customHeight="1" outlineLevel="1">
      <c r="A1643" s="10"/>
      <c r="B1643" s="10"/>
      <c r="C1643" s="313">
        <v>0.5069444444444444</v>
      </c>
      <c r="D1643" s="242" t="s">
        <v>1064</v>
      </c>
      <c r="E1643" s="275">
        <v>11.0</v>
      </c>
      <c r="F1643" s="242" t="s">
        <v>1433</v>
      </c>
      <c r="G1643" s="244"/>
    </row>
    <row r="1644" ht="14.25" hidden="1" customHeight="1" outlineLevel="1">
      <c r="A1644" s="102">
        <v>46198.0</v>
      </c>
      <c r="B1644" s="97">
        <f>A1644</f>
        <v>46198</v>
      </c>
      <c r="C1644" s="313">
        <v>0.2916666666666667</v>
      </c>
      <c r="D1644" s="242" t="s">
        <v>119</v>
      </c>
      <c r="E1644" s="275">
        <v>31.0</v>
      </c>
      <c r="F1644" s="242" t="s">
        <v>1435</v>
      </c>
      <c r="G1644" s="244"/>
    </row>
    <row r="1645" ht="14.25" hidden="1" customHeight="1" outlineLevel="1">
      <c r="A1645" s="10"/>
      <c r="B1645" s="10"/>
      <c r="C1645" s="313">
        <v>0.5069444444444444</v>
      </c>
      <c r="D1645" s="242" t="s">
        <v>980</v>
      </c>
      <c r="E1645" s="275">
        <v>9.0</v>
      </c>
      <c r="F1645" s="242" t="s">
        <v>914</v>
      </c>
      <c r="G1645" s="244"/>
    </row>
    <row r="1646" ht="14.25" hidden="1" customHeight="1" outlineLevel="1">
      <c r="A1646" s="102">
        <v>46199.0</v>
      </c>
      <c r="B1646" s="97">
        <f>A1646</f>
        <v>46199</v>
      </c>
      <c r="C1646" s="313">
        <v>0.2916666666666667</v>
      </c>
      <c r="D1646" s="242" t="s">
        <v>236</v>
      </c>
      <c r="E1646" s="275">
        <v>110.0</v>
      </c>
      <c r="F1646" s="242" t="s">
        <v>193</v>
      </c>
      <c r="G1646" s="244"/>
    </row>
    <row r="1647" ht="14.25" hidden="1" customHeight="1" outlineLevel="1">
      <c r="A1647" s="10"/>
      <c r="B1647" s="10"/>
      <c r="C1647" s="313">
        <v>0.5069444444444444</v>
      </c>
      <c r="D1647" s="242" t="s">
        <v>1489</v>
      </c>
      <c r="E1647" s="275">
        <v>40.0</v>
      </c>
      <c r="F1647" s="242" t="s">
        <v>1665</v>
      </c>
      <c r="G1647" s="244"/>
    </row>
    <row r="1648" ht="14.25" hidden="1" customHeight="1" outlineLevel="1">
      <c r="A1648" s="125">
        <v>46200.0</v>
      </c>
      <c r="B1648" s="126">
        <f t="shared" ref="B1648:B1649" si="212">A1648</f>
        <v>46200</v>
      </c>
      <c r="C1648" s="313">
        <v>0.3333333333333333</v>
      </c>
      <c r="D1648" s="242" t="s">
        <v>119</v>
      </c>
      <c r="E1648" s="275">
        <v>82.0</v>
      </c>
      <c r="F1648" s="242" t="s">
        <v>1568</v>
      </c>
      <c r="G1648" s="244"/>
    </row>
    <row r="1649" ht="14.25" hidden="1" customHeight="1" outlineLevel="1">
      <c r="A1649" s="102">
        <v>46201.0</v>
      </c>
      <c r="B1649" s="97">
        <f t="shared" si="212"/>
        <v>46201</v>
      </c>
      <c r="C1649" s="313">
        <v>0.3333333333333333</v>
      </c>
      <c r="D1649" s="242" t="s">
        <v>1669</v>
      </c>
      <c r="E1649" s="275">
        <v>290.0</v>
      </c>
      <c r="F1649" s="242" t="s">
        <v>1671</v>
      </c>
      <c r="G1649" s="244"/>
    </row>
    <row r="1650" ht="14.25" hidden="1" customHeight="1" outlineLevel="1">
      <c r="A1650" s="58"/>
      <c r="B1650" s="58"/>
      <c r="C1650" s="313">
        <v>0.4583333333333333</v>
      </c>
      <c r="D1650" s="242" t="s">
        <v>980</v>
      </c>
      <c r="E1650" s="275">
        <v>1225.0</v>
      </c>
      <c r="F1650" s="242" t="s">
        <v>1615</v>
      </c>
      <c r="G1650" s="244"/>
    </row>
    <row r="1651" ht="14.25" hidden="1" customHeight="1" outlineLevel="1">
      <c r="A1651" s="10"/>
      <c r="B1651" s="10"/>
      <c r="C1651" s="313">
        <v>0.7708333333333334</v>
      </c>
      <c r="D1651" s="242" t="s">
        <v>1605</v>
      </c>
      <c r="E1651" s="275">
        <v>553.0</v>
      </c>
      <c r="F1651" s="242" t="s">
        <v>1672</v>
      </c>
      <c r="G1651" s="244"/>
    </row>
    <row r="1652" ht="14.25" hidden="1" customHeight="1" outlineLevel="1">
      <c r="A1652" s="102">
        <v>46202.0</v>
      </c>
      <c r="B1652" s="97">
        <f>A1652</f>
        <v>46202</v>
      </c>
      <c r="C1652" s="313">
        <v>0.2916666666666667</v>
      </c>
      <c r="D1652" s="242" t="s">
        <v>1327</v>
      </c>
      <c r="E1652" s="275">
        <v>168.0</v>
      </c>
      <c r="F1652" s="242" t="s">
        <v>909</v>
      </c>
      <c r="G1652" s="244"/>
    </row>
    <row r="1653" ht="14.25" hidden="1" customHeight="1" outlineLevel="1">
      <c r="A1653" s="10"/>
      <c r="B1653" s="10"/>
      <c r="C1653" s="313">
        <v>0.5069444444444444</v>
      </c>
      <c r="D1653" s="242" t="s">
        <v>1489</v>
      </c>
      <c r="E1653" s="275">
        <v>30.0</v>
      </c>
      <c r="F1653" s="242" t="s">
        <v>1674</v>
      </c>
      <c r="G1653" s="244"/>
    </row>
    <row r="1654" ht="14.25" hidden="1" customHeight="1" outlineLevel="1">
      <c r="A1654" s="102">
        <v>46203.0</v>
      </c>
      <c r="B1654" s="97">
        <f>A1654</f>
        <v>46203</v>
      </c>
      <c r="C1654" s="398">
        <v>0.2916666666666667</v>
      </c>
      <c r="D1654" s="242" t="s">
        <v>236</v>
      </c>
      <c r="E1654" s="275">
        <v>84.0</v>
      </c>
      <c r="F1654" s="242" t="s">
        <v>1675</v>
      </c>
      <c r="G1654" s="244"/>
    </row>
    <row r="1655" ht="14.25" hidden="1" customHeight="1" outlineLevel="1">
      <c r="A1655" s="10"/>
      <c r="B1655" s="10"/>
      <c r="C1655" s="403">
        <v>0.5069444444444444</v>
      </c>
      <c r="D1655" s="242" t="s">
        <v>1521</v>
      </c>
      <c r="E1655" s="275">
        <v>5.0</v>
      </c>
      <c r="F1655" s="242" t="s">
        <v>1676</v>
      </c>
      <c r="G1655" s="244"/>
    </row>
    <row r="1656" ht="14.25" customHeight="1">
      <c r="A1656" s="117" t="s">
        <v>195</v>
      </c>
      <c r="B1656" s="27"/>
      <c r="C1656" s="27"/>
      <c r="D1656" s="28"/>
      <c r="E1656" s="312">
        <f>SUM(E1597:E1655)</f>
        <v>9348</v>
      </c>
      <c r="F1656" s="335"/>
      <c r="G1656" s="332"/>
    </row>
    <row r="1657" ht="14.25" customHeight="1">
      <c r="A1657" s="329"/>
      <c r="B1657" s="330"/>
      <c r="C1657" s="331"/>
      <c r="D1657" s="335"/>
      <c r="E1657" s="336"/>
      <c r="F1657" s="335"/>
      <c r="G1657" s="332"/>
    </row>
    <row r="1658" ht="14.25" customHeight="1" collapsed="1">
      <c r="A1658" s="339" t="s">
        <v>1678</v>
      </c>
      <c r="B1658" s="246"/>
      <c r="C1658" s="246"/>
      <c r="D1658" s="246"/>
      <c r="E1658" s="246"/>
      <c r="F1658" s="246"/>
      <c r="G1658" s="246"/>
      <c r="H1658" s="246"/>
      <c r="I1658" s="246"/>
      <c r="J1658" s="246"/>
      <c r="K1658" s="246"/>
      <c r="L1658" s="246"/>
      <c r="M1658" s="246"/>
      <c r="N1658" s="246"/>
      <c r="O1658" s="246"/>
      <c r="P1658" s="246"/>
      <c r="Q1658" s="247"/>
    </row>
    <row r="1659" ht="14.25" hidden="1" customHeight="1" outlineLevel="1">
      <c r="A1659" s="102">
        <v>46204.0</v>
      </c>
      <c r="B1659" s="97">
        <f>A1659</f>
        <v>46204</v>
      </c>
      <c r="C1659" s="313">
        <v>0.2916666666666667</v>
      </c>
      <c r="D1659" s="242" t="s">
        <v>119</v>
      </c>
      <c r="E1659" s="275">
        <v>38.0</v>
      </c>
      <c r="F1659" s="242" t="s">
        <v>324</v>
      </c>
      <c r="G1659" s="244"/>
      <c r="I1659" s="235" t="s">
        <v>91</v>
      </c>
      <c r="J1659" s="27"/>
      <c r="K1659" s="27"/>
      <c r="L1659" s="28"/>
      <c r="N1659" s="235" t="s">
        <v>992</v>
      </c>
      <c r="O1659" s="27"/>
      <c r="P1659" s="27"/>
      <c r="Q1659" s="28"/>
    </row>
    <row r="1660" ht="14.25" hidden="1" customHeight="1" outlineLevel="1">
      <c r="A1660" s="10"/>
      <c r="B1660" s="10"/>
      <c r="C1660" s="313">
        <v>0.5069444444444444</v>
      </c>
      <c r="D1660" s="242" t="s">
        <v>1064</v>
      </c>
      <c r="E1660" s="275">
        <v>89.0</v>
      </c>
      <c r="F1660" s="242" t="s">
        <v>1651</v>
      </c>
      <c r="G1660" s="244"/>
      <c r="I1660" s="86">
        <v>46216.0</v>
      </c>
      <c r="J1660" s="88">
        <f t="shared" ref="J1660:J1661" si="213">I1660</f>
        <v>46216</v>
      </c>
      <c r="K1660" s="93">
        <v>24.85</v>
      </c>
      <c r="L1660" s="90"/>
      <c r="M1660" s="51"/>
      <c r="N1660" s="86">
        <v>46234.0</v>
      </c>
      <c r="O1660" s="88">
        <f t="shared" ref="O1660:O1661" si="214">N1660</f>
        <v>46234</v>
      </c>
      <c r="P1660" s="93">
        <v>3450.0</v>
      </c>
      <c r="Q1660" s="91" t="s">
        <v>1680</v>
      </c>
    </row>
    <row r="1661" ht="14.25" hidden="1" customHeight="1" outlineLevel="1">
      <c r="A1661" s="102">
        <v>46205.0</v>
      </c>
      <c r="B1661" s="97">
        <f>A1661</f>
        <v>46205</v>
      </c>
      <c r="C1661" s="313">
        <v>0.2916666666666667</v>
      </c>
      <c r="D1661" s="242" t="s">
        <v>119</v>
      </c>
      <c r="E1661" s="275">
        <v>38.0</v>
      </c>
      <c r="F1661" s="242" t="s">
        <v>1493</v>
      </c>
      <c r="G1661" s="244"/>
      <c r="I1661" s="86">
        <v>46232.0</v>
      </c>
      <c r="J1661" s="88">
        <f t="shared" si="213"/>
        <v>46232</v>
      </c>
      <c r="K1661" s="93">
        <v>20.0</v>
      </c>
      <c r="L1661" s="90"/>
      <c r="M1661" s="51"/>
      <c r="N1661" s="86">
        <v>46234.0</v>
      </c>
      <c r="O1661" s="88">
        <f t="shared" si="214"/>
        <v>46234</v>
      </c>
      <c r="P1661" s="93">
        <v>2700.0</v>
      </c>
      <c r="Q1661" s="91" t="s">
        <v>1681</v>
      </c>
    </row>
    <row r="1662" ht="14.25" hidden="1" customHeight="1" outlineLevel="1">
      <c r="A1662" s="10"/>
      <c r="B1662" s="10"/>
      <c r="C1662" s="313">
        <v>0.5069444444444444</v>
      </c>
      <c r="D1662" s="242" t="s">
        <v>980</v>
      </c>
      <c r="E1662" s="275">
        <v>0.0</v>
      </c>
      <c r="F1662" s="242" t="s">
        <v>1638</v>
      </c>
      <c r="G1662" s="244"/>
      <c r="I1662" s="86"/>
      <c r="J1662" s="88"/>
      <c r="K1662" s="93"/>
      <c r="L1662" s="90"/>
      <c r="M1662" s="51"/>
      <c r="N1662" s="86"/>
      <c r="O1662" s="88"/>
      <c r="P1662" s="93">
        <v>0.0</v>
      </c>
      <c r="Q1662" s="91"/>
    </row>
    <row r="1663" ht="14.25" hidden="1" customHeight="1" outlineLevel="1">
      <c r="A1663" s="102">
        <v>46206.0</v>
      </c>
      <c r="B1663" s="97">
        <f>A1663</f>
        <v>46206</v>
      </c>
      <c r="C1663" s="313">
        <v>0.2916666666666667</v>
      </c>
      <c r="D1663" s="242" t="s">
        <v>236</v>
      </c>
      <c r="E1663" s="275">
        <v>134.0</v>
      </c>
      <c r="F1663" s="242" t="s">
        <v>1029</v>
      </c>
      <c r="G1663" s="244"/>
      <c r="I1663" s="86"/>
      <c r="J1663" s="88"/>
      <c r="K1663" s="93"/>
      <c r="L1663" s="90"/>
      <c r="M1663" s="51"/>
      <c r="N1663" s="86"/>
      <c r="O1663" s="88"/>
      <c r="P1663" s="93">
        <v>0.0</v>
      </c>
      <c r="Q1663" s="91"/>
    </row>
    <row r="1664" ht="14.25" hidden="1" customHeight="1" outlineLevel="1">
      <c r="A1664" s="10"/>
      <c r="B1664" s="10"/>
      <c r="C1664" s="313">
        <v>0.5069444444444444</v>
      </c>
      <c r="D1664" s="242" t="s">
        <v>1489</v>
      </c>
      <c r="E1664" s="275">
        <v>39.0</v>
      </c>
      <c r="F1664" s="242" t="s">
        <v>1215</v>
      </c>
      <c r="G1664" s="244"/>
      <c r="I1664" s="86"/>
      <c r="J1664" s="88"/>
      <c r="K1664" s="92"/>
      <c r="L1664" s="90"/>
      <c r="M1664" s="51"/>
      <c r="N1664" s="165" t="s">
        <v>195</v>
      </c>
      <c r="O1664" s="165"/>
      <c r="P1664" s="291">
        <f>SUM(P1660:P1663)</f>
        <v>6150</v>
      </c>
      <c r="Q1664" s="114"/>
    </row>
    <row r="1665" ht="14.25" hidden="1" customHeight="1" outlineLevel="1">
      <c r="A1665" s="125">
        <v>46207.0</v>
      </c>
      <c r="B1665" s="126">
        <f t="shared" ref="B1665:B1666" si="215">A1665</f>
        <v>46207</v>
      </c>
      <c r="C1665" s="313">
        <v>0.3333333333333333</v>
      </c>
      <c r="D1665" s="242" t="s">
        <v>1327</v>
      </c>
      <c r="E1665" s="275">
        <v>221.0</v>
      </c>
      <c r="F1665" s="242" t="s">
        <v>1684</v>
      </c>
      <c r="G1665" s="244"/>
      <c r="I1665" s="108" t="s">
        <v>195</v>
      </c>
      <c r="J1665" s="109"/>
      <c r="K1665" s="113">
        <f>SUM(K1660:K1664)</f>
        <v>44.85</v>
      </c>
      <c r="L1665" s="114"/>
      <c r="M1665" s="51"/>
    </row>
    <row r="1666" ht="14.25" hidden="1" customHeight="1" outlineLevel="1">
      <c r="A1666" s="102">
        <v>46208.0</v>
      </c>
      <c r="B1666" s="97">
        <f t="shared" si="215"/>
        <v>46208</v>
      </c>
      <c r="C1666" s="313">
        <v>0.3333333333333333</v>
      </c>
      <c r="D1666" s="242" t="s">
        <v>1685</v>
      </c>
      <c r="E1666" s="275">
        <v>645.0</v>
      </c>
      <c r="F1666" s="242" t="s">
        <v>1686</v>
      </c>
      <c r="G1666" s="244"/>
      <c r="N1666" s="235" t="s">
        <v>344</v>
      </c>
      <c r="O1666" s="27"/>
      <c r="P1666" s="27"/>
      <c r="Q1666" s="28"/>
    </row>
    <row r="1667" ht="14.25" hidden="1" customHeight="1" outlineLevel="1">
      <c r="A1667" s="58"/>
      <c r="B1667" s="58"/>
      <c r="C1667" s="313">
        <v>0.4583333333333333</v>
      </c>
      <c r="D1667" s="242" t="s">
        <v>1251</v>
      </c>
      <c r="E1667" s="275">
        <v>820.0</v>
      </c>
      <c r="F1667" s="242" t="s">
        <v>1688</v>
      </c>
      <c r="G1667" s="244"/>
      <c r="N1667" s="86">
        <v>46174.0</v>
      </c>
      <c r="O1667" s="88">
        <f>N1667</f>
        <v>46174</v>
      </c>
      <c r="P1667" s="93">
        <v>0.0</v>
      </c>
      <c r="Q1667" s="91"/>
    </row>
    <row r="1668" ht="14.25" hidden="1" customHeight="1" outlineLevel="1">
      <c r="A1668" s="10"/>
      <c r="B1668" s="10"/>
      <c r="C1668" s="313">
        <v>0.7708333333333334</v>
      </c>
      <c r="D1668" s="242" t="s">
        <v>1638</v>
      </c>
      <c r="E1668" s="275">
        <v>0.0</v>
      </c>
      <c r="F1668" s="242" t="s">
        <v>1638</v>
      </c>
      <c r="G1668" s="242" t="s">
        <v>1689</v>
      </c>
      <c r="N1668" s="86"/>
      <c r="O1668" s="88"/>
      <c r="P1668" s="93">
        <v>0.0</v>
      </c>
      <c r="Q1668" s="91"/>
    </row>
    <row r="1669" ht="14.25" hidden="1" customHeight="1" outlineLevel="1">
      <c r="A1669" s="102">
        <v>46209.0</v>
      </c>
      <c r="B1669" s="97">
        <f>A1669</f>
        <v>46209</v>
      </c>
      <c r="C1669" s="313">
        <v>0.2916666666666667</v>
      </c>
      <c r="D1669" s="242" t="s">
        <v>1327</v>
      </c>
      <c r="E1669" s="275">
        <v>60.0</v>
      </c>
      <c r="F1669" s="242" t="s">
        <v>1690</v>
      </c>
      <c r="G1669" s="244"/>
    </row>
    <row r="1670" ht="14.25" hidden="1" customHeight="1" outlineLevel="1">
      <c r="A1670" s="10"/>
      <c r="B1670" s="10"/>
      <c r="C1670" s="313">
        <v>0.5069444444444444</v>
      </c>
      <c r="D1670" s="242" t="s">
        <v>1489</v>
      </c>
      <c r="E1670" s="275">
        <v>29.0</v>
      </c>
      <c r="F1670" s="242" t="s">
        <v>1674</v>
      </c>
      <c r="G1670" s="244"/>
    </row>
    <row r="1671" ht="14.25" hidden="1" customHeight="1" outlineLevel="1">
      <c r="A1671" s="102">
        <v>46210.0</v>
      </c>
      <c r="B1671" s="97">
        <f>A1671</f>
        <v>46210</v>
      </c>
      <c r="C1671" s="398">
        <v>0.2916666666666667</v>
      </c>
      <c r="D1671" s="242" t="s">
        <v>236</v>
      </c>
      <c r="E1671" s="275">
        <v>7.0</v>
      </c>
      <c r="F1671" s="242" t="s">
        <v>1159</v>
      </c>
      <c r="G1671" s="244"/>
    </row>
    <row r="1672" ht="14.25" hidden="1" customHeight="1" outlineLevel="1">
      <c r="A1672" s="10"/>
      <c r="B1672" s="10"/>
      <c r="C1672" s="403">
        <v>0.5069444444444444</v>
      </c>
      <c r="D1672" s="242" t="s">
        <v>1521</v>
      </c>
      <c r="E1672" s="275">
        <v>0.0</v>
      </c>
      <c r="F1672" s="242" t="s">
        <v>1465</v>
      </c>
      <c r="G1672" s="244"/>
    </row>
    <row r="1673" ht="14.25" hidden="1" customHeight="1" outlineLevel="1">
      <c r="A1673" s="102">
        <v>46211.0</v>
      </c>
      <c r="B1673" s="97">
        <f>A1673</f>
        <v>46211</v>
      </c>
      <c r="C1673" s="313">
        <v>0.2916666666666667</v>
      </c>
      <c r="D1673" s="242" t="s">
        <v>119</v>
      </c>
      <c r="E1673" s="275">
        <v>0.0</v>
      </c>
      <c r="F1673" s="242" t="s">
        <v>1452</v>
      </c>
      <c r="G1673" s="244"/>
    </row>
    <row r="1674" ht="14.25" hidden="1" customHeight="1" outlineLevel="1">
      <c r="A1674" s="10"/>
      <c r="B1674" s="10"/>
      <c r="C1674" s="313">
        <v>0.5069444444444444</v>
      </c>
      <c r="D1674" s="242" t="s">
        <v>1064</v>
      </c>
      <c r="E1674" s="275">
        <v>60.0</v>
      </c>
      <c r="F1674" s="242" t="s">
        <v>1082</v>
      </c>
      <c r="G1674" s="244"/>
    </row>
    <row r="1675" ht="14.25" hidden="1" customHeight="1" outlineLevel="1">
      <c r="A1675" s="102">
        <v>46212.0</v>
      </c>
      <c r="B1675" s="97">
        <f>A1675</f>
        <v>46212</v>
      </c>
      <c r="C1675" s="313">
        <v>0.2916666666666667</v>
      </c>
      <c r="D1675" s="242" t="s">
        <v>119</v>
      </c>
      <c r="E1675" s="275">
        <v>31.0</v>
      </c>
      <c r="F1675" s="242" t="s">
        <v>758</v>
      </c>
      <c r="G1675" s="244"/>
    </row>
    <row r="1676" ht="14.25" hidden="1" customHeight="1" outlineLevel="1">
      <c r="A1676" s="10"/>
      <c r="B1676" s="10"/>
      <c r="C1676" s="313">
        <v>0.5069444444444444</v>
      </c>
      <c r="D1676" s="242" t="s">
        <v>1251</v>
      </c>
      <c r="E1676" s="275">
        <v>40.0</v>
      </c>
      <c r="F1676" s="242" t="s">
        <v>1693</v>
      </c>
      <c r="G1676" s="244"/>
    </row>
    <row r="1677" ht="14.25" hidden="1" customHeight="1" outlineLevel="1">
      <c r="A1677" s="102">
        <v>46213.0</v>
      </c>
      <c r="B1677" s="97">
        <f>A1677</f>
        <v>46213</v>
      </c>
      <c r="C1677" s="313">
        <v>0.2916666666666667</v>
      </c>
      <c r="D1677" s="242" t="s">
        <v>1329</v>
      </c>
      <c r="E1677" s="275">
        <v>27.0</v>
      </c>
      <c r="F1677" s="242" t="s">
        <v>1029</v>
      </c>
      <c r="G1677" s="244"/>
    </row>
    <row r="1678" ht="14.25" hidden="1" customHeight="1" outlineLevel="1">
      <c r="A1678" s="10"/>
      <c r="B1678" s="10"/>
      <c r="C1678" s="313">
        <v>0.5069444444444444</v>
      </c>
      <c r="D1678" s="242" t="s">
        <v>1489</v>
      </c>
      <c r="E1678" s="275">
        <v>32.0</v>
      </c>
      <c r="F1678" s="242" t="s">
        <v>1006</v>
      </c>
      <c r="G1678" s="244"/>
    </row>
    <row r="1679" ht="14.25" hidden="1" customHeight="1" outlineLevel="1">
      <c r="A1679" s="125">
        <v>46214.0</v>
      </c>
      <c r="B1679" s="126">
        <f t="shared" ref="B1679:B1680" si="216">A1679</f>
        <v>46214</v>
      </c>
      <c r="C1679" s="313">
        <v>0.3333333333333333</v>
      </c>
      <c r="D1679" s="242" t="s">
        <v>119</v>
      </c>
      <c r="E1679" s="275">
        <v>83.0</v>
      </c>
      <c r="F1679" s="242" t="s">
        <v>1694</v>
      </c>
      <c r="G1679" s="244"/>
    </row>
    <row r="1680" ht="14.25" hidden="1" customHeight="1" outlineLevel="1">
      <c r="A1680" s="102">
        <v>46215.0</v>
      </c>
      <c r="B1680" s="97">
        <f t="shared" si="216"/>
        <v>46215</v>
      </c>
      <c r="C1680" s="313">
        <v>0.3333333333333333</v>
      </c>
      <c r="D1680" s="242" t="s">
        <v>974</v>
      </c>
      <c r="E1680" s="275">
        <v>380.0</v>
      </c>
      <c r="F1680" s="242" t="s">
        <v>1379</v>
      </c>
      <c r="G1680" s="244"/>
    </row>
    <row r="1681" ht="14.25" hidden="1" customHeight="1" outlineLevel="1">
      <c r="A1681" s="58"/>
      <c r="B1681" s="58"/>
      <c r="C1681" s="313">
        <v>0.4583333333333333</v>
      </c>
      <c r="D1681" s="242" t="s">
        <v>980</v>
      </c>
      <c r="E1681" s="275">
        <v>360.0</v>
      </c>
      <c r="F1681" s="242" t="s">
        <v>1696</v>
      </c>
      <c r="G1681" s="244"/>
    </row>
    <row r="1682" ht="14.25" hidden="1" customHeight="1" outlineLevel="1">
      <c r="A1682" s="10"/>
      <c r="B1682" s="10"/>
      <c r="C1682" s="313">
        <v>0.7708333333333334</v>
      </c>
      <c r="D1682" s="242" t="s">
        <v>342</v>
      </c>
      <c r="E1682" s="275">
        <v>250.0</v>
      </c>
      <c r="F1682" s="242" t="s">
        <v>1217</v>
      </c>
      <c r="G1682" s="244"/>
    </row>
    <row r="1683" ht="14.25" hidden="1" customHeight="1" outlineLevel="1">
      <c r="A1683" s="102">
        <v>46216.0</v>
      </c>
      <c r="B1683" s="97">
        <f>A1683</f>
        <v>46216</v>
      </c>
      <c r="C1683" s="313">
        <v>0.2916666666666667</v>
      </c>
      <c r="D1683" s="242" t="s">
        <v>1327</v>
      </c>
      <c r="E1683" s="275">
        <v>21.0</v>
      </c>
      <c r="F1683" s="242" t="s">
        <v>303</v>
      </c>
      <c r="G1683" s="244"/>
    </row>
    <row r="1684" ht="14.25" hidden="1" customHeight="1" outlineLevel="1">
      <c r="A1684" s="10"/>
      <c r="B1684" s="10"/>
      <c r="C1684" s="313">
        <v>0.5069444444444444</v>
      </c>
      <c r="D1684" s="242" t="s">
        <v>1064</v>
      </c>
      <c r="E1684" s="275">
        <v>131.0</v>
      </c>
      <c r="F1684" s="242" t="s">
        <v>1697</v>
      </c>
      <c r="G1684" s="244"/>
    </row>
    <row r="1685" ht="14.25" hidden="1" customHeight="1" outlineLevel="1">
      <c r="A1685" s="102">
        <v>46217.0</v>
      </c>
      <c r="B1685" s="97">
        <f>A1685</f>
        <v>46217</v>
      </c>
      <c r="C1685" s="398">
        <v>0.2916666666666667</v>
      </c>
      <c r="D1685" s="242" t="s">
        <v>236</v>
      </c>
      <c r="E1685" s="275">
        <v>18.0</v>
      </c>
      <c r="F1685" s="242" t="s">
        <v>1159</v>
      </c>
      <c r="G1685" s="244"/>
    </row>
    <row r="1686" ht="14.25" hidden="1" customHeight="1" outlineLevel="1">
      <c r="A1686" s="10"/>
      <c r="B1686" s="10"/>
      <c r="C1686" s="403">
        <v>0.5069444444444444</v>
      </c>
      <c r="D1686" s="242" t="s">
        <v>1521</v>
      </c>
      <c r="E1686" s="275">
        <v>9.0</v>
      </c>
      <c r="F1686" s="242" t="s">
        <v>1699</v>
      </c>
      <c r="G1686" s="244"/>
    </row>
    <row r="1687" ht="14.25" hidden="1" customHeight="1" outlineLevel="1">
      <c r="A1687" s="102">
        <v>46218.0</v>
      </c>
      <c r="B1687" s="97">
        <f>A1687</f>
        <v>46218</v>
      </c>
      <c r="C1687" s="313">
        <v>0.2916666666666667</v>
      </c>
      <c r="D1687" s="242" t="s">
        <v>119</v>
      </c>
      <c r="E1687" s="275">
        <v>25.0</v>
      </c>
      <c r="F1687" s="242" t="s">
        <v>1466</v>
      </c>
      <c r="G1687" s="244"/>
    </row>
    <row r="1688" ht="14.25" hidden="1" customHeight="1" outlineLevel="1">
      <c r="A1688" s="10"/>
      <c r="B1688" s="10"/>
      <c r="C1688" s="313">
        <v>0.5069444444444444</v>
      </c>
      <c r="D1688" s="242" t="s">
        <v>1064</v>
      </c>
      <c r="E1688" s="275">
        <v>95.0</v>
      </c>
      <c r="F1688" s="242" t="s">
        <v>1099</v>
      </c>
      <c r="G1688" s="244"/>
    </row>
    <row r="1689" ht="14.25" hidden="1" customHeight="1" outlineLevel="1">
      <c r="A1689" s="102">
        <v>46219.0</v>
      </c>
      <c r="B1689" s="97">
        <f>A1689</f>
        <v>46219</v>
      </c>
      <c r="C1689" s="313">
        <v>0.2916666666666667</v>
      </c>
      <c r="D1689" s="242" t="s">
        <v>119</v>
      </c>
      <c r="E1689" s="275">
        <v>27.0</v>
      </c>
      <c r="F1689" s="242" t="s">
        <v>1283</v>
      </c>
      <c r="G1689" s="244"/>
    </row>
    <row r="1690" ht="14.25" hidden="1" customHeight="1" outlineLevel="1">
      <c r="A1690" s="58"/>
      <c r="B1690" s="58"/>
      <c r="C1690" s="313">
        <v>0.5069444444444444</v>
      </c>
      <c r="D1690" s="242" t="s">
        <v>980</v>
      </c>
      <c r="E1690" s="275">
        <v>135.0</v>
      </c>
      <c r="F1690" s="242" t="s">
        <v>1436</v>
      </c>
      <c r="G1690" s="244"/>
    </row>
    <row r="1691" ht="14.25" hidden="1" customHeight="1" outlineLevel="1">
      <c r="A1691" s="10"/>
      <c r="B1691" s="10"/>
      <c r="C1691" s="313">
        <v>0.7916666666666666</v>
      </c>
      <c r="D1691" s="242" t="s">
        <v>1701</v>
      </c>
      <c r="E1691" s="275">
        <v>279.0</v>
      </c>
      <c r="F1691" s="242" t="s">
        <v>1395</v>
      </c>
      <c r="G1691" s="244"/>
    </row>
    <row r="1692" ht="14.25" hidden="1" customHeight="1" outlineLevel="1">
      <c r="A1692" s="102">
        <v>46220.0</v>
      </c>
      <c r="B1692" s="97">
        <f>A1692</f>
        <v>46220</v>
      </c>
      <c r="C1692" s="313">
        <v>0.2916666666666667</v>
      </c>
      <c r="D1692" s="242" t="s">
        <v>1327</v>
      </c>
      <c r="E1692" s="275">
        <v>98.0</v>
      </c>
      <c r="F1692" s="242" t="s">
        <v>1703</v>
      </c>
      <c r="G1692" s="244"/>
    </row>
    <row r="1693" ht="14.25" hidden="1" customHeight="1" outlineLevel="1">
      <c r="A1693" s="10"/>
      <c r="B1693" s="10"/>
      <c r="C1693" s="313">
        <v>0.5069444444444444</v>
      </c>
      <c r="D1693" s="242" t="s">
        <v>1489</v>
      </c>
      <c r="E1693" s="275">
        <v>4.0</v>
      </c>
      <c r="F1693" s="242" t="s">
        <v>1006</v>
      </c>
      <c r="G1693" s="244"/>
    </row>
    <row r="1694" ht="14.25" hidden="1" customHeight="1" outlineLevel="1">
      <c r="A1694" s="125">
        <v>46221.0</v>
      </c>
      <c r="B1694" s="126">
        <f t="shared" ref="B1694:B1695" si="217">A1694</f>
        <v>46221</v>
      </c>
      <c r="C1694" s="313">
        <v>0.3333333333333333</v>
      </c>
      <c r="D1694" s="242" t="s">
        <v>119</v>
      </c>
      <c r="E1694" s="275">
        <v>188.0</v>
      </c>
      <c r="F1694" s="242" t="s">
        <v>1354</v>
      </c>
      <c r="G1694" s="244"/>
    </row>
    <row r="1695" ht="14.25" hidden="1" customHeight="1" outlineLevel="1">
      <c r="A1695" s="102">
        <v>46222.0</v>
      </c>
      <c r="B1695" s="97">
        <f t="shared" si="217"/>
        <v>46222</v>
      </c>
      <c r="C1695" s="313">
        <v>0.3333333333333333</v>
      </c>
      <c r="D1695" s="242" t="s">
        <v>1327</v>
      </c>
      <c r="E1695" s="275">
        <v>733.0</v>
      </c>
      <c r="F1695" s="242" t="s">
        <v>436</v>
      </c>
      <c r="G1695" s="244"/>
    </row>
    <row r="1696" ht="14.25" hidden="1" customHeight="1" outlineLevel="1">
      <c r="A1696" s="58"/>
      <c r="B1696" s="58"/>
      <c r="C1696" s="313">
        <v>0.4583333333333333</v>
      </c>
      <c r="D1696" s="242" t="s">
        <v>1251</v>
      </c>
      <c r="E1696" s="275">
        <v>440.0</v>
      </c>
      <c r="F1696" s="242" t="s">
        <v>1705</v>
      </c>
      <c r="G1696" s="244"/>
    </row>
    <row r="1697" ht="14.25" hidden="1" customHeight="1" outlineLevel="1">
      <c r="A1697" s="10"/>
      <c r="B1697" s="10"/>
      <c r="C1697" s="313">
        <v>0.7708333333333334</v>
      </c>
      <c r="D1697" s="242" t="s">
        <v>1706</v>
      </c>
      <c r="E1697" s="275">
        <v>32.0</v>
      </c>
      <c r="F1697" s="242" t="s">
        <v>428</v>
      </c>
      <c r="G1697" s="244"/>
    </row>
    <row r="1698" ht="14.25" hidden="1" customHeight="1" outlineLevel="1">
      <c r="A1698" s="102">
        <v>46223.0</v>
      </c>
      <c r="B1698" s="97">
        <f>A1698</f>
        <v>46223</v>
      </c>
      <c r="C1698" s="313">
        <v>0.2916666666666667</v>
      </c>
      <c r="D1698" s="242" t="s">
        <v>1327</v>
      </c>
      <c r="E1698" s="275">
        <v>6.0</v>
      </c>
      <c r="F1698" s="242" t="s">
        <v>1707</v>
      </c>
      <c r="G1698" s="244"/>
    </row>
    <row r="1699" ht="14.25" hidden="1" customHeight="1" outlineLevel="1">
      <c r="A1699" s="10"/>
      <c r="B1699" s="10"/>
      <c r="C1699" s="313">
        <v>0.5069444444444444</v>
      </c>
      <c r="D1699" s="242" t="s">
        <v>1489</v>
      </c>
      <c r="E1699" s="275">
        <v>116.0</v>
      </c>
      <c r="F1699" s="242" t="s">
        <v>1708</v>
      </c>
      <c r="G1699" s="244"/>
    </row>
    <row r="1700" ht="14.25" hidden="1" customHeight="1" outlineLevel="1">
      <c r="A1700" s="102">
        <v>46224.0</v>
      </c>
      <c r="B1700" s="97">
        <f>A1700</f>
        <v>46224</v>
      </c>
      <c r="C1700" s="398">
        <v>0.2916666666666667</v>
      </c>
      <c r="D1700" s="242" t="s">
        <v>296</v>
      </c>
      <c r="E1700" s="275">
        <v>27.0</v>
      </c>
      <c r="F1700" s="242" t="s">
        <v>346</v>
      </c>
      <c r="G1700" s="244"/>
    </row>
    <row r="1701" ht="14.25" hidden="1" customHeight="1" outlineLevel="1">
      <c r="A1701" s="10"/>
      <c r="B1701" s="10"/>
      <c r="C1701" s="403">
        <v>0.5069444444444444</v>
      </c>
      <c r="D1701" s="242" t="s">
        <v>1521</v>
      </c>
      <c r="E1701" s="275">
        <v>11.0</v>
      </c>
      <c r="F1701" s="242" t="s">
        <v>1676</v>
      </c>
      <c r="G1701" s="244"/>
    </row>
    <row r="1702" ht="14.25" hidden="1" customHeight="1" outlineLevel="1">
      <c r="A1702" s="102">
        <v>46225.0</v>
      </c>
      <c r="B1702" s="97">
        <f>A1702</f>
        <v>46225</v>
      </c>
      <c r="C1702" s="313">
        <v>0.2916666666666667</v>
      </c>
      <c r="D1702" s="242" t="s">
        <v>119</v>
      </c>
      <c r="E1702" s="275">
        <v>28.0</v>
      </c>
      <c r="F1702" s="242" t="s">
        <v>1710</v>
      </c>
      <c r="G1702" s="244"/>
    </row>
    <row r="1703" ht="14.25" hidden="1" customHeight="1" outlineLevel="1">
      <c r="A1703" s="10"/>
      <c r="B1703" s="10"/>
      <c r="C1703" s="313">
        <v>0.5069444444444444</v>
      </c>
      <c r="D1703" s="242" t="s">
        <v>1064</v>
      </c>
      <c r="E1703" s="275">
        <v>10.0</v>
      </c>
      <c r="F1703" s="242" t="s">
        <v>1099</v>
      </c>
      <c r="G1703" s="244"/>
    </row>
    <row r="1704" ht="14.25" hidden="1" customHeight="1" outlineLevel="1">
      <c r="A1704" s="102">
        <v>46226.0</v>
      </c>
      <c r="B1704" s="97">
        <f>A1704</f>
        <v>46226</v>
      </c>
      <c r="C1704" s="313">
        <v>0.2916666666666667</v>
      </c>
      <c r="D1704" s="242" t="s">
        <v>119</v>
      </c>
      <c r="E1704" s="275">
        <v>35.0</v>
      </c>
      <c r="F1704" s="242" t="s">
        <v>1283</v>
      </c>
      <c r="G1704" s="244"/>
    </row>
    <row r="1705" ht="14.25" hidden="1" customHeight="1" outlineLevel="1">
      <c r="A1705" s="10"/>
      <c r="B1705" s="10"/>
      <c r="C1705" s="313">
        <v>0.5069444444444444</v>
      </c>
      <c r="D1705" s="242" t="s">
        <v>980</v>
      </c>
      <c r="E1705" s="275">
        <v>102.0</v>
      </c>
      <c r="F1705" s="242" t="s">
        <v>1426</v>
      </c>
      <c r="G1705" s="244"/>
    </row>
    <row r="1706" ht="14.25" hidden="1" customHeight="1" outlineLevel="1">
      <c r="A1706" s="102">
        <v>46227.0</v>
      </c>
      <c r="B1706" s="97">
        <f>A1706</f>
        <v>46227</v>
      </c>
      <c r="C1706" s="313">
        <v>0.2916666666666667</v>
      </c>
      <c r="D1706" s="242" t="s">
        <v>296</v>
      </c>
      <c r="E1706" s="275">
        <v>110.0</v>
      </c>
      <c r="F1706" s="242" t="s">
        <v>880</v>
      </c>
      <c r="G1706" s="244"/>
    </row>
    <row r="1707" ht="14.25" hidden="1" customHeight="1" outlineLevel="1">
      <c r="A1707" s="10"/>
      <c r="B1707" s="10"/>
      <c r="C1707" s="313">
        <v>0.5069444444444444</v>
      </c>
      <c r="D1707" s="242" t="s">
        <v>1489</v>
      </c>
      <c r="E1707" s="275">
        <v>75.0</v>
      </c>
      <c r="F1707" s="242" t="s">
        <v>1715</v>
      </c>
      <c r="G1707" s="244"/>
    </row>
    <row r="1708" ht="14.25" hidden="1" customHeight="1" outlineLevel="1">
      <c r="A1708" s="125">
        <v>46228.0</v>
      </c>
      <c r="B1708" s="126">
        <f t="shared" ref="B1708:B1709" si="218">A1708</f>
        <v>46228</v>
      </c>
      <c r="C1708" s="313">
        <v>0.3333333333333333</v>
      </c>
      <c r="D1708" s="242" t="s">
        <v>119</v>
      </c>
      <c r="E1708" s="275">
        <v>100.0</v>
      </c>
      <c r="F1708" s="242" t="s">
        <v>129</v>
      </c>
      <c r="G1708" s="244"/>
    </row>
    <row r="1709" ht="14.25" hidden="1" customHeight="1" outlineLevel="1">
      <c r="A1709" s="102">
        <v>46229.0</v>
      </c>
      <c r="B1709" s="97">
        <f t="shared" si="218"/>
        <v>46229</v>
      </c>
      <c r="C1709" s="313">
        <v>0.3333333333333333</v>
      </c>
      <c r="D1709" s="242" t="s">
        <v>1329</v>
      </c>
      <c r="E1709" s="275">
        <v>233.0</v>
      </c>
      <c r="F1709" s="242" t="s">
        <v>1614</v>
      </c>
      <c r="G1709" s="244"/>
    </row>
    <row r="1710" ht="14.25" hidden="1" customHeight="1" outlineLevel="1">
      <c r="A1710" s="58"/>
      <c r="B1710" s="58"/>
      <c r="C1710" s="313">
        <v>0.4583333333333333</v>
      </c>
      <c r="D1710" s="242" t="s">
        <v>296</v>
      </c>
      <c r="E1710" s="275">
        <v>620.0</v>
      </c>
      <c r="F1710" s="242" t="s">
        <v>580</v>
      </c>
      <c r="G1710" s="244"/>
    </row>
    <row r="1711" ht="14.25" hidden="1" customHeight="1" outlineLevel="1">
      <c r="A1711" s="10"/>
      <c r="B1711" s="10"/>
      <c r="C1711" s="313">
        <v>0.7708333333333334</v>
      </c>
      <c r="D1711" s="242" t="s">
        <v>820</v>
      </c>
      <c r="E1711" s="275">
        <v>370.0</v>
      </c>
      <c r="F1711" s="242" t="s">
        <v>1716</v>
      </c>
      <c r="G1711" s="244"/>
    </row>
    <row r="1712" ht="14.25" hidden="1" customHeight="1" outlineLevel="1">
      <c r="A1712" s="102">
        <v>46230.0</v>
      </c>
      <c r="B1712" s="97">
        <f>A1712</f>
        <v>46230</v>
      </c>
      <c r="C1712" s="313">
        <v>0.2916666666666667</v>
      </c>
      <c r="D1712" s="242" t="s">
        <v>1669</v>
      </c>
      <c r="E1712" s="275">
        <v>131.0</v>
      </c>
      <c r="F1712" s="242" t="s">
        <v>1718</v>
      </c>
      <c r="G1712" s="244"/>
    </row>
    <row r="1713" ht="14.25" hidden="1" customHeight="1" outlineLevel="1">
      <c r="A1713" s="10"/>
      <c r="B1713" s="10"/>
      <c r="C1713" s="313">
        <v>0.5069444444444444</v>
      </c>
      <c r="D1713" s="242" t="s">
        <v>1489</v>
      </c>
      <c r="E1713" s="275">
        <v>25.0</v>
      </c>
      <c r="F1713" s="242" t="s">
        <v>1719</v>
      </c>
      <c r="G1713" s="244"/>
    </row>
    <row r="1714" ht="14.25" hidden="1" customHeight="1" outlineLevel="1">
      <c r="A1714" s="102">
        <v>46231.0</v>
      </c>
      <c r="B1714" s="97">
        <f>A1714</f>
        <v>46231</v>
      </c>
      <c r="C1714" s="398">
        <v>0.2916666666666667</v>
      </c>
      <c r="D1714" s="242" t="s">
        <v>296</v>
      </c>
      <c r="E1714" s="275">
        <v>6.0</v>
      </c>
      <c r="F1714" s="242" t="s">
        <v>1159</v>
      </c>
      <c r="G1714" s="244"/>
    </row>
    <row r="1715" ht="14.25" hidden="1" customHeight="1" outlineLevel="1">
      <c r="A1715" s="10"/>
      <c r="B1715" s="10"/>
      <c r="C1715" s="403">
        <v>0.5069444444444444</v>
      </c>
      <c r="D1715" s="242" t="s">
        <v>1521</v>
      </c>
      <c r="E1715" s="275">
        <v>24.0</v>
      </c>
      <c r="F1715" s="242" t="s">
        <v>1465</v>
      </c>
      <c r="G1715" s="244"/>
    </row>
    <row r="1716" ht="14.25" hidden="1" customHeight="1" outlineLevel="1">
      <c r="A1716" s="102">
        <v>46232.0</v>
      </c>
      <c r="B1716" s="97">
        <f>A1716</f>
        <v>46232</v>
      </c>
      <c r="C1716" s="313">
        <v>0.2916666666666667</v>
      </c>
      <c r="D1716" s="242" t="s">
        <v>119</v>
      </c>
      <c r="E1716" s="275">
        <v>153.0</v>
      </c>
      <c r="F1716" s="242" t="s">
        <v>1452</v>
      </c>
      <c r="G1716" s="244"/>
    </row>
    <row r="1717" ht="14.25" hidden="1" customHeight="1" outlineLevel="1">
      <c r="A1717" s="10"/>
      <c r="B1717" s="10"/>
      <c r="C1717" s="313">
        <v>0.5069444444444444</v>
      </c>
      <c r="D1717" s="242" t="s">
        <v>1064</v>
      </c>
      <c r="E1717" s="275">
        <v>10.0</v>
      </c>
      <c r="F1717" s="242" t="s">
        <v>1722</v>
      </c>
      <c r="G1717" s="244"/>
    </row>
    <row r="1718" ht="14.25" hidden="1" customHeight="1" outlineLevel="1">
      <c r="A1718" s="102">
        <v>46233.0</v>
      </c>
      <c r="B1718" s="97">
        <f>A1718</f>
        <v>46233</v>
      </c>
      <c r="C1718" s="313">
        <v>0.2916666666666667</v>
      </c>
      <c r="D1718" s="242" t="s">
        <v>119</v>
      </c>
      <c r="E1718" s="275">
        <v>26.0</v>
      </c>
      <c r="F1718" s="242" t="s">
        <v>1113</v>
      </c>
      <c r="G1718" s="244"/>
    </row>
    <row r="1719" ht="14.25" hidden="1" customHeight="1" outlineLevel="1">
      <c r="A1719" s="10"/>
      <c r="B1719" s="10"/>
      <c r="C1719" s="313">
        <v>0.5069444444444444</v>
      </c>
      <c r="D1719" s="242" t="s">
        <v>980</v>
      </c>
      <c r="E1719" s="275">
        <v>42.0</v>
      </c>
      <c r="F1719" s="242" t="s">
        <v>1415</v>
      </c>
      <c r="G1719" s="244"/>
    </row>
    <row r="1720" ht="14.25" hidden="1" customHeight="1" outlineLevel="1">
      <c r="A1720" s="102">
        <v>46234.0</v>
      </c>
      <c r="B1720" s="97">
        <f>A1720</f>
        <v>46234</v>
      </c>
      <c r="C1720" s="313">
        <v>0.2916666666666667</v>
      </c>
      <c r="D1720" s="242" t="s">
        <v>296</v>
      </c>
      <c r="E1720" s="275">
        <v>40.0</v>
      </c>
      <c r="F1720" s="242" t="s">
        <v>1029</v>
      </c>
      <c r="G1720" s="244"/>
    </row>
    <row r="1721" ht="14.25" hidden="1" customHeight="1" outlineLevel="1">
      <c r="A1721" s="10"/>
      <c r="B1721" s="10"/>
      <c r="C1721" s="313">
        <v>0.5069444444444444</v>
      </c>
      <c r="D1721" s="242" t="s">
        <v>1489</v>
      </c>
      <c r="E1721" s="275">
        <v>120.0</v>
      </c>
      <c r="F1721" s="242" t="s">
        <v>659</v>
      </c>
      <c r="G1721" s="244"/>
    </row>
    <row r="1722" ht="14.25" customHeight="1">
      <c r="A1722" s="117" t="s">
        <v>195</v>
      </c>
      <c r="B1722" s="27"/>
      <c r="C1722" s="27"/>
      <c r="D1722" s="28"/>
      <c r="E1722" s="312">
        <f>SUM(E1659:E1721)</f>
        <v>8038</v>
      </c>
      <c r="F1722" s="242"/>
      <c r="G1722" s="244"/>
    </row>
    <row r="1723" ht="14.25" customHeight="1">
      <c r="A1723" s="329"/>
      <c r="B1723" s="330"/>
      <c r="C1723" s="331"/>
      <c r="D1723" s="335"/>
      <c r="E1723" s="336"/>
      <c r="F1723" s="335"/>
      <c r="G1723" s="332"/>
    </row>
    <row r="1724" ht="14.25" customHeight="1" collapsed="1">
      <c r="A1724" s="339" t="s">
        <v>1728</v>
      </c>
      <c r="B1724" s="246"/>
      <c r="C1724" s="246"/>
      <c r="D1724" s="246"/>
      <c r="E1724" s="246"/>
      <c r="F1724" s="246"/>
      <c r="G1724" s="246"/>
      <c r="H1724" s="246"/>
      <c r="I1724" s="246"/>
      <c r="J1724" s="246"/>
      <c r="K1724" s="246"/>
      <c r="L1724" s="246"/>
      <c r="M1724" s="246"/>
      <c r="N1724" s="246"/>
      <c r="O1724" s="246"/>
      <c r="P1724" s="246"/>
      <c r="Q1724" s="247"/>
    </row>
    <row r="1725" ht="14.25" hidden="1" customHeight="1" outlineLevel="1">
      <c r="A1725" s="125">
        <v>46235.0</v>
      </c>
      <c r="B1725" s="126">
        <f t="shared" ref="B1725:B1726" si="219">A1725</f>
        <v>46235</v>
      </c>
      <c r="C1725" s="313">
        <v>0.3333333333333333</v>
      </c>
      <c r="D1725" s="242" t="s">
        <v>119</v>
      </c>
      <c r="E1725" s="275">
        <v>40.0</v>
      </c>
      <c r="F1725" s="242" t="s">
        <v>1729</v>
      </c>
      <c r="G1725" s="244"/>
      <c r="I1725" s="235" t="s">
        <v>91</v>
      </c>
      <c r="J1725" s="27"/>
      <c r="K1725" s="27"/>
      <c r="L1725" s="28"/>
      <c r="N1725" s="235" t="s">
        <v>992</v>
      </c>
      <c r="O1725" s="27"/>
      <c r="P1725" s="27"/>
      <c r="Q1725" s="28"/>
    </row>
    <row r="1726" ht="14.25" hidden="1" customHeight="1" outlineLevel="1">
      <c r="A1726" s="102">
        <v>46236.0</v>
      </c>
      <c r="B1726" s="97">
        <f t="shared" si="219"/>
        <v>46236</v>
      </c>
      <c r="C1726" s="313">
        <v>0.3333333333333333</v>
      </c>
      <c r="D1726" s="242" t="s">
        <v>490</v>
      </c>
      <c r="E1726" s="275">
        <v>362.0</v>
      </c>
      <c r="F1726" s="242" t="s">
        <v>1730</v>
      </c>
      <c r="G1726" s="244"/>
      <c r="I1726" s="86">
        <v>46265.0</v>
      </c>
      <c r="J1726" s="88">
        <f>I1726</f>
        <v>46265</v>
      </c>
      <c r="K1726" s="93">
        <v>43.0</v>
      </c>
      <c r="L1726" s="90"/>
      <c r="M1726" s="51"/>
      <c r="N1726" s="86">
        <v>46265.0</v>
      </c>
      <c r="O1726" s="88">
        <f t="shared" ref="O1726:O1727" si="220">N1726</f>
        <v>46265</v>
      </c>
      <c r="P1726" s="93">
        <v>3450.0</v>
      </c>
      <c r="Q1726" s="91" t="s">
        <v>1345</v>
      </c>
    </row>
    <row r="1727" ht="14.25" hidden="1" customHeight="1" outlineLevel="1">
      <c r="A1727" s="58"/>
      <c r="B1727" s="58"/>
      <c r="C1727" s="313">
        <v>0.4583333333333333</v>
      </c>
      <c r="D1727" s="242" t="s">
        <v>1251</v>
      </c>
      <c r="E1727" s="275">
        <v>650.0</v>
      </c>
      <c r="F1727" s="242" t="s">
        <v>1731</v>
      </c>
      <c r="G1727" s="244"/>
      <c r="I1727" s="86"/>
      <c r="J1727" s="88"/>
      <c r="K1727" s="93">
        <v>0.0</v>
      </c>
      <c r="L1727" s="90"/>
      <c r="M1727" s="51"/>
      <c r="N1727" s="86">
        <v>46265.0</v>
      </c>
      <c r="O1727" s="88">
        <f t="shared" si="220"/>
        <v>46265</v>
      </c>
      <c r="P1727" s="93">
        <v>2700.0</v>
      </c>
      <c r="Q1727" s="91"/>
    </row>
    <row r="1728" ht="14.25" hidden="1" customHeight="1" outlineLevel="1">
      <c r="A1728" s="10"/>
      <c r="B1728" s="10"/>
      <c r="C1728" s="313">
        <v>0.7708333333333334</v>
      </c>
      <c r="D1728" s="242" t="s">
        <v>820</v>
      </c>
      <c r="E1728" s="275">
        <v>378.0</v>
      </c>
      <c r="F1728" s="242" t="s">
        <v>1499</v>
      </c>
      <c r="G1728" s="244"/>
      <c r="I1728" s="86"/>
      <c r="J1728" s="88"/>
      <c r="K1728" s="93"/>
      <c r="L1728" s="90"/>
      <c r="M1728" s="51"/>
      <c r="N1728" s="86"/>
      <c r="O1728" s="88"/>
      <c r="P1728" s="93">
        <v>0.0</v>
      </c>
      <c r="Q1728" s="91"/>
    </row>
    <row r="1729" ht="14.25" hidden="1" customHeight="1" outlineLevel="1">
      <c r="A1729" s="102">
        <v>46237.0</v>
      </c>
      <c r="B1729" s="97">
        <f>A1729</f>
        <v>46237</v>
      </c>
      <c r="C1729" s="313">
        <v>0.2916666666666667</v>
      </c>
      <c r="D1729" s="242" t="s">
        <v>119</v>
      </c>
      <c r="E1729" s="275">
        <v>45.0</v>
      </c>
      <c r="F1729" s="242" t="s">
        <v>303</v>
      </c>
      <c r="G1729" s="244"/>
      <c r="I1729" s="86"/>
      <c r="J1729" s="88"/>
      <c r="K1729" s="93"/>
      <c r="L1729" s="90"/>
      <c r="M1729" s="51"/>
      <c r="N1729" s="86"/>
      <c r="O1729" s="88"/>
      <c r="P1729" s="93">
        <v>0.0</v>
      </c>
      <c r="Q1729" s="91"/>
    </row>
    <row r="1730" ht="14.25" hidden="1" customHeight="1" outlineLevel="1">
      <c r="A1730" s="10"/>
      <c r="B1730" s="10"/>
      <c r="C1730" s="313">
        <v>0.5069444444444444</v>
      </c>
      <c r="D1730" s="242" t="s">
        <v>1489</v>
      </c>
      <c r="E1730" s="275">
        <v>29.0</v>
      </c>
      <c r="F1730" s="242" t="s">
        <v>1732</v>
      </c>
      <c r="G1730" s="244"/>
      <c r="I1730" s="86"/>
      <c r="J1730" s="88"/>
      <c r="K1730" s="92"/>
      <c r="L1730" s="90"/>
      <c r="M1730" s="51"/>
      <c r="N1730" s="165" t="s">
        <v>195</v>
      </c>
      <c r="O1730" s="165"/>
      <c r="P1730" s="291">
        <f>SUM(P1726:P1729)</f>
        <v>6150</v>
      </c>
      <c r="Q1730" s="114"/>
    </row>
    <row r="1731" ht="14.25" hidden="1" customHeight="1" outlineLevel="1">
      <c r="A1731" s="102">
        <v>46238.0</v>
      </c>
      <c r="B1731" s="97">
        <f>A1731</f>
        <v>46238</v>
      </c>
      <c r="C1731" s="313">
        <v>0.2916666666666667</v>
      </c>
      <c r="D1731" s="242" t="s">
        <v>296</v>
      </c>
      <c r="E1731" s="275">
        <v>10.0</v>
      </c>
      <c r="F1731" s="242" t="s">
        <v>1735</v>
      </c>
      <c r="G1731" s="244"/>
      <c r="I1731" s="108" t="s">
        <v>195</v>
      </c>
      <c r="J1731" s="109"/>
      <c r="K1731" s="113">
        <f>SUM(K1726:K1730)</f>
        <v>43</v>
      </c>
      <c r="L1731" s="114"/>
      <c r="M1731" s="51"/>
    </row>
    <row r="1732" ht="14.25" hidden="1" customHeight="1" outlineLevel="1">
      <c r="A1732" s="10"/>
      <c r="B1732" s="10"/>
      <c r="C1732" s="313">
        <v>0.5069444444444444</v>
      </c>
      <c r="D1732" s="242" t="s">
        <v>1521</v>
      </c>
      <c r="E1732" s="275">
        <v>248.0</v>
      </c>
      <c r="F1732" s="242" t="s">
        <v>1465</v>
      </c>
      <c r="G1732" s="244"/>
      <c r="N1732" s="235" t="s">
        <v>344</v>
      </c>
      <c r="O1732" s="27"/>
      <c r="P1732" s="27"/>
      <c r="Q1732" s="28"/>
    </row>
    <row r="1733" ht="14.25" hidden="1" customHeight="1" outlineLevel="1">
      <c r="A1733" s="102">
        <v>46239.0</v>
      </c>
      <c r="B1733" s="97">
        <f>A1733</f>
        <v>46239</v>
      </c>
      <c r="C1733" s="313">
        <v>0.2916666666666667</v>
      </c>
      <c r="D1733" s="242" t="s">
        <v>119</v>
      </c>
      <c r="E1733" s="275">
        <v>46.0</v>
      </c>
      <c r="F1733" s="242" t="s">
        <v>1488</v>
      </c>
      <c r="G1733" s="244"/>
      <c r="N1733" s="86">
        <v>46235.0</v>
      </c>
      <c r="O1733" s="88">
        <f>N1733</f>
        <v>46235</v>
      </c>
      <c r="P1733" s="93">
        <v>0.0</v>
      </c>
      <c r="Q1733" s="91"/>
    </row>
    <row r="1734" ht="14.25" hidden="1" customHeight="1" outlineLevel="1">
      <c r="A1734" s="10"/>
      <c r="B1734" s="10"/>
      <c r="C1734" s="313">
        <v>0.5069444444444444</v>
      </c>
      <c r="D1734" s="242" t="s">
        <v>1064</v>
      </c>
      <c r="E1734" s="275">
        <v>20.0</v>
      </c>
      <c r="F1734" s="242" t="s">
        <v>1738</v>
      </c>
      <c r="G1734" s="244"/>
      <c r="N1734" s="165" t="s">
        <v>195</v>
      </c>
      <c r="O1734" s="165"/>
      <c r="P1734" s="291">
        <f>P1733</f>
        <v>0</v>
      </c>
      <c r="Q1734" s="114"/>
    </row>
    <row r="1735" ht="14.25" hidden="1" customHeight="1" outlineLevel="1">
      <c r="A1735" s="102">
        <v>46240.0</v>
      </c>
      <c r="B1735" s="97">
        <f>A1735</f>
        <v>46240</v>
      </c>
      <c r="C1735" s="313">
        <v>0.2916666666666667</v>
      </c>
      <c r="D1735" s="242" t="s">
        <v>119</v>
      </c>
      <c r="E1735" s="275">
        <v>15.0</v>
      </c>
      <c r="F1735" s="242" t="s">
        <v>1739</v>
      </c>
      <c r="G1735" s="244"/>
    </row>
    <row r="1736" ht="14.25" hidden="1" customHeight="1" outlineLevel="1">
      <c r="A1736" s="10"/>
      <c r="B1736" s="10"/>
      <c r="C1736" s="313">
        <v>0.5069444444444444</v>
      </c>
      <c r="D1736" s="242" t="s">
        <v>980</v>
      </c>
      <c r="E1736" s="275">
        <v>20.0</v>
      </c>
      <c r="F1736" s="242" t="s">
        <v>1415</v>
      </c>
      <c r="G1736" s="244"/>
    </row>
    <row r="1737" ht="14.25" hidden="1" customHeight="1" outlineLevel="1">
      <c r="A1737" s="102">
        <v>46241.0</v>
      </c>
      <c r="B1737" s="97">
        <f>A1737</f>
        <v>46241</v>
      </c>
      <c r="C1737" s="313">
        <v>0.2916666666666667</v>
      </c>
      <c r="D1737" s="242" t="s">
        <v>296</v>
      </c>
      <c r="E1737" s="275">
        <v>140.0</v>
      </c>
      <c r="F1737" s="242" t="s">
        <v>1029</v>
      </c>
      <c r="G1737" s="244"/>
    </row>
    <row r="1738" ht="14.25" hidden="1" customHeight="1" outlineLevel="1">
      <c r="A1738" s="10"/>
      <c r="B1738" s="10"/>
      <c r="C1738" s="313">
        <v>0.5069444444444444</v>
      </c>
      <c r="D1738" s="242" t="s">
        <v>1489</v>
      </c>
      <c r="E1738" s="275">
        <v>22.0</v>
      </c>
      <c r="F1738" s="242" t="s">
        <v>1006</v>
      </c>
      <c r="G1738" s="244"/>
    </row>
    <row r="1739" ht="14.25" hidden="1" customHeight="1" outlineLevel="1">
      <c r="A1739" s="427">
        <v>46242.0</v>
      </c>
      <c r="B1739" s="428">
        <f t="shared" ref="B1739:B1740" si="221">A1739</f>
        <v>46242</v>
      </c>
      <c r="C1739" s="429">
        <v>0.3333333333333333</v>
      </c>
      <c r="D1739" s="242" t="s">
        <v>1251</v>
      </c>
      <c r="E1739" s="275">
        <v>79.0</v>
      </c>
      <c r="F1739" s="242" t="s">
        <v>1740</v>
      </c>
      <c r="G1739" s="244"/>
    </row>
    <row r="1740" ht="14.25" hidden="1" customHeight="1" outlineLevel="1">
      <c r="A1740" s="102">
        <v>46243.0</v>
      </c>
      <c r="B1740" s="97">
        <f t="shared" si="221"/>
        <v>46243</v>
      </c>
      <c r="C1740" s="313">
        <v>0.3333333333333333</v>
      </c>
      <c r="D1740" s="242" t="s">
        <v>490</v>
      </c>
      <c r="E1740" s="275">
        <v>788.0</v>
      </c>
      <c r="F1740" s="242" t="s">
        <v>1614</v>
      </c>
      <c r="G1740" s="244"/>
    </row>
    <row r="1741" ht="14.25" hidden="1" customHeight="1" outlineLevel="1">
      <c r="A1741" s="58"/>
      <c r="B1741" s="58"/>
      <c r="C1741" s="313">
        <v>0.4583333333333333</v>
      </c>
      <c r="D1741" s="242" t="s">
        <v>980</v>
      </c>
      <c r="E1741" s="275">
        <v>1200.0</v>
      </c>
      <c r="F1741" s="242" t="s">
        <v>1741</v>
      </c>
      <c r="G1741" s="244"/>
    </row>
    <row r="1742" ht="14.25" hidden="1" customHeight="1" outlineLevel="1">
      <c r="A1742" s="10"/>
      <c r="B1742" s="10"/>
      <c r="C1742" s="313">
        <v>0.7708333333333334</v>
      </c>
      <c r="D1742" s="242" t="s">
        <v>342</v>
      </c>
      <c r="E1742" s="275">
        <v>334.0</v>
      </c>
      <c r="F1742" s="242" t="s">
        <v>1688</v>
      </c>
      <c r="G1742" s="244"/>
    </row>
    <row r="1743" ht="14.25" hidden="1" customHeight="1" outlineLevel="1">
      <c r="A1743" s="102">
        <v>46244.0</v>
      </c>
      <c r="B1743" s="97">
        <f>A1743</f>
        <v>46244</v>
      </c>
      <c r="C1743" s="313">
        <v>0.2916666666666667</v>
      </c>
      <c r="D1743" s="242" t="s">
        <v>1327</v>
      </c>
      <c r="E1743" s="275">
        <v>69.0</v>
      </c>
      <c r="F1743" s="242" t="s">
        <v>1744</v>
      </c>
      <c r="G1743" s="244"/>
    </row>
    <row r="1744" ht="14.25" hidden="1" customHeight="1" outlineLevel="1">
      <c r="A1744" s="10"/>
      <c r="B1744" s="10"/>
      <c r="C1744" s="313">
        <v>0.5069444444444444</v>
      </c>
      <c r="D1744" s="242" t="s">
        <v>1489</v>
      </c>
      <c r="E1744" s="275">
        <v>15.0</v>
      </c>
      <c r="F1744" s="242" t="s">
        <v>1745</v>
      </c>
      <c r="G1744" s="244"/>
    </row>
    <row r="1745" ht="14.25" hidden="1" customHeight="1" outlineLevel="1">
      <c r="A1745" s="102">
        <v>46245.0</v>
      </c>
      <c r="B1745" s="97">
        <f>A1745</f>
        <v>46245</v>
      </c>
      <c r="C1745" s="313">
        <v>0.2916666666666667</v>
      </c>
      <c r="D1745" s="242" t="s">
        <v>296</v>
      </c>
      <c r="E1745" s="275">
        <v>164.0</v>
      </c>
      <c r="F1745" s="242" t="s">
        <v>1304</v>
      </c>
      <c r="G1745" s="244"/>
    </row>
    <row r="1746" ht="14.25" hidden="1" customHeight="1" outlineLevel="1">
      <c r="A1746" s="10"/>
      <c r="B1746" s="10"/>
      <c r="C1746" s="313">
        <v>0.5069444444444444</v>
      </c>
      <c r="D1746" s="242" t="s">
        <v>1521</v>
      </c>
      <c r="E1746" s="275">
        <v>11.0</v>
      </c>
      <c r="F1746" s="242" t="s">
        <v>1465</v>
      </c>
      <c r="G1746" s="244"/>
    </row>
    <row r="1747" ht="14.25" hidden="1" customHeight="1" outlineLevel="1">
      <c r="A1747" s="102">
        <v>46246.0</v>
      </c>
      <c r="B1747" s="97">
        <f>A1747</f>
        <v>46246</v>
      </c>
      <c r="C1747" s="313">
        <v>0.2916666666666667</v>
      </c>
      <c r="D1747" s="242" t="s">
        <v>119</v>
      </c>
      <c r="E1747" s="275">
        <v>65.0</v>
      </c>
      <c r="F1747" s="242" t="s">
        <v>1452</v>
      </c>
      <c r="G1747" s="244"/>
    </row>
    <row r="1748" ht="14.25" hidden="1" customHeight="1" outlineLevel="1">
      <c r="A1748" s="58"/>
      <c r="B1748" s="58"/>
      <c r="C1748" s="313">
        <v>0.5069444444444444</v>
      </c>
      <c r="D1748" s="242" t="s">
        <v>1489</v>
      </c>
      <c r="E1748" s="275">
        <v>0.0</v>
      </c>
      <c r="F1748" s="242" t="s">
        <v>842</v>
      </c>
      <c r="G1748" s="244"/>
    </row>
    <row r="1749" ht="14.25" hidden="1" customHeight="1" outlineLevel="1">
      <c r="A1749" s="10"/>
      <c r="B1749" s="10"/>
      <c r="C1749" s="313">
        <v>0.7916666666666666</v>
      </c>
      <c r="D1749" s="242" t="s">
        <v>1706</v>
      </c>
      <c r="E1749" s="275">
        <v>162.0</v>
      </c>
      <c r="F1749" s="242" t="s">
        <v>1747</v>
      </c>
      <c r="G1749" s="244"/>
    </row>
    <row r="1750" ht="14.25" hidden="1" customHeight="1" outlineLevel="1">
      <c r="A1750" s="102">
        <v>46247.0</v>
      </c>
      <c r="B1750" s="97">
        <f>A1750</f>
        <v>46247</v>
      </c>
      <c r="C1750" s="313">
        <v>0.2916666666666667</v>
      </c>
      <c r="D1750" s="242" t="s">
        <v>119</v>
      </c>
      <c r="E1750" s="275">
        <v>13.0</v>
      </c>
      <c r="F1750" s="242" t="s">
        <v>727</v>
      </c>
      <c r="G1750" s="244"/>
    </row>
    <row r="1751" ht="14.25" hidden="1" customHeight="1" outlineLevel="1">
      <c r="A1751" s="10"/>
      <c r="B1751" s="10"/>
      <c r="C1751" s="313">
        <v>0.5069444444444444</v>
      </c>
      <c r="D1751" s="242" t="s">
        <v>1489</v>
      </c>
      <c r="E1751" s="275">
        <v>35.0</v>
      </c>
      <c r="F1751" s="242" t="s">
        <v>1748</v>
      </c>
      <c r="G1751" s="244"/>
    </row>
    <row r="1752" ht="14.25" hidden="1" customHeight="1" outlineLevel="1">
      <c r="A1752" s="102">
        <v>46248.0</v>
      </c>
      <c r="B1752" s="97">
        <f>A1752</f>
        <v>46248</v>
      </c>
      <c r="C1752" s="313">
        <v>0.2916666666666667</v>
      </c>
      <c r="D1752" s="242" t="s">
        <v>296</v>
      </c>
      <c r="E1752" s="275">
        <v>53.0</v>
      </c>
      <c r="F1752" s="242" t="s">
        <v>1029</v>
      </c>
      <c r="G1752" s="244"/>
    </row>
    <row r="1753" ht="14.25" hidden="1" customHeight="1" outlineLevel="1">
      <c r="A1753" s="10"/>
      <c r="B1753" s="10"/>
      <c r="C1753" s="313">
        <v>0.5069444444444444</v>
      </c>
      <c r="D1753" s="242" t="s">
        <v>1489</v>
      </c>
      <c r="E1753" s="275">
        <v>34.0</v>
      </c>
      <c r="F1753" s="242" t="s">
        <v>1525</v>
      </c>
      <c r="G1753" s="244"/>
    </row>
    <row r="1754" ht="14.25" hidden="1" customHeight="1" outlineLevel="1">
      <c r="A1754" s="125">
        <v>46249.0</v>
      </c>
      <c r="B1754" s="126">
        <f t="shared" ref="B1754:B1755" si="222">A1754</f>
        <v>46249</v>
      </c>
      <c r="C1754" s="313">
        <v>0.3333333333333333</v>
      </c>
      <c r="D1754" s="242" t="s">
        <v>119</v>
      </c>
      <c r="E1754" s="275">
        <v>120.0</v>
      </c>
      <c r="F1754" s="242" t="s">
        <v>1616</v>
      </c>
      <c r="G1754" s="244"/>
    </row>
    <row r="1755" ht="14.25" hidden="1" customHeight="1" outlineLevel="1">
      <c r="A1755" s="102">
        <v>46250.0</v>
      </c>
      <c r="B1755" s="97">
        <f t="shared" si="222"/>
        <v>46250</v>
      </c>
      <c r="C1755" s="313">
        <v>0.3333333333333333</v>
      </c>
      <c r="D1755" s="242" t="s">
        <v>490</v>
      </c>
      <c r="E1755" s="275">
        <v>361.0</v>
      </c>
      <c r="F1755" s="242" t="s">
        <v>1751</v>
      </c>
      <c r="G1755" s="244"/>
    </row>
    <row r="1756" ht="14.25" hidden="1" customHeight="1" outlineLevel="1">
      <c r="A1756" s="58"/>
      <c r="B1756" s="58"/>
      <c r="C1756" s="313">
        <v>0.4583333333333333</v>
      </c>
      <c r="D1756" s="242" t="s">
        <v>980</v>
      </c>
      <c r="E1756" s="275">
        <v>330.0</v>
      </c>
      <c r="F1756" s="242" t="s">
        <v>505</v>
      </c>
      <c r="G1756" s="244"/>
    </row>
    <row r="1757" ht="14.25" hidden="1" customHeight="1" outlineLevel="1">
      <c r="A1757" s="10"/>
      <c r="B1757" s="10"/>
      <c r="C1757" s="313">
        <v>0.7708333333333334</v>
      </c>
      <c r="D1757" s="242" t="s">
        <v>1706</v>
      </c>
      <c r="E1757" s="275">
        <v>560.0</v>
      </c>
      <c r="F1757" s="242" t="s">
        <v>1752</v>
      </c>
      <c r="G1757" s="244"/>
    </row>
    <row r="1758" ht="14.25" hidden="1" customHeight="1" outlineLevel="1">
      <c r="A1758" s="102">
        <v>46251.0</v>
      </c>
      <c r="B1758" s="97">
        <f>A1758</f>
        <v>46251</v>
      </c>
      <c r="C1758" s="313">
        <v>0.2916666666666667</v>
      </c>
      <c r="D1758" s="242" t="s">
        <v>1327</v>
      </c>
      <c r="E1758" s="275">
        <v>134.0</v>
      </c>
      <c r="F1758" s="242" t="s">
        <v>303</v>
      </c>
      <c r="G1758" s="244"/>
    </row>
    <row r="1759" ht="14.25" hidden="1" customHeight="1" outlineLevel="1">
      <c r="A1759" s="10"/>
      <c r="B1759" s="10"/>
      <c r="C1759" s="313">
        <v>0.5069444444444444</v>
      </c>
      <c r="D1759" s="242" t="s">
        <v>1489</v>
      </c>
      <c r="E1759" s="275">
        <v>20.0</v>
      </c>
      <c r="F1759" s="242" t="s">
        <v>914</v>
      </c>
      <c r="G1759" s="244"/>
    </row>
    <row r="1760" ht="14.25" hidden="1" customHeight="1" outlineLevel="1">
      <c r="A1760" s="102">
        <v>46252.0</v>
      </c>
      <c r="B1760" s="97">
        <f>A1760</f>
        <v>46252</v>
      </c>
      <c r="C1760" s="313">
        <v>0.2916666666666667</v>
      </c>
      <c r="D1760" s="242" t="s">
        <v>296</v>
      </c>
      <c r="E1760" s="275">
        <v>14.0</v>
      </c>
      <c r="F1760" s="242" t="s">
        <v>1604</v>
      </c>
      <c r="G1760" s="244"/>
    </row>
    <row r="1761" ht="14.25" hidden="1" customHeight="1" outlineLevel="1">
      <c r="A1761" s="10"/>
      <c r="B1761" s="10"/>
      <c r="C1761" s="313">
        <v>0.5069444444444444</v>
      </c>
      <c r="D1761" s="242" t="s">
        <v>1521</v>
      </c>
      <c r="E1761" s="275">
        <v>10.0</v>
      </c>
      <c r="F1761" s="242" t="s">
        <v>1755</v>
      </c>
      <c r="G1761" s="244"/>
    </row>
    <row r="1762" ht="14.25" hidden="1" customHeight="1" outlineLevel="1">
      <c r="A1762" s="102">
        <v>46253.0</v>
      </c>
      <c r="B1762" s="97">
        <f>A1762</f>
        <v>46253</v>
      </c>
      <c r="C1762" s="313">
        <v>0.2916666666666667</v>
      </c>
      <c r="D1762" s="242" t="s">
        <v>119</v>
      </c>
      <c r="E1762" s="275">
        <v>2.0</v>
      </c>
      <c r="F1762" s="242" t="s">
        <v>324</v>
      </c>
      <c r="G1762" s="244"/>
    </row>
    <row r="1763" ht="14.25" hidden="1" customHeight="1" outlineLevel="1">
      <c r="A1763" s="10"/>
      <c r="B1763" s="10"/>
      <c r="C1763" s="313">
        <v>0.5069444444444444</v>
      </c>
      <c r="D1763" s="242" t="s">
        <v>1064</v>
      </c>
      <c r="E1763" s="275">
        <v>30.0</v>
      </c>
      <c r="F1763" s="242" t="s">
        <v>1738</v>
      </c>
      <c r="G1763" s="244"/>
    </row>
    <row r="1764" ht="14.25" hidden="1" customHeight="1" outlineLevel="1">
      <c r="A1764" s="102">
        <v>46254.0</v>
      </c>
      <c r="B1764" s="97">
        <f>A1764</f>
        <v>46254</v>
      </c>
      <c r="C1764" s="313">
        <v>0.2916666666666667</v>
      </c>
      <c r="D1764" s="242" t="s">
        <v>119</v>
      </c>
      <c r="E1764" s="275">
        <v>10.0</v>
      </c>
      <c r="F1764" s="242" t="s">
        <v>1757</v>
      </c>
      <c r="G1764" s="244"/>
    </row>
    <row r="1765" ht="14.25" hidden="1" customHeight="1" outlineLevel="1">
      <c r="A1765" s="10"/>
      <c r="B1765" s="10"/>
      <c r="C1765" s="313">
        <v>0.5069444444444444</v>
      </c>
      <c r="D1765" s="242" t="s">
        <v>980</v>
      </c>
      <c r="E1765" s="275">
        <v>190.0</v>
      </c>
      <c r="F1765" s="242" t="s">
        <v>1415</v>
      </c>
      <c r="G1765" s="244"/>
    </row>
    <row r="1766" ht="14.25" hidden="1" customHeight="1" outlineLevel="1">
      <c r="A1766" s="102">
        <v>46255.0</v>
      </c>
      <c r="B1766" s="97">
        <f>A1766</f>
        <v>46255</v>
      </c>
      <c r="C1766" s="313">
        <v>0.2916666666666667</v>
      </c>
      <c r="D1766" s="242" t="s">
        <v>296</v>
      </c>
      <c r="E1766" s="275">
        <v>75.0</v>
      </c>
      <c r="F1766" s="242" t="s">
        <v>1029</v>
      </c>
      <c r="G1766" s="244"/>
    </row>
    <row r="1767" ht="14.25" hidden="1" customHeight="1" outlineLevel="1">
      <c r="A1767" s="10"/>
      <c r="B1767" s="10"/>
      <c r="C1767" s="313">
        <v>0.5069444444444444</v>
      </c>
      <c r="D1767" s="242" t="s">
        <v>1489</v>
      </c>
      <c r="E1767" s="275">
        <v>5.0</v>
      </c>
      <c r="F1767" s="242" t="s">
        <v>1628</v>
      </c>
      <c r="G1767" s="244"/>
    </row>
    <row r="1768" ht="14.25" hidden="1" customHeight="1" outlineLevel="1">
      <c r="A1768" s="125">
        <v>46256.0</v>
      </c>
      <c r="B1768" s="126">
        <f t="shared" ref="B1768:B1769" si="223">A1768</f>
        <v>46256</v>
      </c>
      <c r="C1768" s="313">
        <v>0.3333333333333333</v>
      </c>
      <c r="D1768" s="242" t="s">
        <v>119</v>
      </c>
      <c r="E1768" s="275">
        <v>116.0</v>
      </c>
      <c r="F1768" s="242" t="s">
        <v>1568</v>
      </c>
      <c r="G1768" s="244"/>
    </row>
    <row r="1769" ht="14.25" hidden="1" customHeight="1" outlineLevel="1">
      <c r="A1769" s="102">
        <v>46257.0</v>
      </c>
      <c r="B1769" s="97">
        <f t="shared" si="223"/>
        <v>46257</v>
      </c>
      <c r="C1769" s="313">
        <v>0.3333333333333333</v>
      </c>
      <c r="D1769" s="242" t="s">
        <v>1329</v>
      </c>
      <c r="E1769" s="275">
        <v>350.0</v>
      </c>
      <c r="F1769" s="242" t="s">
        <v>1759</v>
      </c>
      <c r="G1769" s="244"/>
    </row>
    <row r="1770" ht="14.25" hidden="1" customHeight="1" outlineLevel="1">
      <c r="A1770" s="58"/>
      <c r="B1770" s="58"/>
      <c r="C1770" s="313">
        <v>0.4583333333333333</v>
      </c>
      <c r="D1770" s="242" t="s">
        <v>1251</v>
      </c>
      <c r="E1770" s="275">
        <v>500.0</v>
      </c>
      <c r="F1770" s="242" t="s">
        <v>505</v>
      </c>
      <c r="G1770" s="244"/>
    </row>
    <row r="1771" ht="14.25" hidden="1" customHeight="1" outlineLevel="1">
      <c r="A1771" s="10"/>
      <c r="B1771" s="10"/>
      <c r="C1771" s="313">
        <v>0.7708333333333334</v>
      </c>
      <c r="D1771" s="242" t="s">
        <v>1706</v>
      </c>
      <c r="E1771" s="275">
        <v>690.0</v>
      </c>
      <c r="F1771" s="242" t="s">
        <v>1633</v>
      </c>
      <c r="G1771" s="244"/>
    </row>
    <row r="1772" ht="14.25" hidden="1" customHeight="1" outlineLevel="1">
      <c r="A1772" s="102">
        <v>46258.0</v>
      </c>
      <c r="B1772" s="97">
        <f>A1772</f>
        <v>46258</v>
      </c>
      <c r="C1772" s="313">
        <v>0.2916666666666667</v>
      </c>
      <c r="D1772" s="242" t="s">
        <v>1327</v>
      </c>
      <c r="E1772" s="275">
        <v>122.0</v>
      </c>
      <c r="F1772" s="242" t="s">
        <v>303</v>
      </c>
      <c r="G1772" s="244"/>
    </row>
    <row r="1773" ht="14.25" hidden="1" customHeight="1" outlineLevel="1">
      <c r="A1773" s="10"/>
      <c r="B1773" s="10"/>
      <c r="C1773" s="313">
        <v>0.5069444444444444</v>
      </c>
      <c r="D1773" s="242" t="s">
        <v>1489</v>
      </c>
      <c r="E1773" s="275">
        <v>20.0</v>
      </c>
      <c r="F1773" s="242" t="s">
        <v>1732</v>
      </c>
      <c r="G1773" s="244"/>
    </row>
    <row r="1774" ht="14.25" hidden="1" customHeight="1" outlineLevel="1">
      <c r="A1774" s="102">
        <v>46259.0</v>
      </c>
      <c r="B1774" s="97">
        <f>A1774</f>
        <v>46259</v>
      </c>
      <c r="C1774" s="313">
        <v>0.2916666666666667</v>
      </c>
      <c r="D1774" s="242" t="s">
        <v>296</v>
      </c>
      <c r="E1774" s="275">
        <v>62.0</v>
      </c>
      <c r="F1774" s="242" t="s">
        <v>1304</v>
      </c>
      <c r="G1774" s="244"/>
    </row>
    <row r="1775" ht="14.25" hidden="1" customHeight="1" outlineLevel="1">
      <c r="A1775" s="10"/>
      <c r="B1775" s="10"/>
      <c r="C1775" s="313">
        <v>0.5069444444444444</v>
      </c>
      <c r="D1775" s="242" t="s">
        <v>1521</v>
      </c>
      <c r="E1775" s="275">
        <v>5.0</v>
      </c>
      <c r="F1775" s="242" t="s">
        <v>1755</v>
      </c>
      <c r="G1775" s="244"/>
    </row>
    <row r="1776" ht="14.25" hidden="1" customHeight="1" outlineLevel="1">
      <c r="A1776" s="102">
        <v>46260.0</v>
      </c>
      <c r="B1776" s="97">
        <f>A1776</f>
        <v>46260</v>
      </c>
      <c r="C1776" s="313">
        <v>0.2916666666666667</v>
      </c>
      <c r="D1776" s="242" t="s">
        <v>119</v>
      </c>
      <c r="E1776" s="275">
        <v>12.0</v>
      </c>
      <c r="F1776" s="242" t="s">
        <v>1452</v>
      </c>
      <c r="G1776" s="244"/>
    </row>
    <row r="1777" ht="14.25" hidden="1" customHeight="1" outlineLevel="1">
      <c r="A1777" s="10"/>
      <c r="B1777" s="10"/>
      <c r="C1777" s="313">
        <v>0.5069444444444444</v>
      </c>
      <c r="D1777" s="242" t="s">
        <v>1489</v>
      </c>
      <c r="E1777" s="275">
        <v>13.0</v>
      </c>
      <c r="F1777" s="242" t="s">
        <v>1763</v>
      </c>
      <c r="G1777" s="244"/>
    </row>
    <row r="1778" ht="14.25" hidden="1" customHeight="1" outlineLevel="1">
      <c r="A1778" s="102">
        <v>46261.0</v>
      </c>
      <c r="B1778" s="97">
        <f>A1778</f>
        <v>46261</v>
      </c>
      <c r="C1778" s="313">
        <v>0.2916666666666667</v>
      </c>
      <c r="D1778" s="242" t="s">
        <v>119</v>
      </c>
      <c r="E1778" s="275">
        <v>80.0</v>
      </c>
      <c r="F1778" s="242" t="s">
        <v>1767</v>
      </c>
      <c r="G1778" s="244"/>
    </row>
    <row r="1779" ht="14.25" hidden="1" customHeight="1" outlineLevel="1">
      <c r="A1779" s="10"/>
      <c r="B1779" s="10"/>
      <c r="C1779" s="313">
        <v>0.5069444444444444</v>
      </c>
      <c r="D1779" s="242" t="s">
        <v>980</v>
      </c>
      <c r="E1779" s="275">
        <v>21.0</v>
      </c>
      <c r="F1779" s="242" t="s">
        <v>1769</v>
      </c>
      <c r="G1779" s="244"/>
    </row>
    <row r="1780" ht="14.25" hidden="1" customHeight="1" outlineLevel="1">
      <c r="A1780" s="102">
        <v>46262.0</v>
      </c>
      <c r="B1780" s="97">
        <f>A1780</f>
        <v>46262</v>
      </c>
      <c r="C1780" s="313">
        <v>0.2916666666666667</v>
      </c>
      <c r="D1780" s="242" t="s">
        <v>296</v>
      </c>
      <c r="E1780" s="275">
        <v>9.0</v>
      </c>
      <c r="F1780" s="242" t="s">
        <v>1029</v>
      </c>
      <c r="G1780" s="244"/>
    </row>
    <row r="1781" ht="14.25" hidden="1" customHeight="1" outlineLevel="1">
      <c r="A1781" s="10"/>
      <c r="B1781" s="10"/>
      <c r="C1781" s="313">
        <v>0.5069444444444444</v>
      </c>
      <c r="D1781" s="242" t="s">
        <v>1489</v>
      </c>
      <c r="E1781" s="275">
        <v>17.0</v>
      </c>
      <c r="F1781" s="242" t="s">
        <v>1425</v>
      </c>
      <c r="G1781" s="244"/>
    </row>
    <row r="1782" ht="14.25" hidden="1" customHeight="1" outlineLevel="1">
      <c r="A1782" s="125">
        <v>46263.0</v>
      </c>
      <c r="B1782" s="126">
        <f t="shared" ref="B1782:B1783" si="224">A1782</f>
        <v>46263</v>
      </c>
      <c r="C1782" s="313">
        <v>0.3333333333333333</v>
      </c>
      <c r="D1782" s="242" t="s">
        <v>119</v>
      </c>
      <c r="E1782" s="275">
        <v>116.0</v>
      </c>
      <c r="F1782" s="242" t="s">
        <v>129</v>
      </c>
      <c r="G1782" s="244"/>
    </row>
    <row r="1783" ht="14.25" hidden="1" customHeight="1" outlineLevel="1">
      <c r="A1783" s="102">
        <v>46264.0</v>
      </c>
      <c r="B1783" s="97">
        <f t="shared" si="224"/>
        <v>46264</v>
      </c>
      <c r="C1783" s="313">
        <v>0.3333333333333333</v>
      </c>
      <c r="D1783" s="242" t="s">
        <v>490</v>
      </c>
      <c r="E1783" s="275">
        <v>429.0</v>
      </c>
      <c r="F1783" s="242" t="s">
        <v>1759</v>
      </c>
      <c r="G1783" s="244"/>
    </row>
    <row r="1784" ht="14.25" hidden="1" customHeight="1" outlineLevel="1">
      <c r="A1784" s="58"/>
      <c r="B1784" s="58"/>
      <c r="C1784" s="313">
        <v>0.4583333333333333</v>
      </c>
      <c r="D1784" s="242" t="s">
        <v>1778</v>
      </c>
      <c r="E1784" s="275">
        <v>550.0</v>
      </c>
      <c r="F1784" s="242" t="s">
        <v>428</v>
      </c>
      <c r="G1784" s="244"/>
    </row>
    <row r="1785" ht="14.25" hidden="1" customHeight="1" outlineLevel="1">
      <c r="A1785" s="10"/>
      <c r="B1785" s="10"/>
      <c r="C1785" s="313">
        <v>0.7708333333333334</v>
      </c>
      <c r="D1785" s="242" t="s">
        <v>820</v>
      </c>
      <c r="E1785" s="275">
        <v>650.0</v>
      </c>
      <c r="F1785" s="242" t="s">
        <v>1752</v>
      </c>
      <c r="G1785" s="244"/>
    </row>
    <row r="1786" ht="14.25" hidden="1" customHeight="1" outlineLevel="1">
      <c r="A1786" s="102">
        <v>46265.0</v>
      </c>
      <c r="B1786" s="97">
        <f>A1786</f>
        <v>46265</v>
      </c>
      <c r="C1786" s="313">
        <v>0.2916666666666667</v>
      </c>
      <c r="D1786" s="242" t="s">
        <v>1706</v>
      </c>
      <c r="E1786" s="275">
        <v>629.0</v>
      </c>
      <c r="F1786" s="242" t="s">
        <v>1791</v>
      </c>
      <c r="G1786" s="244"/>
    </row>
    <row r="1787" ht="14.25" hidden="1" customHeight="1" outlineLevel="1">
      <c r="A1787" s="10"/>
      <c r="B1787" s="10"/>
      <c r="C1787" s="313">
        <v>0.5069444444444444</v>
      </c>
      <c r="D1787" s="242" t="s">
        <v>1489</v>
      </c>
      <c r="E1787" s="275">
        <v>20.0</v>
      </c>
      <c r="F1787" s="242" t="s">
        <v>1719</v>
      </c>
      <c r="G1787" s="244"/>
    </row>
    <row r="1788" ht="14.25" customHeight="1">
      <c r="A1788" s="117" t="s">
        <v>195</v>
      </c>
      <c r="B1788" s="27"/>
      <c r="C1788" s="27"/>
      <c r="D1788" s="28"/>
      <c r="E1788" s="312">
        <f>SUM(E1725:E1787)</f>
        <v>11319</v>
      </c>
      <c r="F1788" s="242"/>
      <c r="G1788" s="244"/>
    </row>
    <row r="1789" ht="14.25" customHeight="1">
      <c r="A1789" s="329"/>
      <c r="B1789" s="330"/>
      <c r="C1789" s="331"/>
      <c r="D1789" s="335"/>
      <c r="E1789" s="336"/>
      <c r="F1789" s="335"/>
      <c r="G1789" s="332"/>
    </row>
    <row r="1790" ht="14.25" customHeight="1" collapsed="1">
      <c r="A1790" s="339" t="s">
        <v>1812</v>
      </c>
      <c r="B1790" s="246"/>
      <c r="C1790" s="246"/>
      <c r="D1790" s="246"/>
      <c r="E1790" s="246"/>
      <c r="F1790" s="246"/>
      <c r="G1790" s="246"/>
      <c r="H1790" s="246"/>
      <c r="I1790" s="246"/>
      <c r="J1790" s="246"/>
      <c r="K1790" s="246"/>
      <c r="L1790" s="246"/>
      <c r="M1790" s="246"/>
      <c r="N1790" s="246"/>
      <c r="O1790" s="246"/>
      <c r="P1790" s="246"/>
      <c r="Q1790" s="247"/>
    </row>
    <row r="1791" ht="14.25" hidden="1" customHeight="1" outlineLevel="1">
      <c r="A1791" s="462">
        <v>46266.0</v>
      </c>
      <c r="B1791" s="463">
        <f t="shared" ref="B1791:B1857" si="225">A1791</f>
        <v>46266</v>
      </c>
      <c r="C1791" s="313">
        <v>0.2916666666666667</v>
      </c>
      <c r="D1791" s="242" t="s">
        <v>296</v>
      </c>
      <c r="E1791" s="275">
        <v>129.0</v>
      </c>
      <c r="F1791" s="242" t="s">
        <v>346</v>
      </c>
      <c r="G1791" s="244"/>
      <c r="I1791" s="235" t="s">
        <v>91</v>
      </c>
      <c r="J1791" s="27"/>
      <c r="K1791" s="27"/>
      <c r="L1791" s="28"/>
      <c r="N1791" s="235" t="s">
        <v>992</v>
      </c>
      <c r="O1791" s="27"/>
      <c r="P1791" s="27"/>
      <c r="Q1791" s="28"/>
    </row>
    <row r="1792" ht="14.25" hidden="1" customHeight="1" outlineLevel="1">
      <c r="A1792" s="465">
        <v>46266.0</v>
      </c>
      <c r="B1792" s="466">
        <f t="shared" si="225"/>
        <v>46266</v>
      </c>
      <c r="C1792" s="467">
        <v>0.5069444444444444</v>
      </c>
      <c r="D1792" s="468" t="s">
        <v>1521</v>
      </c>
      <c r="E1792" s="469">
        <v>90.0</v>
      </c>
      <c r="F1792" s="468" t="s">
        <v>1465</v>
      </c>
      <c r="G1792" s="470"/>
      <c r="I1792" s="86">
        <v>46295.0</v>
      </c>
      <c r="J1792" s="88">
        <f>I1792</f>
        <v>46295</v>
      </c>
      <c r="K1792" s="93">
        <v>25.0</v>
      </c>
      <c r="L1792" s="90"/>
      <c r="M1792" s="51"/>
      <c r="N1792" s="86">
        <v>46295.0</v>
      </c>
      <c r="O1792" s="88">
        <f t="shared" ref="O1792:O1793" si="226">N1792</f>
        <v>46295</v>
      </c>
      <c r="P1792" s="93">
        <v>3300.0</v>
      </c>
      <c r="Q1792" s="91" t="s">
        <v>1852</v>
      </c>
    </row>
    <row r="1793" ht="14.25" hidden="1" customHeight="1" outlineLevel="1">
      <c r="A1793" s="471">
        <v>46267.0</v>
      </c>
      <c r="B1793" s="472">
        <f t="shared" si="225"/>
        <v>46267</v>
      </c>
      <c r="C1793" s="473">
        <v>0.2916666666666667</v>
      </c>
      <c r="D1793" s="474" t="s">
        <v>119</v>
      </c>
      <c r="E1793" s="475">
        <v>2.0</v>
      </c>
      <c r="F1793" s="474" t="s">
        <v>1466</v>
      </c>
      <c r="G1793" s="476"/>
      <c r="I1793" s="86"/>
      <c r="J1793" s="88"/>
      <c r="K1793" s="93">
        <v>0.0</v>
      </c>
      <c r="L1793" s="90"/>
      <c r="M1793" s="51"/>
      <c r="N1793" s="86">
        <v>46295.0</v>
      </c>
      <c r="O1793" s="88">
        <f t="shared" si="226"/>
        <v>46295</v>
      </c>
      <c r="P1793" s="93">
        <v>2550.0</v>
      </c>
      <c r="Q1793" s="91" t="s">
        <v>1864</v>
      </c>
    </row>
    <row r="1794" ht="14.25" hidden="1" customHeight="1" outlineLevel="1">
      <c r="A1794" s="465">
        <v>46267.0</v>
      </c>
      <c r="B1794" s="466">
        <f t="shared" si="225"/>
        <v>46267</v>
      </c>
      <c r="C1794" s="467">
        <v>0.5069444444444444</v>
      </c>
      <c r="D1794" s="468" t="s">
        <v>1064</v>
      </c>
      <c r="E1794" s="469">
        <v>25.0</v>
      </c>
      <c r="F1794" s="468" t="s">
        <v>1870</v>
      </c>
      <c r="G1794" s="470"/>
      <c r="I1794" s="86"/>
      <c r="J1794" s="88"/>
      <c r="K1794" s="93"/>
      <c r="L1794" s="90"/>
      <c r="M1794" s="51"/>
      <c r="N1794" s="86"/>
      <c r="O1794" s="88"/>
      <c r="P1794" s="93">
        <v>0.0</v>
      </c>
      <c r="Q1794" s="91"/>
    </row>
    <row r="1795" ht="14.25" hidden="1" customHeight="1" outlineLevel="1">
      <c r="A1795" s="471">
        <v>46267.0</v>
      </c>
      <c r="B1795" s="472">
        <f t="shared" si="225"/>
        <v>46267</v>
      </c>
      <c r="C1795" s="473">
        <v>0.7604166666666666</v>
      </c>
      <c r="D1795" s="474" t="s">
        <v>1489</v>
      </c>
      <c r="E1795" s="475">
        <v>15.0</v>
      </c>
      <c r="F1795" s="474" t="s">
        <v>1872</v>
      </c>
      <c r="G1795" s="476"/>
      <c r="I1795" s="86"/>
      <c r="J1795" s="88"/>
      <c r="K1795" s="93"/>
      <c r="L1795" s="90"/>
      <c r="M1795" s="51"/>
      <c r="N1795" s="86"/>
      <c r="O1795" s="88"/>
      <c r="P1795" s="93">
        <v>0.0</v>
      </c>
      <c r="Q1795" s="91"/>
    </row>
    <row r="1796" ht="14.25" hidden="1" customHeight="1" outlineLevel="1">
      <c r="A1796" s="465">
        <v>46268.0</v>
      </c>
      <c r="B1796" s="466">
        <f t="shared" si="225"/>
        <v>46268</v>
      </c>
      <c r="C1796" s="467">
        <v>0.2916666666666667</v>
      </c>
      <c r="D1796" s="468" t="s">
        <v>119</v>
      </c>
      <c r="E1796" s="469">
        <v>38.0</v>
      </c>
      <c r="F1796" s="468" t="s">
        <v>886</v>
      </c>
      <c r="G1796" s="470"/>
      <c r="I1796" s="86"/>
      <c r="J1796" s="88"/>
      <c r="K1796" s="92"/>
      <c r="L1796" s="90"/>
      <c r="M1796" s="51"/>
      <c r="N1796" s="165" t="s">
        <v>195</v>
      </c>
      <c r="O1796" s="165"/>
      <c r="P1796" s="291">
        <f>SUM(P1792:P1795)</f>
        <v>5850</v>
      </c>
      <c r="Q1796" s="114"/>
    </row>
    <row r="1797" ht="14.25" hidden="1" customHeight="1" outlineLevel="1">
      <c r="A1797" s="471">
        <v>46268.0</v>
      </c>
      <c r="B1797" s="472">
        <f t="shared" si="225"/>
        <v>46268</v>
      </c>
      <c r="C1797" s="473">
        <v>0.5069444444444444</v>
      </c>
      <c r="D1797" s="474" t="s">
        <v>1251</v>
      </c>
      <c r="E1797" s="475">
        <v>31.0</v>
      </c>
      <c r="F1797" s="474" t="s">
        <v>1415</v>
      </c>
      <c r="G1797" s="476"/>
      <c r="I1797" s="108" t="s">
        <v>195</v>
      </c>
      <c r="J1797" s="109"/>
      <c r="K1797" s="113">
        <f>SUM(K1792:K1796)</f>
        <v>25</v>
      </c>
      <c r="L1797" s="114"/>
      <c r="M1797" s="51"/>
    </row>
    <row r="1798" ht="14.25" hidden="1" customHeight="1" outlineLevel="1">
      <c r="A1798" s="465">
        <v>46269.0</v>
      </c>
      <c r="B1798" s="466">
        <f t="shared" si="225"/>
        <v>46269</v>
      </c>
      <c r="C1798" s="467">
        <v>0.2916666666666667</v>
      </c>
      <c r="D1798" s="468" t="s">
        <v>296</v>
      </c>
      <c r="E1798" s="469">
        <v>104.0</v>
      </c>
      <c r="F1798" s="468" t="s">
        <v>1029</v>
      </c>
      <c r="G1798" s="470"/>
      <c r="N1798" s="235" t="s">
        <v>344</v>
      </c>
      <c r="O1798" s="27"/>
      <c r="P1798" s="27"/>
      <c r="Q1798" s="28"/>
    </row>
    <row r="1799" ht="14.25" hidden="1" customHeight="1" outlineLevel="1">
      <c r="A1799" s="471">
        <v>46269.0</v>
      </c>
      <c r="B1799" s="472">
        <f t="shared" si="225"/>
        <v>46269</v>
      </c>
      <c r="C1799" s="473">
        <v>0.5069444444444444</v>
      </c>
      <c r="D1799" s="474" t="s">
        <v>1489</v>
      </c>
      <c r="E1799" s="475">
        <v>153.0</v>
      </c>
      <c r="F1799" s="474" t="s">
        <v>1231</v>
      </c>
      <c r="G1799" s="476"/>
      <c r="N1799" s="86">
        <v>46266.0</v>
      </c>
      <c r="O1799" s="88">
        <f>N1799</f>
        <v>46266</v>
      </c>
      <c r="P1799" s="93">
        <v>0.0</v>
      </c>
      <c r="Q1799" s="91"/>
    </row>
    <row r="1800" ht="14.25" hidden="1" customHeight="1" outlineLevel="1">
      <c r="A1800" s="465">
        <v>46270.0</v>
      </c>
      <c r="B1800" s="466">
        <f t="shared" si="225"/>
        <v>46270</v>
      </c>
      <c r="C1800" s="467">
        <v>0.2916666666666667</v>
      </c>
      <c r="D1800" s="468" t="s">
        <v>1251</v>
      </c>
      <c r="E1800" s="469">
        <v>130.0</v>
      </c>
      <c r="F1800" s="468" t="s">
        <v>129</v>
      </c>
      <c r="G1800" s="470"/>
      <c r="N1800" s="165" t="s">
        <v>195</v>
      </c>
      <c r="O1800" s="165"/>
      <c r="P1800" s="291">
        <f>P1799</f>
        <v>0</v>
      </c>
      <c r="Q1800" s="114"/>
    </row>
    <row r="1801" ht="14.25" hidden="1" customHeight="1" outlineLevel="1">
      <c r="A1801" s="471">
        <v>46271.0</v>
      </c>
      <c r="B1801" s="472">
        <f t="shared" si="225"/>
        <v>46271</v>
      </c>
      <c r="C1801" s="473">
        <v>0.3333333333333333</v>
      </c>
      <c r="D1801" s="474" t="s">
        <v>490</v>
      </c>
      <c r="E1801" s="475">
        <v>166.0</v>
      </c>
      <c r="F1801" s="474" t="s">
        <v>1395</v>
      </c>
      <c r="G1801" s="476"/>
    </row>
    <row r="1802" ht="14.25" hidden="1" customHeight="1" outlineLevel="1">
      <c r="A1802" s="465">
        <v>46271.0</v>
      </c>
      <c r="B1802" s="466">
        <f t="shared" si="225"/>
        <v>46271</v>
      </c>
      <c r="C1802" s="467">
        <v>0.4583333333333333</v>
      </c>
      <c r="D1802" s="468" t="s">
        <v>296</v>
      </c>
      <c r="E1802" s="469">
        <v>580.0</v>
      </c>
      <c r="F1802" s="468" t="s">
        <v>1741</v>
      </c>
      <c r="G1802" s="470"/>
    </row>
    <row r="1803" ht="14.25" hidden="1" customHeight="1" outlineLevel="1">
      <c r="A1803" s="471">
        <v>46271.0</v>
      </c>
      <c r="B1803" s="472">
        <f t="shared" si="225"/>
        <v>46271</v>
      </c>
      <c r="C1803" s="473">
        <v>0.7708333333333334</v>
      </c>
      <c r="D1803" s="474" t="s">
        <v>863</v>
      </c>
      <c r="E1803" s="475">
        <v>283.0</v>
      </c>
      <c r="F1803" s="474" t="s">
        <v>1686</v>
      </c>
      <c r="G1803" s="476"/>
    </row>
    <row r="1804" ht="14.25" hidden="1" customHeight="1" outlineLevel="1">
      <c r="A1804" s="465">
        <v>46272.0</v>
      </c>
      <c r="B1804" s="466">
        <f t="shared" si="225"/>
        <v>46272</v>
      </c>
      <c r="C1804" s="467">
        <v>0.3333333333333333</v>
      </c>
      <c r="D1804" s="468" t="s">
        <v>1327</v>
      </c>
      <c r="E1804" s="469">
        <v>40.0</v>
      </c>
      <c r="F1804" s="468" t="s">
        <v>773</v>
      </c>
      <c r="G1804" s="470"/>
    </row>
    <row r="1805" ht="14.25" hidden="1" customHeight="1" outlineLevel="1">
      <c r="A1805" s="471">
        <v>46273.0</v>
      </c>
      <c r="B1805" s="472">
        <f t="shared" si="225"/>
        <v>46273</v>
      </c>
      <c r="C1805" s="473">
        <v>0.2916666666666667</v>
      </c>
      <c r="D1805" s="474" t="s">
        <v>296</v>
      </c>
      <c r="E1805" s="475">
        <v>115.0</v>
      </c>
      <c r="F1805" s="474" t="s">
        <v>359</v>
      </c>
      <c r="G1805" s="476"/>
    </row>
    <row r="1806" ht="14.25" hidden="1" customHeight="1" outlineLevel="1">
      <c r="A1806" s="465">
        <v>46273.0</v>
      </c>
      <c r="B1806" s="466">
        <f t="shared" si="225"/>
        <v>46273</v>
      </c>
      <c r="C1806" s="467">
        <v>0.5069444444444444</v>
      </c>
      <c r="D1806" s="468" t="s">
        <v>1521</v>
      </c>
      <c r="E1806" s="469">
        <v>17.0</v>
      </c>
      <c r="F1806" s="468" t="s">
        <v>1883</v>
      </c>
      <c r="G1806" s="470"/>
    </row>
    <row r="1807" ht="14.25" hidden="1" customHeight="1" outlineLevel="1">
      <c r="A1807" s="471">
        <v>46274.0</v>
      </c>
      <c r="B1807" s="472">
        <f t="shared" si="225"/>
        <v>46274</v>
      </c>
      <c r="C1807" s="473">
        <v>0.2916666666666667</v>
      </c>
      <c r="D1807" s="474" t="s">
        <v>119</v>
      </c>
      <c r="E1807" s="475">
        <v>22.0</v>
      </c>
      <c r="F1807" s="474" t="s">
        <v>1452</v>
      </c>
      <c r="G1807" s="476"/>
    </row>
    <row r="1808" ht="14.25" hidden="1" customHeight="1" outlineLevel="1">
      <c r="A1808" s="465">
        <v>46274.0</v>
      </c>
      <c r="B1808" s="466">
        <f t="shared" si="225"/>
        <v>46274</v>
      </c>
      <c r="C1808" s="467">
        <v>0.5069444444444444</v>
      </c>
      <c r="D1808" s="468" t="s">
        <v>1064</v>
      </c>
      <c r="E1808" s="469">
        <v>77.0</v>
      </c>
      <c r="F1808" s="468" t="s">
        <v>1763</v>
      </c>
      <c r="G1808" s="470"/>
    </row>
    <row r="1809" ht="14.25" hidden="1" customHeight="1" outlineLevel="1">
      <c r="A1809" s="471">
        <v>46274.0</v>
      </c>
      <c r="B1809" s="472">
        <f t="shared" si="225"/>
        <v>46274</v>
      </c>
      <c r="C1809" s="473">
        <v>0.7604166666666666</v>
      </c>
      <c r="D1809" s="474" t="s">
        <v>1064</v>
      </c>
      <c r="E1809" s="475">
        <v>20.0</v>
      </c>
      <c r="F1809" s="474" t="s">
        <v>1222</v>
      </c>
      <c r="G1809" s="476"/>
    </row>
    <row r="1810" ht="14.25" hidden="1" customHeight="1" outlineLevel="1">
      <c r="A1810" s="465">
        <v>46275.0</v>
      </c>
      <c r="B1810" s="466">
        <f t="shared" si="225"/>
        <v>46275</v>
      </c>
      <c r="C1810" s="467">
        <v>0.2916666666666667</v>
      </c>
      <c r="D1810" s="468" t="s">
        <v>119</v>
      </c>
      <c r="E1810" s="469">
        <v>112.0</v>
      </c>
      <c r="F1810" s="468" t="s">
        <v>1739</v>
      </c>
      <c r="G1810" s="470"/>
    </row>
    <row r="1811" ht="14.25" hidden="1" customHeight="1" outlineLevel="1">
      <c r="A1811" s="471">
        <v>46275.0</v>
      </c>
      <c r="B1811" s="472">
        <f t="shared" si="225"/>
        <v>46275</v>
      </c>
      <c r="C1811" s="473">
        <v>0.5069444444444444</v>
      </c>
      <c r="D1811" s="474" t="s">
        <v>296</v>
      </c>
      <c r="E1811" s="475">
        <v>24.0</v>
      </c>
      <c r="F1811" s="474" t="s">
        <v>697</v>
      </c>
      <c r="G1811" s="476"/>
    </row>
    <row r="1812" ht="14.25" hidden="1" customHeight="1" outlineLevel="1">
      <c r="A1812" s="465">
        <v>46276.0</v>
      </c>
      <c r="B1812" s="466">
        <f t="shared" si="225"/>
        <v>46276</v>
      </c>
      <c r="C1812" s="467">
        <v>0.2916666666666667</v>
      </c>
      <c r="D1812" s="468" t="s">
        <v>296</v>
      </c>
      <c r="E1812" s="469">
        <v>22.0</v>
      </c>
      <c r="F1812" s="468" t="s">
        <v>1029</v>
      </c>
      <c r="G1812" s="470"/>
    </row>
    <row r="1813" ht="14.25" hidden="1" customHeight="1" outlineLevel="1">
      <c r="A1813" s="471">
        <v>46276.0</v>
      </c>
      <c r="B1813" s="472">
        <f t="shared" si="225"/>
        <v>46276</v>
      </c>
      <c r="C1813" s="473">
        <v>0.5069444444444444</v>
      </c>
      <c r="D1813" s="474" t="s">
        <v>1064</v>
      </c>
      <c r="E1813" s="475">
        <v>35.0</v>
      </c>
      <c r="F1813" s="474" t="s">
        <v>1885</v>
      </c>
      <c r="G1813" s="476"/>
    </row>
    <row r="1814" ht="14.25" hidden="1" customHeight="1" outlineLevel="1">
      <c r="A1814" s="465">
        <v>46277.0</v>
      </c>
      <c r="B1814" s="466">
        <f t="shared" si="225"/>
        <v>46277</v>
      </c>
      <c r="C1814" s="467">
        <v>0.3333333333333333</v>
      </c>
      <c r="D1814" s="468" t="s">
        <v>119</v>
      </c>
      <c r="E1814" s="469">
        <v>86.0</v>
      </c>
      <c r="F1814" s="468" t="s">
        <v>1887</v>
      </c>
      <c r="G1814" s="470"/>
    </row>
    <row r="1815" ht="14.25" hidden="1" customHeight="1" outlineLevel="1">
      <c r="A1815" s="471">
        <v>46278.0</v>
      </c>
      <c r="B1815" s="472">
        <f t="shared" si="225"/>
        <v>46278</v>
      </c>
      <c r="C1815" s="473">
        <v>0.3333333333333333</v>
      </c>
      <c r="D1815" s="474" t="s">
        <v>1605</v>
      </c>
      <c r="E1815" s="475">
        <v>370.0</v>
      </c>
      <c r="F1815" s="474" t="s">
        <v>1888</v>
      </c>
      <c r="G1815" s="476"/>
    </row>
    <row r="1816" ht="14.25" hidden="1" customHeight="1" outlineLevel="1">
      <c r="A1816" s="465">
        <v>46278.0</v>
      </c>
      <c r="B1816" s="466">
        <f t="shared" si="225"/>
        <v>46278</v>
      </c>
      <c r="C1816" s="467">
        <v>0.4583333333333333</v>
      </c>
      <c r="D1816" s="468" t="s">
        <v>1706</v>
      </c>
      <c r="E1816" s="469">
        <v>780.0</v>
      </c>
      <c r="F1816" s="468" t="s">
        <v>1889</v>
      </c>
      <c r="G1816" s="470"/>
    </row>
    <row r="1817" ht="14.25" hidden="1" customHeight="1" outlineLevel="1">
      <c r="A1817" s="471">
        <v>46278.0</v>
      </c>
      <c r="B1817" s="472">
        <f t="shared" si="225"/>
        <v>46278</v>
      </c>
      <c r="C1817" s="473">
        <v>0.7708333333333334</v>
      </c>
      <c r="D1817" s="474" t="s">
        <v>342</v>
      </c>
      <c r="E1817" s="475">
        <v>325.0</v>
      </c>
      <c r="F1817" s="474" t="s">
        <v>1890</v>
      </c>
      <c r="G1817" s="476"/>
    </row>
    <row r="1818" ht="14.25" hidden="1" customHeight="1" outlineLevel="1">
      <c r="A1818" s="465">
        <v>46279.0</v>
      </c>
      <c r="B1818" s="466">
        <f t="shared" si="225"/>
        <v>46279</v>
      </c>
      <c r="C1818" s="467">
        <v>0.2916666666666667</v>
      </c>
      <c r="D1818" s="468" t="s">
        <v>1327</v>
      </c>
      <c r="E1818" s="469">
        <v>70.0</v>
      </c>
      <c r="F1818" s="468" t="s">
        <v>1891</v>
      </c>
      <c r="G1818" s="470"/>
    </row>
    <row r="1819" ht="14.25" hidden="1" customHeight="1" outlineLevel="1">
      <c r="A1819" s="471">
        <v>46279.0</v>
      </c>
      <c r="B1819" s="472">
        <f t="shared" si="225"/>
        <v>46279</v>
      </c>
      <c r="C1819" s="473">
        <v>0.5069444444444444</v>
      </c>
      <c r="D1819" s="474" t="s">
        <v>1064</v>
      </c>
      <c r="E1819" s="475">
        <v>30.0</v>
      </c>
      <c r="F1819" s="474" t="s">
        <v>283</v>
      </c>
      <c r="G1819" s="476"/>
    </row>
    <row r="1820" ht="14.25" hidden="1" customHeight="1" outlineLevel="1">
      <c r="A1820" s="465">
        <v>46279.0</v>
      </c>
      <c r="B1820" s="466">
        <f t="shared" si="225"/>
        <v>46279</v>
      </c>
      <c r="C1820" s="467">
        <v>0.7604166666666666</v>
      </c>
      <c r="D1820" s="468" t="s">
        <v>1064</v>
      </c>
      <c r="E1820" s="469">
        <v>17.0</v>
      </c>
      <c r="F1820" s="468" t="s">
        <v>1893</v>
      </c>
      <c r="G1820" s="470"/>
    </row>
    <row r="1821" ht="14.25" hidden="1" customHeight="1" outlineLevel="1">
      <c r="A1821" s="471">
        <v>46280.0</v>
      </c>
      <c r="B1821" s="472">
        <f t="shared" si="225"/>
        <v>46280</v>
      </c>
      <c r="C1821" s="473">
        <v>0.2916666666666667</v>
      </c>
      <c r="D1821" s="474" t="s">
        <v>296</v>
      </c>
      <c r="E1821" s="475">
        <v>31.0</v>
      </c>
      <c r="F1821" s="474" t="s">
        <v>1735</v>
      </c>
      <c r="G1821" s="476"/>
    </row>
    <row r="1822" ht="14.25" hidden="1" customHeight="1" outlineLevel="1">
      <c r="A1822" s="465">
        <v>46280.0</v>
      </c>
      <c r="B1822" s="466">
        <f t="shared" si="225"/>
        <v>46280</v>
      </c>
      <c r="C1822" s="467">
        <v>0.5069444444444444</v>
      </c>
      <c r="D1822" s="468" t="s">
        <v>1894</v>
      </c>
      <c r="E1822" s="469">
        <v>32.0</v>
      </c>
      <c r="F1822" s="468" t="s">
        <v>1554</v>
      </c>
      <c r="G1822" s="470"/>
    </row>
    <row r="1823" ht="14.25" hidden="1" customHeight="1" outlineLevel="1">
      <c r="A1823" s="471">
        <v>46281.0</v>
      </c>
      <c r="B1823" s="472">
        <f t="shared" si="225"/>
        <v>46281</v>
      </c>
      <c r="C1823" s="473">
        <v>0.2916666666666667</v>
      </c>
      <c r="D1823" s="474" t="s">
        <v>119</v>
      </c>
      <c r="E1823" s="475">
        <v>74.0</v>
      </c>
      <c r="F1823" s="474" t="s">
        <v>1739</v>
      </c>
      <c r="G1823" s="476"/>
    </row>
    <row r="1824" ht="14.25" hidden="1" customHeight="1" outlineLevel="1">
      <c r="A1824" s="465">
        <v>46281.0</v>
      </c>
      <c r="B1824" s="466">
        <f t="shared" si="225"/>
        <v>46281</v>
      </c>
      <c r="C1824" s="467">
        <v>0.5069444444444444</v>
      </c>
      <c r="D1824" s="468" t="s">
        <v>1064</v>
      </c>
      <c r="E1824" s="469">
        <v>25.0</v>
      </c>
      <c r="F1824" s="468" t="s">
        <v>1194</v>
      </c>
      <c r="G1824" s="470"/>
    </row>
    <row r="1825" ht="14.25" hidden="1" customHeight="1" outlineLevel="1">
      <c r="A1825" s="471">
        <v>46281.0</v>
      </c>
      <c r="B1825" s="472">
        <f t="shared" si="225"/>
        <v>46281</v>
      </c>
      <c r="C1825" s="473">
        <v>0.7604166666666666</v>
      </c>
      <c r="D1825" s="474" t="s">
        <v>1064</v>
      </c>
      <c r="E1825" s="475">
        <v>17.0</v>
      </c>
      <c r="F1825" s="474" t="s">
        <v>659</v>
      </c>
      <c r="G1825" s="476"/>
    </row>
    <row r="1826" ht="14.25" hidden="1" customHeight="1" outlineLevel="1">
      <c r="A1826" s="465">
        <v>46282.0</v>
      </c>
      <c r="B1826" s="466">
        <f t="shared" si="225"/>
        <v>46282</v>
      </c>
      <c r="C1826" s="467">
        <v>0.2916666666666667</v>
      </c>
      <c r="D1826" s="468" t="s">
        <v>119</v>
      </c>
      <c r="E1826" s="469">
        <v>45.0</v>
      </c>
      <c r="F1826" s="468" t="s">
        <v>1895</v>
      </c>
      <c r="G1826" s="470"/>
    </row>
    <row r="1827" ht="14.25" hidden="1" customHeight="1" outlineLevel="1">
      <c r="A1827" s="471">
        <v>46282.0</v>
      </c>
      <c r="B1827" s="472">
        <f t="shared" si="225"/>
        <v>46282</v>
      </c>
      <c r="C1827" s="473">
        <v>0.5069444444444444</v>
      </c>
      <c r="D1827" s="474" t="s">
        <v>980</v>
      </c>
      <c r="E1827" s="475">
        <v>12.0</v>
      </c>
      <c r="F1827" s="474" t="s">
        <v>1897</v>
      </c>
      <c r="G1827" s="476"/>
    </row>
    <row r="1828" ht="14.25" hidden="1" customHeight="1" outlineLevel="1">
      <c r="A1828" s="465">
        <v>46283.0</v>
      </c>
      <c r="B1828" s="466">
        <f t="shared" si="225"/>
        <v>46283</v>
      </c>
      <c r="C1828" s="467">
        <v>0.2916666666666667</v>
      </c>
      <c r="D1828" s="468" t="s">
        <v>296</v>
      </c>
      <c r="E1828" s="469">
        <v>25.0</v>
      </c>
      <c r="F1828" s="468" t="s">
        <v>1029</v>
      </c>
      <c r="G1828" s="470"/>
    </row>
    <row r="1829" ht="14.25" hidden="1" customHeight="1" outlineLevel="1">
      <c r="A1829" s="471">
        <v>46283.0</v>
      </c>
      <c r="B1829" s="472">
        <f t="shared" si="225"/>
        <v>46283</v>
      </c>
      <c r="C1829" s="473">
        <v>0.5069444444444444</v>
      </c>
      <c r="D1829" s="474" t="s">
        <v>1064</v>
      </c>
      <c r="E1829" s="475">
        <v>0.0</v>
      </c>
      <c r="F1829" s="474" t="s">
        <v>1006</v>
      </c>
      <c r="G1829" s="476"/>
    </row>
    <row r="1830" ht="14.25" hidden="1" customHeight="1" outlineLevel="1">
      <c r="A1830" s="465">
        <v>46284.0</v>
      </c>
      <c r="B1830" s="466">
        <f t="shared" si="225"/>
        <v>46284</v>
      </c>
      <c r="C1830" s="467">
        <v>0.3333333333333333</v>
      </c>
      <c r="D1830" s="468" t="s">
        <v>119</v>
      </c>
      <c r="E1830" s="469">
        <v>50.0</v>
      </c>
      <c r="F1830" s="468" t="s">
        <v>1448</v>
      </c>
      <c r="G1830" s="470"/>
    </row>
    <row r="1831" ht="14.25" hidden="1" customHeight="1" outlineLevel="1">
      <c r="A1831" s="471">
        <v>46285.0</v>
      </c>
      <c r="B1831" s="472">
        <f t="shared" si="225"/>
        <v>46285</v>
      </c>
      <c r="C1831" s="473">
        <v>0.3333333333333333</v>
      </c>
      <c r="D1831" s="474" t="s">
        <v>490</v>
      </c>
      <c r="E1831" s="475">
        <v>258.0</v>
      </c>
      <c r="F1831" s="474" t="s">
        <v>1901</v>
      </c>
      <c r="G1831" s="476"/>
    </row>
    <row r="1832" ht="14.25" hidden="1" customHeight="1" outlineLevel="1">
      <c r="A1832" s="465">
        <v>46285.0</v>
      </c>
      <c r="B1832" s="466">
        <f t="shared" si="225"/>
        <v>46285</v>
      </c>
      <c r="C1832" s="467">
        <v>0.4583333333333333</v>
      </c>
      <c r="D1832" s="468" t="s">
        <v>296</v>
      </c>
      <c r="E1832" s="469">
        <v>550.0</v>
      </c>
      <c r="F1832" s="468" t="s">
        <v>1902</v>
      </c>
      <c r="G1832" s="470"/>
    </row>
    <row r="1833" ht="14.25" hidden="1" customHeight="1" outlineLevel="1">
      <c r="A1833" s="471">
        <v>46285.0</v>
      </c>
      <c r="B1833" s="472">
        <f t="shared" si="225"/>
        <v>46285</v>
      </c>
      <c r="C1833" s="473">
        <v>0.7708333333333334</v>
      </c>
      <c r="D1833" s="474" t="s">
        <v>1706</v>
      </c>
      <c r="E1833" s="475">
        <v>375.0</v>
      </c>
      <c r="F1833" s="474" t="s">
        <v>1686</v>
      </c>
      <c r="G1833" s="476"/>
    </row>
    <row r="1834" ht="14.25" hidden="1" customHeight="1" outlineLevel="1">
      <c r="A1834" s="465">
        <v>46286.0</v>
      </c>
      <c r="B1834" s="466">
        <f t="shared" si="225"/>
        <v>46286</v>
      </c>
      <c r="C1834" s="467">
        <v>0.2916666666666667</v>
      </c>
      <c r="D1834" s="468" t="s">
        <v>1327</v>
      </c>
      <c r="E1834" s="469">
        <v>110.0</v>
      </c>
      <c r="F1834" s="468" t="s">
        <v>303</v>
      </c>
      <c r="G1834" s="470"/>
    </row>
    <row r="1835" ht="14.25" hidden="1" customHeight="1" outlineLevel="1">
      <c r="A1835" s="471">
        <v>46286.0</v>
      </c>
      <c r="B1835" s="472">
        <f t="shared" si="225"/>
        <v>46286</v>
      </c>
      <c r="C1835" s="473">
        <v>0.5069444444444444</v>
      </c>
      <c r="D1835" s="474" t="s">
        <v>1064</v>
      </c>
      <c r="E1835" s="475">
        <v>17.0</v>
      </c>
      <c r="F1835" s="474" t="s">
        <v>1903</v>
      </c>
      <c r="G1835" s="476"/>
    </row>
    <row r="1836" ht="14.25" hidden="1" customHeight="1" outlineLevel="1">
      <c r="A1836" s="465">
        <v>46286.0</v>
      </c>
      <c r="B1836" s="466">
        <f t="shared" si="225"/>
        <v>46286</v>
      </c>
      <c r="C1836" s="467">
        <v>0.7604166666666666</v>
      </c>
      <c r="D1836" s="468" t="s">
        <v>1064</v>
      </c>
      <c r="E1836" s="469">
        <v>39.0</v>
      </c>
      <c r="F1836" s="468" t="s">
        <v>1872</v>
      </c>
      <c r="G1836" s="470"/>
    </row>
    <row r="1837" ht="14.25" hidden="1" customHeight="1" outlineLevel="1">
      <c r="A1837" s="471">
        <v>46287.0</v>
      </c>
      <c r="B1837" s="472">
        <f t="shared" si="225"/>
        <v>46287</v>
      </c>
      <c r="C1837" s="473">
        <v>0.2916666666666667</v>
      </c>
      <c r="D1837" s="474" t="s">
        <v>296</v>
      </c>
      <c r="E1837" s="475">
        <v>10.0</v>
      </c>
      <c r="F1837" s="474" t="s">
        <v>1735</v>
      </c>
      <c r="G1837" s="476"/>
    </row>
    <row r="1838" ht="14.25" hidden="1" customHeight="1" outlineLevel="1">
      <c r="A1838" s="465">
        <v>46287.0</v>
      </c>
      <c r="B1838" s="466">
        <f t="shared" si="225"/>
        <v>46287</v>
      </c>
      <c r="C1838" s="467">
        <v>0.5069444444444444</v>
      </c>
      <c r="D1838" s="468" t="s">
        <v>1521</v>
      </c>
      <c r="E1838" s="469">
        <v>34.0</v>
      </c>
      <c r="F1838" s="468" t="s">
        <v>1755</v>
      </c>
      <c r="G1838" s="470"/>
    </row>
    <row r="1839" ht="14.25" hidden="1" customHeight="1" outlineLevel="1">
      <c r="A1839" s="471">
        <v>46288.0</v>
      </c>
      <c r="B1839" s="472">
        <f t="shared" si="225"/>
        <v>46288</v>
      </c>
      <c r="C1839" s="473">
        <v>0.2916666666666667</v>
      </c>
      <c r="D1839" s="474" t="s">
        <v>119</v>
      </c>
      <c r="E1839" s="475">
        <v>120.0</v>
      </c>
      <c r="F1839" s="474" t="s">
        <v>1710</v>
      </c>
      <c r="G1839" s="476"/>
    </row>
    <row r="1840" ht="14.25" hidden="1" customHeight="1" outlineLevel="1">
      <c r="A1840" s="465">
        <v>46288.0</v>
      </c>
      <c r="B1840" s="466">
        <f t="shared" si="225"/>
        <v>46288</v>
      </c>
      <c r="C1840" s="467">
        <v>0.5069444444444444</v>
      </c>
      <c r="D1840" s="468" t="s">
        <v>1064</v>
      </c>
      <c r="E1840" s="469">
        <v>14.0</v>
      </c>
      <c r="F1840" s="468" t="s">
        <v>1215</v>
      </c>
      <c r="G1840" s="470"/>
    </row>
    <row r="1841" ht="14.25" hidden="1" customHeight="1" outlineLevel="1">
      <c r="A1841" s="471">
        <v>46288.0</v>
      </c>
      <c r="B1841" s="472">
        <f t="shared" si="225"/>
        <v>46288</v>
      </c>
      <c r="C1841" s="473">
        <v>0.7604166666666666</v>
      </c>
      <c r="D1841" s="474" t="s">
        <v>1064</v>
      </c>
      <c r="E1841" s="475">
        <v>44.0</v>
      </c>
      <c r="F1841" s="474" t="s">
        <v>1907</v>
      </c>
      <c r="G1841" s="476"/>
    </row>
    <row r="1842" ht="14.25" hidden="1" customHeight="1" outlineLevel="1">
      <c r="A1842" s="465">
        <v>46289.0</v>
      </c>
      <c r="B1842" s="466">
        <f t="shared" si="225"/>
        <v>46289</v>
      </c>
      <c r="C1842" s="467">
        <v>0.2916666666666667</v>
      </c>
      <c r="D1842" s="468" t="s">
        <v>119</v>
      </c>
      <c r="E1842" s="469">
        <v>61.0</v>
      </c>
      <c r="F1842" s="468" t="s">
        <v>727</v>
      </c>
      <c r="G1842" s="470"/>
    </row>
    <row r="1843" ht="14.25" hidden="1" customHeight="1" outlineLevel="1">
      <c r="A1843" s="471">
        <v>46289.0</v>
      </c>
      <c r="B1843" s="472">
        <f t="shared" si="225"/>
        <v>46289</v>
      </c>
      <c r="C1843" s="473">
        <v>0.5069444444444444</v>
      </c>
      <c r="D1843" s="474" t="s">
        <v>980</v>
      </c>
      <c r="E1843" s="475">
        <v>5.0</v>
      </c>
      <c r="F1843" s="474" t="s">
        <v>1909</v>
      </c>
      <c r="G1843" s="476"/>
    </row>
    <row r="1844" ht="14.25" hidden="1" customHeight="1" outlineLevel="1">
      <c r="A1844" s="465">
        <v>46290.0</v>
      </c>
      <c r="B1844" s="466">
        <f t="shared" si="225"/>
        <v>46290</v>
      </c>
      <c r="C1844" s="467">
        <v>0.2916666666666667</v>
      </c>
      <c r="D1844" s="468" t="s">
        <v>236</v>
      </c>
      <c r="E1844" s="469">
        <v>7.0</v>
      </c>
      <c r="F1844" s="468" t="s">
        <v>1910</v>
      </c>
      <c r="G1844" s="470"/>
    </row>
    <row r="1845" ht="14.25" hidden="1" customHeight="1" outlineLevel="1">
      <c r="A1845" s="471">
        <v>46290.0</v>
      </c>
      <c r="B1845" s="472">
        <f t="shared" si="225"/>
        <v>46290</v>
      </c>
      <c r="C1845" s="473">
        <v>0.5069444444444444</v>
      </c>
      <c r="D1845" s="474" t="s">
        <v>1489</v>
      </c>
      <c r="E1845" s="475">
        <v>17.0</v>
      </c>
      <c r="F1845" s="474" t="s">
        <v>706</v>
      </c>
      <c r="G1845" s="476"/>
    </row>
    <row r="1846" ht="14.25" hidden="1" customHeight="1" outlineLevel="1">
      <c r="A1846" s="465">
        <v>46291.0</v>
      </c>
      <c r="B1846" s="466">
        <f t="shared" si="225"/>
        <v>46291</v>
      </c>
      <c r="C1846" s="467">
        <v>0.3333333333333333</v>
      </c>
      <c r="D1846" s="468" t="s">
        <v>119</v>
      </c>
      <c r="E1846" s="469">
        <v>31.0</v>
      </c>
      <c r="F1846" s="468" t="s">
        <v>1913</v>
      </c>
      <c r="G1846" s="470"/>
    </row>
    <row r="1847" ht="14.25" hidden="1" customHeight="1" outlineLevel="1">
      <c r="A1847" s="471">
        <v>46292.0</v>
      </c>
      <c r="B1847" s="472">
        <f t="shared" si="225"/>
        <v>46292</v>
      </c>
      <c r="C1847" s="473">
        <v>0.3333333333333333</v>
      </c>
      <c r="D1847" s="474" t="s">
        <v>490</v>
      </c>
      <c r="E1847" s="475">
        <v>300.0</v>
      </c>
      <c r="F1847" s="474" t="s">
        <v>1915</v>
      </c>
      <c r="G1847" s="476"/>
    </row>
    <row r="1848" ht="14.25" hidden="1" customHeight="1" outlineLevel="1">
      <c r="A1848" s="465">
        <v>46292.0</v>
      </c>
      <c r="B1848" s="466">
        <f t="shared" si="225"/>
        <v>46292</v>
      </c>
      <c r="C1848" s="467">
        <v>0.4583333333333333</v>
      </c>
      <c r="D1848" s="468" t="s">
        <v>296</v>
      </c>
      <c r="E1848" s="469">
        <v>734.0</v>
      </c>
      <c r="F1848" s="468" t="s">
        <v>300</v>
      </c>
      <c r="G1848" s="470"/>
    </row>
    <row r="1849" ht="14.25" hidden="1" customHeight="1" outlineLevel="1">
      <c r="A1849" s="471">
        <v>46292.0</v>
      </c>
      <c r="B1849" s="472">
        <f t="shared" si="225"/>
        <v>46292</v>
      </c>
      <c r="C1849" s="473">
        <v>0.7708333333333334</v>
      </c>
      <c r="D1849" s="474" t="s">
        <v>1706</v>
      </c>
      <c r="E1849" s="475">
        <v>340.0</v>
      </c>
      <c r="F1849" s="474" t="s">
        <v>1890</v>
      </c>
      <c r="G1849" s="476"/>
    </row>
    <row r="1850" ht="14.25" hidden="1" customHeight="1" outlineLevel="1">
      <c r="A1850" s="465">
        <v>46293.0</v>
      </c>
      <c r="B1850" s="466">
        <f t="shared" si="225"/>
        <v>46293</v>
      </c>
      <c r="C1850" s="467">
        <v>0.2916666666666667</v>
      </c>
      <c r="D1850" s="468" t="s">
        <v>1489</v>
      </c>
      <c r="E1850" s="469">
        <v>130.0</v>
      </c>
      <c r="F1850" s="468" t="s">
        <v>773</v>
      </c>
      <c r="G1850" s="470"/>
    </row>
    <row r="1851" ht="14.25" hidden="1" customHeight="1" outlineLevel="1">
      <c r="A1851" s="471">
        <v>46293.0</v>
      </c>
      <c r="B1851" s="472">
        <f t="shared" si="225"/>
        <v>46293</v>
      </c>
      <c r="C1851" s="473">
        <v>0.5069444444444444</v>
      </c>
      <c r="D1851" s="474" t="s">
        <v>1489</v>
      </c>
      <c r="E1851" s="475">
        <v>14.0</v>
      </c>
      <c r="F1851" s="474" t="s">
        <v>1917</v>
      </c>
      <c r="G1851" s="476"/>
    </row>
    <row r="1852" ht="14.25" hidden="1" customHeight="1" outlineLevel="1">
      <c r="A1852" s="465">
        <v>46293.0</v>
      </c>
      <c r="B1852" s="466">
        <f t="shared" si="225"/>
        <v>46293</v>
      </c>
      <c r="C1852" s="467">
        <v>0.7604166666666666</v>
      </c>
      <c r="D1852" s="468" t="s">
        <v>1327</v>
      </c>
      <c r="E1852" s="469">
        <v>0.0</v>
      </c>
      <c r="F1852" s="468" t="s">
        <v>1893</v>
      </c>
      <c r="G1852" s="470"/>
    </row>
    <row r="1853" ht="14.25" hidden="1" customHeight="1" outlineLevel="1">
      <c r="A1853" s="471">
        <v>46294.0</v>
      </c>
      <c r="B1853" s="472">
        <f t="shared" si="225"/>
        <v>46294</v>
      </c>
      <c r="C1853" s="473">
        <v>0.2916666666666667</v>
      </c>
      <c r="D1853" s="474" t="s">
        <v>236</v>
      </c>
      <c r="E1853" s="475">
        <v>54.0</v>
      </c>
      <c r="F1853" s="474" t="s">
        <v>378</v>
      </c>
      <c r="G1853" s="476"/>
    </row>
    <row r="1854" ht="14.25" hidden="1" customHeight="1" outlineLevel="1">
      <c r="A1854" s="465">
        <v>46294.0</v>
      </c>
      <c r="B1854" s="466">
        <f t="shared" si="225"/>
        <v>46294</v>
      </c>
      <c r="C1854" s="467">
        <v>0.5069444444444444</v>
      </c>
      <c r="D1854" s="468" t="s">
        <v>1521</v>
      </c>
      <c r="E1854" s="469">
        <v>8.0</v>
      </c>
      <c r="F1854" s="468" t="s">
        <v>1465</v>
      </c>
      <c r="G1854" s="470"/>
    </row>
    <row r="1855" ht="14.25" hidden="1" customHeight="1" outlineLevel="1">
      <c r="A1855" s="471">
        <v>46295.0</v>
      </c>
      <c r="B1855" s="472">
        <f t="shared" si="225"/>
        <v>46295</v>
      </c>
      <c r="C1855" s="473">
        <v>0.2916666666666667</v>
      </c>
      <c r="D1855" s="474" t="s">
        <v>119</v>
      </c>
      <c r="E1855" s="475">
        <v>61.0</v>
      </c>
      <c r="F1855" s="474" t="s">
        <v>1466</v>
      </c>
      <c r="G1855" s="476"/>
    </row>
    <row r="1856" ht="14.25" hidden="1" customHeight="1" outlineLevel="1">
      <c r="A1856" s="465">
        <v>46295.0</v>
      </c>
      <c r="B1856" s="466">
        <f t="shared" si="225"/>
        <v>46295</v>
      </c>
      <c r="C1856" s="467">
        <v>0.5069444444444444</v>
      </c>
      <c r="D1856" s="468" t="s">
        <v>1064</v>
      </c>
      <c r="E1856" s="469">
        <v>24.0</v>
      </c>
      <c r="F1856" s="468" t="s">
        <v>1215</v>
      </c>
      <c r="G1856" s="470"/>
    </row>
    <row r="1857" ht="14.25" hidden="1" customHeight="1" outlineLevel="1">
      <c r="A1857" s="471">
        <v>46295.0</v>
      </c>
      <c r="B1857" s="472">
        <f t="shared" si="225"/>
        <v>46295</v>
      </c>
      <c r="C1857" s="473">
        <v>0.7604166666666666</v>
      </c>
      <c r="D1857" s="474" t="s">
        <v>1489</v>
      </c>
      <c r="E1857" s="475">
        <v>7.0</v>
      </c>
      <c r="F1857" s="474" t="s">
        <v>1918</v>
      </c>
      <c r="G1857" s="476"/>
    </row>
    <row r="1858" ht="14.25" customHeight="1">
      <c r="A1858" s="117" t="s">
        <v>195</v>
      </c>
      <c r="B1858" s="494"/>
      <c r="C1858" s="494"/>
      <c r="D1858" s="495"/>
      <c r="E1858" s="312">
        <f>SUM(E1791:E1857)</f>
        <v>7583</v>
      </c>
      <c r="F1858" s="496"/>
      <c r="G1858" s="497"/>
    </row>
    <row r="1859" ht="14.25" customHeight="1">
      <c r="A1859" s="329"/>
      <c r="B1859" s="330"/>
      <c r="C1859" s="331"/>
      <c r="D1859" s="335"/>
      <c r="E1859" s="336"/>
      <c r="F1859" s="335"/>
      <c r="G1859" s="332"/>
    </row>
    <row r="1860" ht="14.25" customHeight="1">
      <c r="A1860" s="339" t="s">
        <v>1921</v>
      </c>
      <c r="B1860" s="246"/>
      <c r="C1860" s="246"/>
      <c r="D1860" s="246"/>
      <c r="E1860" s="246"/>
      <c r="F1860" s="246"/>
      <c r="G1860" s="246"/>
      <c r="H1860" s="246"/>
      <c r="I1860" s="246"/>
      <c r="J1860" s="246"/>
      <c r="K1860" s="246"/>
      <c r="L1860" s="246"/>
      <c r="M1860" s="246"/>
      <c r="N1860" s="246"/>
      <c r="O1860" s="246"/>
      <c r="P1860" s="246"/>
      <c r="Q1860" s="247"/>
    </row>
    <row r="1861" ht="14.25" customHeight="1">
      <c r="A1861" s="499">
        <v>46296.0</v>
      </c>
      <c r="B1861" s="500">
        <f t="shared" ref="B1861:B1929" si="227">A1861</f>
        <v>46296</v>
      </c>
      <c r="C1861" s="313">
        <v>0.2916666666666667</v>
      </c>
      <c r="D1861" s="242" t="s">
        <v>119</v>
      </c>
      <c r="E1861" s="275">
        <v>75.0</v>
      </c>
      <c r="F1861" s="242" t="s">
        <v>1929</v>
      </c>
      <c r="G1861" s="244"/>
      <c r="I1861" s="235" t="s">
        <v>91</v>
      </c>
      <c r="J1861" s="27"/>
      <c r="K1861" s="27"/>
      <c r="L1861" s="28"/>
      <c r="N1861" s="235" t="s">
        <v>992</v>
      </c>
      <c r="O1861" s="27"/>
      <c r="P1861" s="27"/>
      <c r="Q1861" s="28"/>
    </row>
    <row r="1862" ht="14.25" customHeight="1">
      <c r="A1862" s="499">
        <v>46296.0</v>
      </c>
      <c r="B1862" s="463">
        <f t="shared" si="227"/>
        <v>46296</v>
      </c>
      <c r="C1862" s="313">
        <v>0.5069444444444444</v>
      </c>
      <c r="D1862" s="242"/>
      <c r="E1862" s="275">
        <v>0.0</v>
      </c>
      <c r="F1862" s="242"/>
      <c r="G1862" s="244"/>
      <c r="I1862" s="86">
        <v>46296.0</v>
      </c>
      <c r="J1862" s="88">
        <f>I1862</f>
        <v>46296</v>
      </c>
      <c r="K1862" s="93">
        <v>0.0</v>
      </c>
      <c r="L1862" s="90"/>
      <c r="M1862" s="51"/>
      <c r="N1862" s="86">
        <v>46296.0</v>
      </c>
      <c r="O1862" s="88">
        <f t="shared" ref="O1862:O1863" si="228">N1862</f>
        <v>46296</v>
      </c>
      <c r="P1862" s="93">
        <v>0.0</v>
      </c>
      <c r="Q1862" s="91" t="s">
        <v>1852</v>
      </c>
    </row>
    <row r="1863" ht="14.25" customHeight="1">
      <c r="A1863" s="499">
        <v>46296.0</v>
      </c>
      <c r="B1863" s="500">
        <f t="shared" si="227"/>
        <v>46296</v>
      </c>
      <c r="C1863" s="313">
        <v>0.7916666666666666</v>
      </c>
      <c r="D1863" s="242" t="s">
        <v>1357</v>
      </c>
      <c r="E1863" s="275">
        <v>480.0</v>
      </c>
      <c r="F1863" s="242" t="s">
        <v>1933</v>
      </c>
      <c r="G1863" s="244"/>
      <c r="I1863" s="86"/>
      <c r="J1863" s="88"/>
      <c r="K1863" s="93">
        <v>0.0</v>
      </c>
      <c r="L1863" s="90"/>
      <c r="M1863" s="51"/>
      <c r="N1863" s="86">
        <v>46296.0</v>
      </c>
      <c r="O1863" s="88">
        <f t="shared" si="228"/>
        <v>46296</v>
      </c>
      <c r="P1863" s="93">
        <v>0.0</v>
      </c>
      <c r="Q1863" s="91" t="s">
        <v>1864</v>
      </c>
    </row>
    <row r="1864" ht="14.25" customHeight="1">
      <c r="A1864" s="499">
        <v>46297.0</v>
      </c>
      <c r="B1864" s="500">
        <f t="shared" si="227"/>
        <v>46297</v>
      </c>
      <c r="C1864" s="313">
        <v>0.2916666666666667</v>
      </c>
      <c r="D1864" s="242" t="s">
        <v>236</v>
      </c>
      <c r="E1864" s="275">
        <v>115.0</v>
      </c>
      <c r="F1864" s="242" t="s">
        <v>1029</v>
      </c>
      <c r="G1864" s="244"/>
      <c r="I1864" s="86"/>
      <c r="J1864" s="88"/>
      <c r="K1864" s="93"/>
      <c r="L1864" s="90"/>
      <c r="M1864" s="51"/>
      <c r="N1864" s="86"/>
      <c r="O1864" s="88"/>
      <c r="P1864" s="93">
        <v>0.0</v>
      </c>
      <c r="Q1864" s="91"/>
    </row>
    <row r="1865" ht="14.25" customHeight="1">
      <c r="A1865" s="499">
        <v>46297.0</v>
      </c>
      <c r="B1865" s="463">
        <f t="shared" si="227"/>
        <v>46297</v>
      </c>
      <c r="C1865" s="313">
        <v>0.5069444444444444</v>
      </c>
      <c r="D1865" s="242" t="s">
        <v>1489</v>
      </c>
      <c r="E1865" s="275">
        <v>32.0</v>
      </c>
      <c r="F1865" s="242" t="s">
        <v>697</v>
      </c>
      <c r="G1865" s="244"/>
      <c r="I1865" s="86"/>
      <c r="J1865" s="88"/>
      <c r="K1865" s="93"/>
      <c r="L1865" s="90"/>
      <c r="M1865" s="51"/>
      <c r="N1865" s="86"/>
      <c r="O1865" s="88"/>
      <c r="P1865" s="93">
        <v>0.0</v>
      </c>
      <c r="Q1865" s="91"/>
    </row>
    <row r="1866" ht="14.25" customHeight="1">
      <c r="A1866" s="499">
        <v>46298.0</v>
      </c>
      <c r="B1866" s="500">
        <f t="shared" si="227"/>
        <v>46298</v>
      </c>
      <c r="C1866" s="313">
        <v>0.3333333333333333</v>
      </c>
      <c r="D1866" s="242" t="s">
        <v>1706</v>
      </c>
      <c r="E1866" s="275">
        <v>291.0</v>
      </c>
      <c r="F1866" s="242" t="s">
        <v>1940</v>
      </c>
      <c r="G1866" s="244"/>
      <c r="I1866" s="86"/>
      <c r="J1866" s="88"/>
      <c r="K1866" s="92"/>
      <c r="L1866" s="90"/>
      <c r="M1866" s="51"/>
      <c r="N1866" s="165" t="s">
        <v>195</v>
      </c>
      <c r="O1866" s="165"/>
      <c r="P1866" s="291">
        <f>SUM(P1862:P1865)</f>
        <v>0</v>
      </c>
      <c r="Q1866" s="114"/>
    </row>
    <row r="1867" ht="14.25" customHeight="1">
      <c r="A1867" s="510">
        <v>46299.0</v>
      </c>
      <c r="B1867" s="463">
        <f t="shared" si="227"/>
        <v>46299</v>
      </c>
      <c r="C1867" s="313">
        <v>0.3333333333333333</v>
      </c>
      <c r="D1867" s="242" t="s">
        <v>1942</v>
      </c>
      <c r="E1867" s="275">
        <v>473.0</v>
      </c>
      <c r="F1867" s="242" t="s">
        <v>1614</v>
      </c>
      <c r="G1867" s="244"/>
      <c r="I1867" s="108" t="s">
        <v>195</v>
      </c>
      <c r="J1867" s="109"/>
      <c r="K1867" s="113">
        <f>SUM(K1862:K1866)</f>
        <v>0</v>
      </c>
      <c r="L1867" s="114"/>
      <c r="M1867" s="51"/>
    </row>
    <row r="1868" ht="14.25" customHeight="1">
      <c r="A1868" s="510">
        <v>46299.0</v>
      </c>
      <c r="B1868" s="500">
        <f t="shared" si="227"/>
        <v>46299</v>
      </c>
      <c r="C1868" s="313">
        <v>0.4583333333333333</v>
      </c>
      <c r="D1868" s="242" t="s">
        <v>1251</v>
      </c>
      <c r="E1868" s="275">
        <v>460.0</v>
      </c>
      <c r="F1868" s="242" t="s">
        <v>1944</v>
      </c>
      <c r="G1868" s="244"/>
      <c r="N1868" s="235" t="s">
        <v>344</v>
      </c>
      <c r="O1868" s="27"/>
      <c r="P1868" s="27"/>
      <c r="Q1868" s="28"/>
    </row>
    <row r="1869" ht="14.25" customHeight="1">
      <c r="A1869" s="510">
        <v>46299.0</v>
      </c>
      <c r="B1869" s="463">
        <f t="shared" si="227"/>
        <v>46299</v>
      </c>
      <c r="C1869" s="313">
        <v>0.7708333333333334</v>
      </c>
      <c r="D1869" s="242" t="s">
        <v>1605</v>
      </c>
      <c r="E1869" s="275">
        <v>165.0</v>
      </c>
      <c r="F1869" s="242" t="s">
        <v>1946</v>
      </c>
      <c r="G1869" s="244"/>
      <c r="N1869" s="86">
        <v>46296.0</v>
      </c>
      <c r="O1869" s="88">
        <f>N1869</f>
        <v>46296</v>
      </c>
      <c r="P1869" s="93">
        <v>0.0</v>
      </c>
      <c r="Q1869" s="91"/>
    </row>
    <row r="1870" ht="14.25" customHeight="1">
      <c r="A1870" s="499">
        <v>46300.0</v>
      </c>
      <c r="B1870" s="500">
        <f t="shared" si="227"/>
        <v>46300</v>
      </c>
      <c r="C1870" s="313">
        <v>0.2916666666666667</v>
      </c>
      <c r="D1870" s="242" t="s">
        <v>1706</v>
      </c>
      <c r="E1870" s="275">
        <v>40.0</v>
      </c>
      <c r="F1870" s="242" t="s">
        <v>1690</v>
      </c>
      <c r="G1870" s="244"/>
      <c r="N1870" s="165" t="s">
        <v>195</v>
      </c>
      <c r="O1870" s="165"/>
      <c r="P1870" s="291">
        <f>P1869</f>
        <v>0</v>
      </c>
      <c r="Q1870" s="114"/>
    </row>
    <row r="1871" ht="14.25" customHeight="1">
      <c r="A1871" s="499">
        <v>46300.0</v>
      </c>
      <c r="B1871" s="463">
        <f t="shared" si="227"/>
        <v>46300</v>
      </c>
      <c r="C1871" s="313">
        <v>0.5069444444444444</v>
      </c>
      <c r="D1871" s="242" t="s">
        <v>1064</v>
      </c>
      <c r="E1871" s="275">
        <v>72.0</v>
      </c>
      <c r="F1871" s="242" t="s">
        <v>1719</v>
      </c>
      <c r="G1871" s="244"/>
    </row>
    <row r="1872" ht="14.25" customHeight="1">
      <c r="A1872" s="499">
        <v>46300.0</v>
      </c>
      <c r="B1872" s="463">
        <f t="shared" si="227"/>
        <v>46300</v>
      </c>
      <c r="C1872" s="313">
        <v>0.7604166666666666</v>
      </c>
      <c r="D1872" s="242" t="s">
        <v>1327</v>
      </c>
      <c r="E1872" s="275">
        <v>16.0</v>
      </c>
      <c r="F1872" s="242" t="s">
        <v>1872</v>
      </c>
      <c r="G1872" s="244"/>
    </row>
    <row r="1873" ht="14.25" customHeight="1">
      <c r="A1873" s="499">
        <v>46301.0</v>
      </c>
      <c r="B1873" s="500">
        <f t="shared" si="227"/>
        <v>46301</v>
      </c>
      <c r="C1873" s="313">
        <v>0.2916666666666667</v>
      </c>
      <c r="D1873" s="242" t="s">
        <v>236</v>
      </c>
      <c r="E1873" s="275">
        <v>127.0</v>
      </c>
      <c r="F1873" s="242" t="s">
        <v>203</v>
      </c>
      <c r="G1873" s="244"/>
    </row>
    <row r="1874" ht="14.25" customHeight="1">
      <c r="A1874" s="499">
        <v>46301.0</v>
      </c>
      <c r="B1874" s="500">
        <f t="shared" si="227"/>
        <v>46301</v>
      </c>
      <c r="C1874" s="313">
        <v>0.5069444444444444</v>
      </c>
      <c r="D1874" s="242" t="s">
        <v>1894</v>
      </c>
      <c r="E1874" s="275">
        <v>4.0</v>
      </c>
      <c r="F1874" s="242" t="s">
        <v>1465</v>
      </c>
      <c r="G1874" s="244"/>
    </row>
    <row r="1875" ht="14.25" customHeight="1">
      <c r="A1875" s="510">
        <v>46302.0</v>
      </c>
      <c r="B1875" s="463">
        <f t="shared" si="227"/>
        <v>46302</v>
      </c>
      <c r="C1875" s="313">
        <v>0.2916666666666667</v>
      </c>
      <c r="D1875" s="242" t="s">
        <v>119</v>
      </c>
      <c r="E1875" s="275">
        <v>32.0</v>
      </c>
      <c r="F1875" s="242" t="s">
        <v>1452</v>
      </c>
      <c r="G1875" s="244"/>
    </row>
    <row r="1876" ht="14.25" customHeight="1">
      <c r="A1876" s="510">
        <v>46302.0</v>
      </c>
      <c r="B1876" s="500">
        <f t="shared" si="227"/>
        <v>46302</v>
      </c>
      <c r="C1876" s="313">
        <v>0.5069444444444444</v>
      </c>
      <c r="D1876" s="242" t="s">
        <v>1064</v>
      </c>
      <c r="E1876" s="275">
        <v>45.0</v>
      </c>
      <c r="F1876" s="242" t="s">
        <v>416</v>
      </c>
      <c r="G1876" s="244"/>
    </row>
    <row r="1877" ht="14.25" customHeight="1">
      <c r="A1877" s="510">
        <v>46302.0</v>
      </c>
      <c r="B1877" s="463">
        <f t="shared" si="227"/>
        <v>46302</v>
      </c>
      <c r="C1877" s="313">
        <v>0.7604166666666666</v>
      </c>
      <c r="D1877" s="242" t="s">
        <v>1064</v>
      </c>
      <c r="E1877" s="275">
        <v>19.0</v>
      </c>
      <c r="F1877" s="242" t="s">
        <v>1222</v>
      </c>
      <c r="G1877" s="244"/>
    </row>
    <row r="1878" ht="14.25" customHeight="1">
      <c r="A1878" s="499">
        <v>46303.0</v>
      </c>
      <c r="B1878" s="500">
        <f t="shared" si="227"/>
        <v>46303</v>
      </c>
      <c r="C1878" s="313">
        <v>0.2916666666666667</v>
      </c>
      <c r="D1878" s="242" t="s">
        <v>119</v>
      </c>
      <c r="E1878" s="275">
        <v>19.0</v>
      </c>
      <c r="F1878" s="242" t="s">
        <v>948</v>
      </c>
      <c r="G1878" s="244"/>
    </row>
    <row r="1879" ht="14.25" customHeight="1">
      <c r="A1879" s="499">
        <v>46303.0</v>
      </c>
      <c r="B1879" s="463">
        <f t="shared" si="227"/>
        <v>46303</v>
      </c>
      <c r="C1879" s="313">
        <v>0.5069444444444444</v>
      </c>
      <c r="D1879" s="242" t="s">
        <v>296</v>
      </c>
      <c r="E1879" s="275">
        <v>15.0</v>
      </c>
      <c r="F1879" s="242" t="s">
        <v>1909</v>
      </c>
      <c r="G1879" s="244"/>
    </row>
    <row r="1880" ht="14.25" customHeight="1">
      <c r="A1880" s="499">
        <v>46304.0</v>
      </c>
      <c r="B1880" s="500">
        <f t="shared" si="227"/>
        <v>46304</v>
      </c>
      <c r="C1880" s="313">
        <v>0.2916666666666667</v>
      </c>
      <c r="D1880" s="242" t="s">
        <v>1064</v>
      </c>
      <c r="E1880" s="275">
        <v>44.0</v>
      </c>
      <c r="F1880" s="242" t="s">
        <v>1029</v>
      </c>
      <c r="G1880" s="244"/>
    </row>
    <row r="1881" ht="14.25" customHeight="1">
      <c r="A1881" s="499">
        <v>46304.0</v>
      </c>
      <c r="B1881" s="463">
        <f t="shared" si="227"/>
        <v>46304</v>
      </c>
      <c r="C1881" s="313">
        <v>0.5069444444444444</v>
      </c>
      <c r="D1881" s="242" t="s">
        <v>1489</v>
      </c>
      <c r="E1881" s="275">
        <v>9.0</v>
      </c>
      <c r="F1881" s="242" t="s">
        <v>1006</v>
      </c>
      <c r="G1881" s="244"/>
    </row>
    <row r="1882" ht="14.25" customHeight="1">
      <c r="A1882" s="499">
        <v>46305.0</v>
      </c>
      <c r="B1882" s="500">
        <f t="shared" si="227"/>
        <v>46305</v>
      </c>
      <c r="C1882" s="313">
        <v>0.3333333333333333</v>
      </c>
      <c r="D1882" s="242" t="s">
        <v>119</v>
      </c>
      <c r="E1882" s="275">
        <v>26.0</v>
      </c>
      <c r="F1882" s="242" t="s">
        <v>1694</v>
      </c>
      <c r="G1882" s="244"/>
    </row>
    <row r="1883" ht="14.25" customHeight="1">
      <c r="A1883" s="510">
        <v>46306.0</v>
      </c>
      <c r="B1883" s="463">
        <f t="shared" si="227"/>
        <v>46306</v>
      </c>
      <c r="C1883" s="313">
        <v>0.3333333333333333</v>
      </c>
      <c r="D1883" s="242" t="s">
        <v>490</v>
      </c>
      <c r="E1883" s="275">
        <v>169.0</v>
      </c>
      <c r="F1883" s="242" t="s">
        <v>436</v>
      </c>
      <c r="G1883" s="244"/>
    </row>
    <row r="1884" ht="14.25" customHeight="1">
      <c r="A1884" s="510">
        <v>46306.0</v>
      </c>
      <c r="B1884" s="500">
        <f t="shared" si="227"/>
        <v>46306</v>
      </c>
      <c r="C1884" s="313">
        <v>0.4583333333333333</v>
      </c>
      <c r="D1884" s="242" t="s">
        <v>980</v>
      </c>
      <c r="E1884" s="275">
        <v>330.0</v>
      </c>
      <c r="F1884" s="242" t="s">
        <v>1952</v>
      </c>
      <c r="G1884" s="244"/>
    </row>
    <row r="1885" ht="14.25" customHeight="1">
      <c r="A1885" s="510">
        <v>46306.0</v>
      </c>
      <c r="B1885" s="463">
        <f t="shared" si="227"/>
        <v>46306</v>
      </c>
      <c r="C1885" s="313">
        <v>0.7708333333333334</v>
      </c>
      <c r="D1885" s="242"/>
      <c r="E1885" s="275"/>
      <c r="F1885" s="242"/>
      <c r="G1885" s="244"/>
    </row>
    <row r="1886" ht="14.25" customHeight="1">
      <c r="A1886" s="499">
        <v>46307.0</v>
      </c>
      <c r="B1886" s="500">
        <f t="shared" si="227"/>
        <v>46307</v>
      </c>
      <c r="C1886" s="313">
        <v>0.3333333333333333</v>
      </c>
      <c r="D1886" s="242"/>
      <c r="E1886" s="275"/>
      <c r="F1886" s="242"/>
      <c r="G1886" s="244"/>
    </row>
    <row r="1887" ht="14.25" customHeight="1">
      <c r="A1887" s="510">
        <v>46308.0</v>
      </c>
      <c r="B1887" s="463">
        <f t="shared" si="227"/>
        <v>46308</v>
      </c>
      <c r="C1887" s="313">
        <v>0.2916666666666667</v>
      </c>
      <c r="D1887" s="242"/>
      <c r="E1887" s="275"/>
      <c r="F1887" s="242"/>
      <c r="G1887" s="244"/>
    </row>
    <row r="1888" ht="14.25" customHeight="1">
      <c r="A1888" s="510">
        <v>46308.0</v>
      </c>
      <c r="B1888" s="500">
        <f t="shared" si="227"/>
        <v>46308</v>
      </c>
      <c r="C1888" s="313">
        <v>0.5069444444444444</v>
      </c>
      <c r="D1888" s="242"/>
      <c r="E1888" s="275"/>
      <c r="F1888" s="242"/>
      <c r="G1888" s="244"/>
    </row>
    <row r="1889" ht="14.25" customHeight="1">
      <c r="A1889" s="510">
        <v>46309.0</v>
      </c>
      <c r="B1889" s="463">
        <f t="shared" si="227"/>
        <v>46309</v>
      </c>
      <c r="C1889" s="313">
        <v>0.2916666666666667</v>
      </c>
      <c r="D1889" s="242"/>
      <c r="E1889" s="275"/>
      <c r="F1889" s="242"/>
      <c r="G1889" s="244"/>
    </row>
    <row r="1890" ht="14.25" customHeight="1">
      <c r="A1890" s="510">
        <v>46309.0</v>
      </c>
      <c r="B1890" s="500">
        <f t="shared" si="227"/>
        <v>46309</v>
      </c>
      <c r="C1890" s="313">
        <v>0.5069444444444444</v>
      </c>
      <c r="D1890" s="242"/>
      <c r="E1890" s="275"/>
      <c r="F1890" s="242"/>
      <c r="G1890" s="244"/>
    </row>
    <row r="1891" ht="14.25" customHeight="1">
      <c r="A1891" s="510">
        <v>46309.0</v>
      </c>
      <c r="B1891" s="463">
        <f t="shared" si="227"/>
        <v>46309</v>
      </c>
      <c r="C1891" s="313">
        <v>0.7604166666666666</v>
      </c>
      <c r="D1891" s="242"/>
      <c r="E1891" s="275"/>
      <c r="F1891" s="242"/>
      <c r="G1891" s="244"/>
    </row>
    <row r="1892" ht="14.25" customHeight="1">
      <c r="A1892" s="499">
        <v>46310.0</v>
      </c>
      <c r="B1892" s="500">
        <f t="shared" si="227"/>
        <v>46310</v>
      </c>
      <c r="C1892" s="313">
        <v>0.2916666666666667</v>
      </c>
      <c r="D1892" s="242"/>
      <c r="E1892" s="275"/>
      <c r="F1892" s="242"/>
      <c r="G1892" s="244"/>
    </row>
    <row r="1893" ht="14.25" customHeight="1">
      <c r="A1893" s="499">
        <v>46310.0</v>
      </c>
      <c r="B1893" s="463">
        <f t="shared" si="227"/>
        <v>46310</v>
      </c>
      <c r="C1893" s="313">
        <v>0.5069444444444444</v>
      </c>
      <c r="D1893" s="242"/>
      <c r="E1893" s="275"/>
      <c r="F1893" s="242"/>
      <c r="G1893" s="244"/>
    </row>
    <row r="1894" ht="14.25" customHeight="1">
      <c r="A1894" s="499">
        <v>46311.0</v>
      </c>
      <c r="B1894" s="500">
        <f t="shared" si="227"/>
        <v>46311</v>
      </c>
      <c r="C1894" s="313">
        <v>0.2916666666666667</v>
      </c>
      <c r="D1894" s="242"/>
      <c r="E1894" s="275"/>
      <c r="F1894" s="242"/>
      <c r="G1894" s="244"/>
    </row>
    <row r="1895" ht="14.25" customHeight="1">
      <c r="A1895" s="499">
        <v>46311.0</v>
      </c>
      <c r="B1895" s="463">
        <f t="shared" si="227"/>
        <v>46311</v>
      </c>
      <c r="C1895" s="313">
        <v>0.5069444444444444</v>
      </c>
      <c r="D1895" s="242"/>
      <c r="E1895" s="275"/>
      <c r="F1895" s="242"/>
      <c r="G1895" s="244"/>
    </row>
    <row r="1896" ht="14.25" customHeight="1">
      <c r="A1896" s="499">
        <v>46312.0</v>
      </c>
      <c r="B1896" s="500">
        <f t="shared" si="227"/>
        <v>46312</v>
      </c>
      <c r="C1896" s="313">
        <v>0.3333333333333333</v>
      </c>
      <c r="D1896" s="242"/>
      <c r="E1896" s="275"/>
      <c r="F1896" s="242"/>
      <c r="G1896" s="244"/>
    </row>
    <row r="1897" ht="14.25" customHeight="1">
      <c r="A1897" s="510">
        <v>46313.0</v>
      </c>
      <c r="B1897" s="463">
        <f t="shared" si="227"/>
        <v>46313</v>
      </c>
      <c r="C1897" s="313">
        <v>0.3333333333333333</v>
      </c>
      <c r="D1897" s="242"/>
      <c r="E1897" s="275"/>
      <c r="F1897" s="242"/>
      <c r="G1897" s="244"/>
    </row>
    <row r="1898" ht="14.25" customHeight="1">
      <c r="A1898" s="510">
        <v>46313.0</v>
      </c>
      <c r="B1898" s="500">
        <f t="shared" si="227"/>
        <v>46313</v>
      </c>
      <c r="C1898" s="313">
        <v>0.4583333333333333</v>
      </c>
      <c r="D1898" s="242"/>
      <c r="E1898" s="275"/>
      <c r="F1898" s="242"/>
      <c r="G1898" s="244"/>
    </row>
    <row r="1899" ht="14.25" customHeight="1">
      <c r="A1899" s="510">
        <v>46313.0</v>
      </c>
      <c r="B1899" s="463">
        <f t="shared" si="227"/>
        <v>46313</v>
      </c>
      <c r="C1899" s="313">
        <v>0.7708333333333334</v>
      </c>
      <c r="D1899" s="242"/>
      <c r="E1899" s="275"/>
      <c r="F1899" s="242"/>
      <c r="G1899" s="244"/>
    </row>
    <row r="1900" ht="14.25" customHeight="1">
      <c r="A1900" s="499">
        <v>46314.0</v>
      </c>
      <c r="B1900" s="500">
        <f t="shared" si="227"/>
        <v>46314</v>
      </c>
      <c r="C1900" s="313">
        <v>0.2916666666666667</v>
      </c>
      <c r="D1900" s="242"/>
      <c r="E1900" s="275"/>
      <c r="F1900" s="242"/>
      <c r="G1900" s="244"/>
    </row>
    <row r="1901" ht="14.25" customHeight="1">
      <c r="A1901" s="499">
        <v>46314.0</v>
      </c>
      <c r="B1901" s="463">
        <f t="shared" si="227"/>
        <v>46314</v>
      </c>
      <c r="C1901" s="313">
        <v>0.5069444444444444</v>
      </c>
      <c r="D1901" s="242"/>
      <c r="E1901" s="275"/>
      <c r="F1901" s="242"/>
      <c r="G1901" s="244"/>
    </row>
    <row r="1902" ht="14.25" customHeight="1">
      <c r="A1902" s="499">
        <v>46314.0</v>
      </c>
      <c r="B1902" s="500">
        <f t="shared" si="227"/>
        <v>46314</v>
      </c>
      <c r="C1902" s="313">
        <v>0.7916666666666666</v>
      </c>
      <c r="D1902" s="242"/>
      <c r="E1902" s="275"/>
      <c r="F1902" s="242"/>
      <c r="G1902" s="244"/>
    </row>
    <row r="1903" ht="14.25" customHeight="1">
      <c r="A1903" s="499">
        <v>46315.0</v>
      </c>
      <c r="B1903" s="463">
        <f t="shared" si="227"/>
        <v>46315</v>
      </c>
      <c r="C1903" s="313">
        <v>0.2916666666666667</v>
      </c>
      <c r="D1903" s="242"/>
      <c r="E1903" s="275"/>
      <c r="F1903" s="242"/>
      <c r="G1903" s="244"/>
    </row>
    <row r="1904" ht="14.25" customHeight="1">
      <c r="A1904" s="499">
        <v>46315.0</v>
      </c>
      <c r="B1904" s="500">
        <f t="shared" si="227"/>
        <v>46315</v>
      </c>
      <c r="C1904" s="313">
        <v>0.5069444444444444</v>
      </c>
      <c r="D1904" s="242"/>
      <c r="E1904" s="275"/>
      <c r="F1904" s="242"/>
      <c r="G1904" s="244"/>
    </row>
    <row r="1905" ht="14.25" customHeight="1">
      <c r="A1905" s="499">
        <v>46316.0</v>
      </c>
      <c r="B1905" s="463">
        <f t="shared" si="227"/>
        <v>46316</v>
      </c>
      <c r="C1905" s="313">
        <v>0.2916666666666667</v>
      </c>
      <c r="D1905" s="242"/>
      <c r="E1905" s="275"/>
      <c r="F1905" s="242"/>
      <c r="G1905" s="244"/>
    </row>
    <row r="1906" ht="14.25" customHeight="1">
      <c r="A1906" s="499">
        <v>46316.0</v>
      </c>
      <c r="B1906" s="500">
        <f t="shared" si="227"/>
        <v>46316</v>
      </c>
      <c r="C1906" s="313">
        <v>0.5069444444444444</v>
      </c>
      <c r="D1906" s="242"/>
      <c r="E1906" s="275"/>
      <c r="F1906" s="242"/>
      <c r="G1906" s="244"/>
    </row>
    <row r="1907" ht="14.25" customHeight="1">
      <c r="A1907" s="499">
        <v>46316.0</v>
      </c>
      <c r="B1907" s="463">
        <f t="shared" si="227"/>
        <v>46316</v>
      </c>
      <c r="C1907" s="313">
        <v>0.7604166666666666</v>
      </c>
      <c r="D1907" s="242"/>
      <c r="E1907" s="275"/>
      <c r="F1907" s="242"/>
      <c r="G1907" s="244"/>
    </row>
    <row r="1908" ht="14.25" customHeight="1">
      <c r="A1908" s="499">
        <v>46317.0</v>
      </c>
      <c r="B1908" s="500">
        <f t="shared" si="227"/>
        <v>46317</v>
      </c>
      <c r="C1908" s="313">
        <v>0.2916666666666667</v>
      </c>
      <c r="D1908" s="242"/>
      <c r="E1908" s="275"/>
      <c r="F1908" s="242"/>
      <c r="G1908" s="244"/>
    </row>
    <row r="1909" ht="14.25" customHeight="1">
      <c r="A1909" s="499">
        <v>46317.0</v>
      </c>
      <c r="B1909" s="463">
        <f t="shared" si="227"/>
        <v>46317</v>
      </c>
      <c r="C1909" s="313">
        <v>0.5069444444444444</v>
      </c>
      <c r="D1909" s="242"/>
      <c r="E1909" s="275"/>
      <c r="F1909" s="242"/>
      <c r="G1909" s="244"/>
    </row>
    <row r="1910" ht="14.25" customHeight="1">
      <c r="A1910" s="499">
        <v>46317.0</v>
      </c>
      <c r="B1910" s="463">
        <f t="shared" si="227"/>
        <v>46317</v>
      </c>
      <c r="C1910" s="313">
        <v>0.7916666666666666</v>
      </c>
      <c r="D1910" s="242"/>
      <c r="E1910" s="275"/>
      <c r="F1910" s="242"/>
      <c r="G1910" s="244"/>
    </row>
    <row r="1911" ht="14.25" customHeight="1">
      <c r="A1911" s="499">
        <v>46318.0</v>
      </c>
      <c r="B1911" s="500">
        <f t="shared" si="227"/>
        <v>46318</v>
      </c>
      <c r="C1911" s="313">
        <v>0.2916666666666667</v>
      </c>
      <c r="D1911" s="242"/>
      <c r="E1911" s="275"/>
      <c r="F1911" s="242"/>
      <c r="G1911" s="244"/>
    </row>
    <row r="1912" ht="14.25" customHeight="1">
      <c r="A1912" s="499">
        <v>46318.0</v>
      </c>
      <c r="B1912" s="463">
        <f t="shared" si="227"/>
        <v>46318</v>
      </c>
      <c r="C1912" s="313">
        <v>0.5069444444444444</v>
      </c>
      <c r="D1912" s="242"/>
      <c r="E1912" s="275"/>
      <c r="F1912" s="242"/>
      <c r="G1912" s="244"/>
    </row>
    <row r="1913" ht="14.25" customHeight="1">
      <c r="A1913" s="499">
        <v>46319.0</v>
      </c>
      <c r="B1913" s="500">
        <f t="shared" si="227"/>
        <v>46319</v>
      </c>
      <c r="C1913" s="313">
        <v>0.3333333333333333</v>
      </c>
      <c r="D1913" s="242"/>
      <c r="E1913" s="275"/>
      <c r="F1913" s="242"/>
      <c r="G1913" s="244"/>
    </row>
    <row r="1914" ht="14.25" customHeight="1">
      <c r="A1914" s="510">
        <v>46320.0</v>
      </c>
      <c r="B1914" s="463">
        <f t="shared" si="227"/>
        <v>46320</v>
      </c>
      <c r="C1914" s="313">
        <v>0.3333333333333333</v>
      </c>
      <c r="D1914" s="242"/>
      <c r="E1914" s="275"/>
      <c r="F1914" s="242"/>
      <c r="G1914" s="244"/>
    </row>
    <row r="1915" ht="14.25" customHeight="1">
      <c r="A1915" s="510">
        <v>46320.0</v>
      </c>
      <c r="B1915" s="500">
        <f t="shared" si="227"/>
        <v>46320</v>
      </c>
      <c r="C1915" s="313">
        <v>0.4583333333333333</v>
      </c>
      <c r="D1915" s="242"/>
      <c r="E1915" s="275"/>
      <c r="F1915" s="242"/>
      <c r="G1915" s="244"/>
    </row>
    <row r="1916" ht="14.25" customHeight="1">
      <c r="A1916" s="510">
        <v>46320.0</v>
      </c>
      <c r="B1916" s="463">
        <f t="shared" si="227"/>
        <v>46320</v>
      </c>
      <c r="C1916" s="313">
        <v>0.7708333333333334</v>
      </c>
      <c r="D1916" s="242"/>
      <c r="E1916" s="275"/>
      <c r="F1916" s="242"/>
      <c r="G1916" s="244"/>
    </row>
    <row r="1917" ht="14.25" customHeight="1">
      <c r="A1917" s="499">
        <v>46321.0</v>
      </c>
      <c r="B1917" s="500">
        <f t="shared" si="227"/>
        <v>46321</v>
      </c>
      <c r="C1917" s="313">
        <v>0.2916666666666667</v>
      </c>
      <c r="D1917" s="242"/>
      <c r="E1917" s="275"/>
      <c r="F1917" s="242"/>
      <c r="G1917" s="244"/>
    </row>
    <row r="1918" ht="14.25" customHeight="1">
      <c r="A1918" s="499">
        <v>46321.0</v>
      </c>
      <c r="B1918" s="463">
        <f t="shared" si="227"/>
        <v>46321</v>
      </c>
      <c r="C1918" s="313">
        <v>0.5069444444444444</v>
      </c>
      <c r="D1918" s="242"/>
      <c r="E1918" s="275"/>
      <c r="F1918" s="242"/>
      <c r="G1918" s="244"/>
    </row>
    <row r="1919" ht="14.25" customHeight="1">
      <c r="A1919" s="499">
        <v>46321.0</v>
      </c>
      <c r="B1919" s="500">
        <f t="shared" si="227"/>
        <v>46321</v>
      </c>
      <c r="C1919" s="313">
        <v>0.7604166666666666</v>
      </c>
      <c r="D1919" s="242"/>
      <c r="E1919" s="275"/>
      <c r="F1919" s="242"/>
      <c r="G1919" s="244"/>
    </row>
    <row r="1920" ht="14.25" customHeight="1">
      <c r="A1920" s="510">
        <v>46322.0</v>
      </c>
      <c r="B1920" s="463">
        <f t="shared" si="227"/>
        <v>46322</v>
      </c>
      <c r="C1920" s="313">
        <v>0.2916666666666667</v>
      </c>
      <c r="D1920" s="242"/>
      <c r="E1920" s="275"/>
      <c r="F1920" s="242"/>
      <c r="G1920" s="244"/>
    </row>
    <row r="1921" ht="14.25" customHeight="1">
      <c r="A1921" s="510">
        <v>46322.0</v>
      </c>
      <c r="B1921" s="500">
        <f t="shared" si="227"/>
        <v>46322</v>
      </c>
      <c r="C1921" s="313">
        <v>0.5069444444444444</v>
      </c>
      <c r="D1921" s="242"/>
      <c r="E1921" s="275"/>
      <c r="F1921" s="242"/>
      <c r="G1921" s="244"/>
    </row>
    <row r="1922" ht="14.25" customHeight="1">
      <c r="A1922" s="510">
        <v>46323.0</v>
      </c>
      <c r="B1922" s="463">
        <f t="shared" si="227"/>
        <v>46323</v>
      </c>
      <c r="C1922" s="313">
        <v>0.2916666666666667</v>
      </c>
      <c r="D1922" s="242"/>
      <c r="E1922" s="275"/>
      <c r="F1922" s="242"/>
      <c r="G1922" s="244"/>
    </row>
    <row r="1923" ht="14.25" customHeight="1">
      <c r="A1923" s="510">
        <v>46323.0</v>
      </c>
      <c r="B1923" s="500">
        <f t="shared" si="227"/>
        <v>46323</v>
      </c>
      <c r="C1923" s="313">
        <v>0.5069444444444444</v>
      </c>
      <c r="D1923" s="242"/>
      <c r="E1923" s="275"/>
      <c r="F1923" s="242"/>
      <c r="G1923" s="244"/>
    </row>
    <row r="1924" ht="14.25" customHeight="1">
      <c r="A1924" s="510">
        <v>46323.0</v>
      </c>
      <c r="B1924" s="463">
        <f t="shared" si="227"/>
        <v>46323</v>
      </c>
      <c r="C1924" s="313">
        <v>0.7604166666666666</v>
      </c>
      <c r="D1924" s="242"/>
      <c r="E1924" s="275"/>
      <c r="F1924" s="242"/>
      <c r="G1924" s="244"/>
    </row>
    <row r="1925" ht="14.25" customHeight="1">
      <c r="A1925" s="499">
        <v>46324.0</v>
      </c>
      <c r="B1925" s="500">
        <f t="shared" si="227"/>
        <v>46324</v>
      </c>
      <c r="C1925" s="313">
        <v>0.2916666666666667</v>
      </c>
      <c r="D1925" s="242"/>
      <c r="E1925" s="275"/>
      <c r="F1925" s="242"/>
      <c r="G1925" s="244"/>
    </row>
    <row r="1926" ht="14.25" customHeight="1">
      <c r="A1926" s="499">
        <v>46324.0</v>
      </c>
      <c r="B1926" s="463">
        <f t="shared" si="227"/>
        <v>46324</v>
      </c>
      <c r="C1926" s="313">
        <v>0.5069444444444444</v>
      </c>
      <c r="D1926" s="242"/>
      <c r="E1926" s="275"/>
      <c r="F1926" s="242"/>
      <c r="G1926" s="244"/>
    </row>
    <row r="1927" ht="14.25" customHeight="1">
      <c r="A1927" s="499">
        <v>46325.0</v>
      </c>
      <c r="B1927" s="500">
        <f t="shared" si="227"/>
        <v>46325</v>
      </c>
      <c r="C1927" s="313">
        <v>0.2916666666666667</v>
      </c>
      <c r="D1927" s="242"/>
      <c r="E1927" s="275"/>
      <c r="F1927" s="242"/>
      <c r="G1927" s="244"/>
    </row>
    <row r="1928" ht="14.25" customHeight="1">
      <c r="A1928" s="499">
        <v>46325.0</v>
      </c>
      <c r="B1928" s="463">
        <f t="shared" si="227"/>
        <v>46325</v>
      </c>
      <c r="C1928" s="313">
        <v>0.5069444444444444</v>
      </c>
      <c r="D1928" s="242"/>
      <c r="E1928" s="275"/>
      <c r="F1928" s="242"/>
      <c r="G1928" s="244"/>
    </row>
    <row r="1929" ht="14.25" customHeight="1">
      <c r="A1929" s="499">
        <v>46326.0</v>
      </c>
      <c r="B1929" s="500">
        <f t="shared" si="227"/>
        <v>46326</v>
      </c>
      <c r="C1929" s="313">
        <v>0.3333333333333333</v>
      </c>
      <c r="D1929" s="242"/>
      <c r="E1929" s="275"/>
      <c r="F1929" s="242"/>
      <c r="G1929" s="244"/>
    </row>
    <row r="1930" ht="14.25" customHeight="1">
      <c r="A1930" s="117" t="s">
        <v>195</v>
      </c>
      <c r="B1930" s="494"/>
      <c r="C1930" s="494"/>
      <c r="D1930" s="495"/>
      <c r="E1930" s="312">
        <f>SUM(E1861:E1929)</f>
        <v>3058</v>
      </c>
      <c r="F1930" s="335"/>
      <c r="G1930" s="332"/>
    </row>
    <row r="1931" ht="14.25" customHeight="1">
      <c r="A1931" s="329"/>
      <c r="B1931" s="330"/>
      <c r="C1931" s="331"/>
      <c r="D1931" s="335"/>
      <c r="E1931" s="336"/>
      <c r="F1931" s="335"/>
      <c r="G1931" s="332"/>
    </row>
    <row r="1932" ht="14.25" customHeight="1">
      <c r="A1932" s="329"/>
      <c r="B1932" s="330"/>
      <c r="C1932" s="331"/>
      <c r="D1932" s="335"/>
      <c r="E1932" s="336"/>
      <c r="F1932" s="335"/>
      <c r="G1932" s="332"/>
    </row>
    <row r="1933" ht="14.25" customHeight="1">
      <c r="A1933" s="329"/>
      <c r="B1933" s="330"/>
      <c r="C1933" s="331"/>
      <c r="D1933" s="335"/>
      <c r="E1933" s="336"/>
      <c r="F1933" s="335"/>
      <c r="G1933" s="332"/>
    </row>
    <row r="1934" ht="14.25" customHeight="1">
      <c r="A1934" s="329"/>
      <c r="B1934" s="330"/>
      <c r="C1934" s="331"/>
      <c r="D1934" s="335"/>
      <c r="E1934" s="336"/>
      <c r="F1934" s="335"/>
      <c r="G1934" s="332"/>
    </row>
    <row r="1935" ht="14.25" customHeight="1">
      <c r="A1935" s="329"/>
      <c r="B1935" s="330"/>
      <c r="C1935" s="331"/>
      <c r="D1935" s="335"/>
      <c r="E1935" s="336"/>
      <c r="F1935" s="335"/>
      <c r="G1935" s="332"/>
    </row>
    <row r="1936" ht="14.25" customHeight="1">
      <c r="A1936" s="329"/>
      <c r="B1936" s="330"/>
      <c r="C1936" s="331"/>
      <c r="D1936" s="335"/>
      <c r="E1936" s="336"/>
      <c r="F1936" s="335"/>
      <c r="G1936" s="332"/>
    </row>
    <row r="1937" ht="14.25" customHeight="1">
      <c r="A1937" s="329"/>
      <c r="B1937" s="330"/>
      <c r="C1937" s="331"/>
      <c r="D1937" s="335"/>
      <c r="E1937" s="336"/>
      <c r="F1937" s="335"/>
      <c r="G1937" s="332"/>
    </row>
    <row r="1938" ht="14.25" customHeight="1">
      <c r="A1938" s="329"/>
      <c r="B1938" s="330"/>
      <c r="C1938" s="331"/>
      <c r="D1938" s="335"/>
      <c r="E1938" s="336"/>
      <c r="F1938" s="335"/>
      <c r="G1938" s="332"/>
    </row>
    <row r="1939" ht="14.25" customHeight="1">
      <c r="A1939" s="329"/>
      <c r="B1939" s="330"/>
      <c r="C1939" s="331"/>
      <c r="D1939" s="335"/>
      <c r="E1939" s="336"/>
      <c r="F1939" s="335"/>
      <c r="G1939" s="332"/>
    </row>
    <row r="1940" ht="14.25" customHeight="1">
      <c r="A1940" s="329"/>
      <c r="B1940" s="330"/>
      <c r="C1940" s="331"/>
      <c r="D1940" s="335"/>
      <c r="E1940" s="336"/>
      <c r="F1940" s="335"/>
      <c r="G1940" s="332"/>
    </row>
    <row r="1941" ht="14.25" customHeight="1">
      <c r="A1941" s="329"/>
      <c r="B1941" s="330"/>
      <c r="C1941" s="331"/>
      <c r="D1941" s="335"/>
      <c r="E1941" s="336"/>
      <c r="F1941" s="335"/>
      <c r="G1941" s="332"/>
    </row>
    <row r="1942" ht="14.25" customHeight="1">
      <c r="A1942" s="329"/>
      <c r="B1942" s="330"/>
      <c r="C1942" s="331"/>
      <c r="D1942" s="335"/>
      <c r="E1942" s="336"/>
      <c r="F1942" s="335"/>
      <c r="G1942" s="332"/>
    </row>
    <row r="1943" ht="14.25" customHeight="1">
      <c r="A1943" s="329"/>
      <c r="B1943" s="330"/>
      <c r="C1943" s="331"/>
      <c r="D1943" s="335"/>
      <c r="E1943" s="336"/>
      <c r="F1943" s="335"/>
      <c r="G1943" s="332"/>
    </row>
    <row r="1944" ht="14.25" customHeight="1">
      <c r="A1944" s="329"/>
      <c r="B1944" s="330"/>
      <c r="C1944" s="331"/>
      <c r="D1944" s="335"/>
      <c r="E1944" s="336"/>
      <c r="F1944" s="335"/>
      <c r="G1944" s="332"/>
    </row>
    <row r="1945" ht="14.25" customHeight="1">
      <c r="A1945" s="329"/>
      <c r="B1945" s="330"/>
      <c r="C1945" s="331"/>
      <c r="D1945" s="335"/>
      <c r="E1945" s="336"/>
      <c r="F1945" s="335"/>
      <c r="G1945" s="332"/>
    </row>
    <row r="1946" ht="14.25" customHeight="1">
      <c r="A1946" s="329"/>
      <c r="B1946" s="330"/>
      <c r="C1946" s="331"/>
      <c r="D1946" s="335"/>
      <c r="E1946" s="336"/>
      <c r="F1946" s="335"/>
      <c r="G1946" s="332"/>
    </row>
    <row r="1947" ht="14.25" customHeight="1">
      <c r="A1947" s="329"/>
      <c r="B1947" s="330"/>
      <c r="C1947" s="331"/>
      <c r="D1947" s="335"/>
      <c r="E1947" s="336"/>
      <c r="F1947" s="335"/>
      <c r="G1947" s="332"/>
    </row>
    <row r="1948" ht="14.25" customHeight="1">
      <c r="A1948" s="329"/>
      <c r="B1948" s="330"/>
      <c r="C1948" s="331"/>
      <c r="D1948" s="335"/>
      <c r="E1948" s="336"/>
      <c r="F1948" s="335"/>
      <c r="G1948" s="332"/>
    </row>
    <row r="1949" ht="14.25" customHeight="1">
      <c r="A1949" s="329"/>
      <c r="B1949" s="330"/>
      <c r="C1949" s="331"/>
      <c r="D1949" s="335"/>
      <c r="E1949" s="336"/>
      <c r="F1949" s="335"/>
      <c r="G1949" s="332"/>
    </row>
    <row r="1950" ht="14.25" customHeight="1">
      <c r="A1950" s="329"/>
      <c r="B1950" s="330"/>
      <c r="C1950" s="331"/>
      <c r="D1950" s="335"/>
      <c r="E1950" s="336"/>
      <c r="F1950" s="335"/>
      <c r="G1950" s="332"/>
    </row>
    <row r="1951" ht="14.25" customHeight="1">
      <c r="A1951" s="329"/>
      <c r="B1951" s="330"/>
      <c r="C1951" s="331"/>
      <c r="D1951" s="335"/>
      <c r="E1951" s="336"/>
      <c r="F1951" s="335"/>
      <c r="G1951" s="332"/>
    </row>
    <row r="1952" ht="14.25" customHeight="1">
      <c r="A1952" s="329"/>
      <c r="B1952" s="330"/>
      <c r="C1952" s="331"/>
      <c r="D1952" s="335"/>
      <c r="E1952" s="336"/>
      <c r="F1952" s="335"/>
      <c r="G1952" s="332"/>
    </row>
    <row r="1953" ht="14.25" customHeight="1">
      <c r="A1953" s="329"/>
      <c r="B1953" s="330"/>
      <c r="C1953" s="331"/>
      <c r="D1953" s="335"/>
      <c r="E1953" s="336"/>
      <c r="F1953" s="335"/>
      <c r="G1953" s="332"/>
    </row>
    <row r="1954" ht="14.25" customHeight="1">
      <c r="A1954" s="329"/>
      <c r="B1954" s="330"/>
      <c r="C1954" s="331"/>
      <c r="D1954" s="335"/>
      <c r="E1954" s="336"/>
      <c r="F1954" s="335"/>
      <c r="G1954" s="332"/>
    </row>
    <row r="1955" ht="14.25" customHeight="1">
      <c r="A1955" s="329"/>
      <c r="B1955" s="330"/>
      <c r="C1955" s="331"/>
      <c r="D1955" s="335"/>
      <c r="E1955" s="336"/>
      <c r="F1955" s="335"/>
      <c r="G1955" s="332"/>
    </row>
    <row r="1956" ht="14.25" customHeight="1">
      <c r="A1956" s="329"/>
      <c r="B1956" s="330"/>
      <c r="C1956" s="331"/>
      <c r="D1956" s="335"/>
      <c r="E1956" s="336"/>
      <c r="F1956" s="335"/>
      <c r="G1956" s="332"/>
    </row>
    <row r="1957" ht="14.25" customHeight="1">
      <c r="A1957" s="329"/>
      <c r="B1957" s="330"/>
      <c r="C1957" s="331"/>
      <c r="D1957" s="335"/>
      <c r="E1957" s="336"/>
      <c r="F1957" s="335"/>
      <c r="G1957" s="332"/>
    </row>
    <row r="1958" ht="14.25" customHeight="1">
      <c r="A1958" s="329"/>
      <c r="B1958" s="330"/>
      <c r="C1958" s="331"/>
      <c r="D1958" s="335"/>
      <c r="E1958" s="336"/>
      <c r="F1958" s="335"/>
      <c r="G1958" s="332"/>
    </row>
    <row r="1959" ht="14.25" customHeight="1">
      <c r="A1959" s="329"/>
      <c r="B1959" s="330"/>
      <c r="C1959" s="331"/>
      <c r="D1959" s="335"/>
      <c r="E1959" s="336"/>
      <c r="F1959" s="335"/>
      <c r="G1959" s="332"/>
    </row>
    <row r="1960" ht="14.25" customHeight="1">
      <c r="A1960" s="329"/>
      <c r="B1960" s="330"/>
      <c r="C1960" s="331"/>
      <c r="D1960" s="335"/>
      <c r="E1960" s="336"/>
      <c r="F1960" s="335"/>
      <c r="G1960" s="332"/>
    </row>
    <row r="1961" ht="14.25" customHeight="1">
      <c r="A1961" s="329"/>
      <c r="B1961" s="330"/>
      <c r="C1961" s="331"/>
      <c r="D1961" s="335"/>
      <c r="E1961" s="336"/>
      <c r="F1961" s="335"/>
      <c r="G1961" s="332"/>
    </row>
    <row r="1962" ht="14.25" customHeight="1">
      <c r="A1962" s="329"/>
      <c r="B1962" s="330"/>
      <c r="C1962" s="331"/>
      <c r="D1962" s="335"/>
      <c r="E1962" s="336"/>
      <c r="F1962" s="335"/>
      <c r="G1962" s="332"/>
    </row>
    <row r="1963" ht="14.25" customHeight="1">
      <c r="A1963" s="329"/>
      <c r="B1963" s="330"/>
      <c r="C1963" s="331"/>
      <c r="D1963" s="335"/>
      <c r="E1963" s="336"/>
      <c r="F1963" s="335"/>
      <c r="G1963" s="332"/>
    </row>
    <row r="1964" ht="14.25" customHeight="1">
      <c r="A1964" s="329"/>
      <c r="B1964" s="330"/>
      <c r="C1964" s="331"/>
      <c r="D1964" s="335"/>
      <c r="E1964" s="336"/>
      <c r="F1964" s="335"/>
      <c r="G1964" s="332"/>
    </row>
    <row r="1965" ht="14.25" customHeight="1">
      <c r="A1965" s="329"/>
      <c r="B1965" s="330"/>
      <c r="C1965" s="331"/>
      <c r="D1965" s="335"/>
      <c r="E1965" s="336"/>
      <c r="F1965" s="335"/>
      <c r="G1965" s="332"/>
    </row>
    <row r="1966" ht="14.25" customHeight="1">
      <c r="A1966" s="329"/>
      <c r="B1966" s="330"/>
      <c r="C1966" s="331"/>
      <c r="D1966" s="335"/>
      <c r="E1966" s="336"/>
      <c r="F1966" s="335"/>
      <c r="G1966" s="332"/>
    </row>
    <row r="1967" ht="14.25" customHeight="1">
      <c r="A1967" s="329"/>
      <c r="B1967" s="330"/>
      <c r="C1967" s="331"/>
      <c r="D1967" s="335"/>
      <c r="E1967" s="336"/>
      <c r="F1967" s="335"/>
      <c r="G1967" s="332"/>
    </row>
    <row r="1968" ht="14.25" customHeight="1">
      <c r="A1968" s="329"/>
      <c r="B1968" s="330"/>
      <c r="C1968" s="331"/>
      <c r="D1968" s="335"/>
      <c r="E1968" s="336"/>
      <c r="F1968" s="335"/>
      <c r="G1968" s="332"/>
    </row>
    <row r="1969" ht="14.25" customHeight="1">
      <c r="A1969" s="329"/>
      <c r="B1969" s="330"/>
      <c r="C1969" s="331"/>
      <c r="D1969" s="335"/>
      <c r="E1969" s="336"/>
      <c r="F1969" s="335"/>
      <c r="G1969" s="332"/>
    </row>
    <row r="1970" ht="14.25" customHeight="1">
      <c r="A1970" s="329"/>
      <c r="B1970" s="330"/>
      <c r="C1970" s="331"/>
      <c r="D1970" s="335"/>
      <c r="E1970" s="336"/>
      <c r="F1970" s="335"/>
      <c r="G1970" s="332"/>
    </row>
    <row r="1971" ht="14.25" customHeight="1">
      <c r="A1971" s="329"/>
      <c r="B1971" s="330"/>
      <c r="C1971" s="331"/>
      <c r="D1971" s="335"/>
      <c r="E1971" s="336"/>
      <c r="F1971" s="335"/>
      <c r="G1971" s="332"/>
    </row>
    <row r="1972" ht="14.25" customHeight="1">
      <c r="A1972" s="329"/>
      <c r="B1972" s="330"/>
      <c r="C1972" s="331"/>
      <c r="D1972" s="335"/>
      <c r="E1972" s="336"/>
      <c r="F1972" s="335"/>
      <c r="G1972" s="332"/>
    </row>
    <row r="1973" ht="14.25" customHeight="1">
      <c r="A1973" s="329"/>
      <c r="B1973" s="330"/>
      <c r="C1973" s="331"/>
      <c r="D1973" s="335"/>
      <c r="E1973" s="336"/>
      <c r="F1973" s="335"/>
      <c r="G1973" s="332"/>
    </row>
    <row r="1974" ht="14.25" customHeight="1">
      <c r="A1974" s="329"/>
      <c r="B1974" s="330"/>
      <c r="C1974" s="331"/>
      <c r="D1974" s="335"/>
      <c r="E1974" s="336"/>
      <c r="F1974" s="335"/>
      <c r="G1974" s="332"/>
    </row>
    <row r="1975" ht="14.25" customHeight="1">
      <c r="A1975" s="329"/>
      <c r="B1975" s="330"/>
      <c r="C1975" s="331"/>
      <c r="D1975" s="335"/>
      <c r="E1975" s="336"/>
      <c r="F1975" s="335"/>
      <c r="G1975" s="332"/>
    </row>
    <row r="1976" ht="14.25" customHeight="1">
      <c r="A1976" s="329"/>
      <c r="B1976" s="330"/>
      <c r="C1976" s="331"/>
      <c r="D1976" s="335"/>
      <c r="E1976" s="336"/>
      <c r="F1976" s="335"/>
      <c r="G1976" s="332"/>
    </row>
    <row r="1977" ht="14.25" customHeight="1">
      <c r="A1977" s="329"/>
      <c r="B1977" s="330"/>
      <c r="C1977" s="331"/>
      <c r="D1977" s="335"/>
      <c r="E1977" s="336"/>
      <c r="F1977" s="335"/>
      <c r="G1977" s="332"/>
    </row>
    <row r="1978" ht="14.25" customHeight="1">
      <c r="A1978" s="329"/>
      <c r="B1978" s="330"/>
      <c r="C1978" s="331"/>
      <c r="D1978" s="335"/>
      <c r="E1978" s="336"/>
      <c r="F1978" s="335"/>
      <c r="G1978" s="332"/>
    </row>
    <row r="1979" ht="14.25" customHeight="1">
      <c r="A1979" s="329"/>
      <c r="B1979" s="330"/>
      <c r="C1979" s="331"/>
      <c r="D1979" s="335"/>
      <c r="E1979" s="336"/>
      <c r="F1979" s="335"/>
      <c r="G1979" s="332"/>
    </row>
    <row r="1980" ht="14.25" customHeight="1">
      <c r="A1980" s="329"/>
      <c r="B1980" s="330"/>
      <c r="C1980" s="331"/>
      <c r="D1980" s="335"/>
      <c r="E1980" s="336"/>
      <c r="F1980" s="335"/>
      <c r="G1980" s="332"/>
    </row>
    <row r="1981" ht="14.25" customHeight="1">
      <c r="A1981" s="329"/>
      <c r="B1981" s="330"/>
      <c r="C1981" s="331"/>
      <c r="D1981" s="335"/>
      <c r="E1981" s="336"/>
      <c r="F1981" s="335"/>
      <c r="G1981" s="332"/>
    </row>
    <row r="1982" ht="14.25" customHeight="1">
      <c r="A1982" s="329"/>
      <c r="B1982" s="330"/>
      <c r="C1982" s="331"/>
      <c r="D1982" s="335"/>
      <c r="E1982" s="336"/>
      <c r="F1982" s="335"/>
      <c r="G1982" s="332"/>
    </row>
    <row r="1983" ht="14.25" customHeight="1">
      <c r="A1983" s="329"/>
      <c r="B1983" s="330"/>
      <c r="C1983" s="331"/>
      <c r="D1983" s="335"/>
      <c r="E1983" s="336"/>
      <c r="F1983" s="335"/>
      <c r="G1983" s="332"/>
    </row>
    <row r="1984" ht="14.25" customHeight="1">
      <c r="A1984" s="329"/>
      <c r="B1984" s="330"/>
      <c r="C1984" s="331"/>
      <c r="D1984" s="335"/>
      <c r="E1984" s="336"/>
      <c r="F1984" s="335"/>
      <c r="G1984" s="332"/>
    </row>
    <row r="1985" ht="14.25" customHeight="1">
      <c r="A1985" s="329"/>
      <c r="B1985" s="330"/>
      <c r="C1985" s="331"/>
      <c r="D1985" s="335"/>
      <c r="E1985" s="336"/>
      <c r="F1985" s="335"/>
      <c r="G1985" s="332"/>
    </row>
    <row r="1986" ht="14.25" customHeight="1">
      <c r="A1986" s="329"/>
      <c r="B1986" s="330"/>
      <c r="C1986" s="331"/>
      <c r="D1986" s="335"/>
      <c r="E1986" s="336"/>
      <c r="F1986" s="335"/>
      <c r="G1986" s="332"/>
    </row>
    <row r="1987" ht="14.25" customHeight="1">
      <c r="A1987" s="329"/>
      <c r="B1987" s="330"/>
      <c r="C1987" s="331"/>
      <c r="D1987" s="335"/>
      <c r="E1987" s="336"/>
      <c r="F1987" s="335"/>
      <c r="G1987" s="332"/>
    </row>
    <row r="1988" ht="14.25" customHeight="1">
      <c r="A1988" s="329"/>
      <c r="B1988" s="330"/>
      <c r="C1988" s="331"/>
      <c r="D1988" s="335"/>
      <c r="E1988" s="336"/>
      <c r="F1988" s="335"/>
      <c r="G1988" s="332"/>
    </row>
    <row r="1989" ht="14.25" customHeight="1">
      <c r="A1989" s="329"/>
      <c r="B1989" s="330"/>
      <c r="C1989" s="331"/>
      <c r="D1989" s="335"/>
      <c r="E1989" s="336"/>
      <c r="F1989" s="335"/>
      <c r="G1989" s="332"/>
    </row>
    <row r="1990" ht="14.25" customHeight="1">
      <c r="A1990" s="329"/>
      <c r="B1990" s="330"/>
      <c r="C1990" s="331"/>
      <c r="D1990" s="335"/>
      <c r="E1990" s="336"/>
      <c r="F1990" s="335"/>
      <c r="G1990" s="332"/>
    </row>
    <row r="1991" ht="14.25" customHeight="1">
      <c r="A1991" s="329"/>
      <c r="B1991" s="330"/>
      <c r="C1991" s="331"/>
      <c r="D1991" s="335"/>
      <c r="E1991" s="336"/>
      <c r="F1991" s="335"/>
      <c r="G1991" s="332"/>
    </row>
    <row r="1992" ht="14.25" customHeight="1">
      <c r="A1992" s="329"/>
      <c r="B1992" s="330"/>
      <c r="C1992" s="331"/>
      <c r="D1992" s="335"/>
      <c r="E1992" s="336"/>
      <c r="F1992" s="335"/>
      <c r="G1992" s="332"/>
    </row>
    <row r="1993" ht="14.25" customHeight="1">
      <c r="A1993" s="329"/>
      <c r="B1993" s="330"/>
      <c r="C1993" s="331"/>
      <c r="D1993" s="335"/>
      <c r="E1993" s="336"/>
      <c r="F1993" s="335"/>
      <c r="G1993" s="332"/>
    </row>
    <row r="1994" ht="14.25" customHeight="1">
      <c r="A1994" s="329"/>
      <c r="B1994" s="330"/>
      <c r="C1994" s="331"/>
      <c r="D1994" s="335"/>
      <c r="E1994" s="336"/>
      <c r="F1994" s="335"/>
      <c r="G1994" s="332"/>
    </row>
    <row r="1995" ht="14.25" customHeight="1">
      <c r="A1995" s="329"/>
      <c r="B1995" s="330"/>
      <c r="C1995" s="331"/>
      <c r="D1995" s="335"/>
      <c r="E1995" s="336"/>
      <c r="F1995" s="335"/>
      <c r="G1995" s="332"/>
    </row>
    <row r="1996" ht="14.25" customHeight="1">
      <c r="A1996" s="329"/>
      <c r="B1996" s="330"/>
      <c r="C1996" s="331"/>
      <c r="D1996" s="335"/>
      <c r="E1996" s="336"/>
      <c r="F1996" s="335"/>
      <c r="G1996" s="332"/>
    </row>
    <row r="1997" ht="14.25" customHeight="1">
      <c r="A1997" s="329"/>
      <c r="B1997" s="330"/>
      <c r="C1997" s="331"/>
      <c r="D1997" s="335"/>
      <c r="E1997" s="336"/>
      <c r="F1997" s="335"/>
      <c r="G1997" s="332"/>
    </row>
    <row r="1998" ht="14.25" customHeight="1">
      <c r="A1998" s="329"/>
      <c r="B1998" s="330"/>
      <c r="C1998" s="331"/>
      <c r="D1998" s="335"/>
      <c r="E1998" s="336"/>
      <c r="F1998" s="335"/>
      <c r="G1998" s="332"/>
    </row>
    <row r="1999" ht="14.25" customHeight="1">
      <c r="A1999" s="329"/>
      <c r="B1999" s="330"/>
      <c r="C1999" s="331"/>
      <c r="D1999" s="335"/>
      <c r="E1999" s="336"/>
      <c r="F1999" s="335"/>
      <c r="G1999" s="332"/>
    </row>
    <row r="2000" ht="14.25" customHeight="1">
      <c r="A2000" s="329"/>
      <c r="B2000" s="330"/>
      <c r="C2000" s="331"/>
      <c r="D2000" s="335"/>
      <c r="E2000" s="336"/>
      <c r="F2000" s="335"/>
      <c r="G2000" s="332"/>
    </row>
    <row r="2001" ht="14.25" customHeight="1">
      <c r="A2001" s="329"/>
      <c r="B2001" s="330"/>
      <c r="C2001" s="331"/>
      <c r="D2001" s="335"/>
      <c r="E2001" s="336"/>
      <c r="F2001" s="335"/>
      <c r="G2001" s="332"/>
    </row>
    <row r="2002" ht="14.25" customHeight="1">
      <c r="A2002" s="329"/>
      <c r="B2002" s="330"/>
      <c r="C2002" s="331"/>
      <c r="D2002" s="335"/>
      <c r="E2002" s="336"/>
      <c r="F2002" s="335"/>
      <c r="G2002" s="332"/>
    </row>
    <row r="2003" ht="14.25" customHeight="1">
      <c r="A2003" s="329"/>
      <c r="B2003" s="330"/>
      <c r="C2003" s="331"/>
      <c r="D2003" s="335"/>
      <c r="E2003" s="336"/>
      <c r="F2003" s="335"/>
      <c r="G2003" s="332"/>
    </row>
    <row r="2004" ht="14.25" customHeight="1">
      <c r="A2004" s="329"/>
      <c r="B2004" s="330"/>
      <c r="C2004" s="331"/>
      <c r="D2004" s="335"/>
      <c r="E2004" s="336"/>
      <c r="F2004" s="335"/>
      <c r="G2004" s="332"/>
    </row>
    <row r="2005" ht="14.25" customHeight="1">
      <c r="A2005" s="329"/>
      <c r="B2005" s="330"/>
      <c r="C2005" s="331"/>
      <c r="D2005" s="335"/>
      <c r="E2005" s="336"/>
      <c r="F2005" s="335"/>
      <c r="G2005" s="332"/>
    </row>
    <row r="2006" ht="14.25" customHeight="1">
      <c r="A2006" s="329"/>
      <c r="B2006" s="330"/>
      <c r="C2006" s="331"/>
      <c r="D2006" s="335"/>
      <c r="E2006" s="336"/>
      <c r="F2006" s="335"/>
      <c r="G2006" s="332"/>
    </row>
    <row r="2007" ht="14.25" customHeight="1">
      <c r="A2007" s="329"/>
      <c r="B2007" s="330"/>
      <c r="C2007" s="331"/>
      <c r="D2007" s="335"/>
      <c r="E2007" s="336"/>
      <c r="F2007" s="335"/>
      <c r="G2007" s="332"/>
    </row>
    <row r="2008" ht="14.25" customHeight="1">
      <c r="A2008" s="329"/>
      <c r="B2008" s="330"/>
      <c r="C2008" s="331"/>
      <c r="D2008" s="335"/>
      <c r="E2008" s="336"/>
      <c r="F2008" s="335"/>
      <c r="G2008" s="332"/>
    </row>
    <row r="2009" ht="14.25" customHeight="1">
      <c r="A2009" s="329"/>
      <c r="B2009" s="330"/>
      <c r="C2009" s="331"/>
      <c r="D2009" s="335"/>
      <c r="E2009" s="336"/>
      <c r="F2009" s="335"/>
      <c r="G2009" s="332"/>
    </row>
    <row r="2010" ht="14.25" customHeight="1">
      <c r="A2010" s="329"/>
      <c r="B2010" s="330"/>
      <c r="C2010" s="331"/>
      <c r="D2010" s="335"/>
      <c r="E2010" s="336"/>
      <c r="F2010" s="335"/>
      <c r="G2010" s="332"/>
    </row>
    <row r="2011" ht="14.25" customHeight="1">
      <c r="A2011" s="329"/>
      <c r="B2011" s="330"/>
      <c r="C2011" s="331"/>
      <c r="D2011" s="335"/>
      <c r="E2011" s="336"/>
      <c r="F2011" s="335"/>
      <c r="G2011" s="332"/>
    </row>
  </sheetData>
  <autoFilter ref="$A$407:$X$443"/>
  <mergeCells count="1262">
    <mergeCell ref="I532:L532"/>
    <mergeCell ref="N532:Q532"/>
    <mergeCell ref="N538:Q538"/>
    <mergeCell ref="A512:A514"/>
    <mergeCell ref="A521:A522"/>
    <mergeCell ref="B521:B522"/>
    <mergeCell ref="A529:D529"/>
    <mergeCell ref="F529:G529"/>
    <mergeCell ref="A531:Q531"/>
    <mergeCell ref="A532:G532"/>
    <mergeCell ref="A534:A535"/>
    <mergeCell ref="B534:B535"/>
    <mergeCell ref="A542:A543"/>
    <mergeCell ref="B542:B543"/>
    <mergeCell ref="C542:C543"/>
    <mergeCell ref="A546:A547"/>
    <mergeCell ref="B546:B547"/>
    <mergeCell ref="A571:D571"/>
    <mergeCell ref="F571:G571"/>
    <mergeCell ref="A573:Q573"/>
    <mergeCell ref="A574:G574"/>
    <mergeCell ref="I574:L574"/>
    <mergeCell ref="N574:Q574"/>
    <mergeCell ref="N579:Q579"/>
    <mergeCell ref="A616:G616"/>
    <mergeCell ref="I616:L616"/>
    <mergeCell ref="N616:Q616"/>
    <mergeCell ref="A597:A598"/>
    <mergeCell ref="B597:B598"/>
    <mergeCell ref="A605:A606"/>
    <mergeCell ref="B605:B606"/>
    <mergeCell ref="A613:D613"/>
    <mergeCell ref="F613:G613"/>
    <mergeCell ref="A615:Q615"/>
    <mergeCell ref="N658:Q658"/>
    <mergeCell ref="A693:Q693"/>
    <mergeCell ref="A694:G694"/>
    <mergeCell ref="I694:L694"/>
    <mergeCell ref="N694:Q694"/>
    <mergeCell ref="N699:Q699"/>
    <mergeCell ref="A619:A620"/>
    <mergeCell ref="B619:B620"/>
    <mergeCell ref="N621:Q621"/>
    <mergeCell ref="A652:Q652"/>
    <mergeCell ref="A653:G653"/>
    <mergeCell ref="I653:L653"/>
    <mergeCell ref="N653:Q653"/>
    <mergeCell ref="A725:A727"/>
    <mergeCell ref="B725:B727"/>
    <mergeCell ref="A731:A733"/>
    <mergeCell ref="B731:B733"/>
    <mergeCell ref="A734:A735"/>
    <mergeCell ref="B734:B735"/>
    <mergeCell ref="B736:B737"/>
    <mergeCell ref="A736:A737"/>
    <mergeCell ref="A738:A739"/>
    <mergeCell ref="A740:A741"/>
    <mergeCell ref="A742:A743"/>
    <mergeCell ref="B742:B743"/>
    <mergeCell ref="A745:A747"/>
    <mergeCell ref="B745:B747"/>
    <mergeCell ref="A757:G757"/>
    <mergeCell ref="I757:L757"/>
    <mergeCell ref="N757:Q757"/>
    <mergeCell ref="N762:Q762"/>
    <mergeCell ref="A748:A749"/>
    <mergeCell ref="B748:B749"/>
    <mergeCell ref="A750:A751"/>
    <mergeCell ref="B750:B751"/>
    <mergeCell ref="A752:A753"/>
    <mergeCell ref="B752:B753"/>
    <mergeCell ref="A756:Q756"/>
    <mergeCell ref="A551:A552"/>
    <mergeCell ref="B551:B552"/>
    <mergeCell ref="C551:C552"/>
    <mergeCell ref="A559:A560"/>
    <mergeCell ref="B559:B560"/>
    <mergeCell ref="C559:C560"/>
    <mergeCell ref="A567:A568"/>
    <mergeCell ref="B567:B568"/>
    <mergeCell ref="A580:A581"/>
    <mergeCell ref="B580:B581"/>
    <mergeCell ref="A585:A586"/>
    <mergeCell ref="B585:B586"/>
    <mergeCell ref="A589:A590"/>
    <mergeCell ref="B589:B590"/>
    <mergeCell ref="A627:A628"/>
    <mergeCell ref="B627:B628"/>
    <mergeCell ref="A635:A636"/>
    <mergeCell ref="B635:B636"/>
    <mergeCell ref="A643:A644"/>
    <mergeCell ref="B643:B644"/>
    <mergeCell ref="A650:D650"/>
    <mergeCell ref="A656:A657"/>
    <mergeCell ref="B656:B657"/>
    <mergeCell ref="A664:A665"/>
    <mergeCell ref="B664:B665"/>
    <mergeCell ref="A672:A673"/>
    <mergeCell ref="B672:B673"/>
    <mergeCell ref="A680:A681"/>
    <mergeCell ref="B680:B681"/>
    <mergeCell ref="A691:D691"/>
    <mergeCell ref="A696:A697"/>
    <mergeCell ref="B696:B697"/>
    <mergeCell ref="A698:A699"/>
    <mergeCell ref="B698:B699"/>
    <mergeCell ref="B700:B701"/>
    <mergeCell ref="A700:A701"/>
    <mergeCell ref="A702:A703"/>
    <mergeCell ref="B702:B703"/>
    <mergeCell ref="A705:A706"/>
    <mergeCell ref="B705:B706"/>
    <mergeCell ref="A707:A708"/>
    <mergeCell ref="B707:B708"/>
    <mergeCell ref="B738:B739"/>
    <mergeCell ref="B740:B741"/>
    <mergeCell ref="A754:D754"/>
    <mergeCell ref="A759:A760"/>
    <mergeCell ref="B759:B760"/>
    <mergeCell ref="A761:A762"/>
    <mergeCell ref="B761:B762"/>
    <mergeCell ref="B806:B808"/>
    <mergeCell ref="B809:B810"/>
    <mergeCell ref="B811:B812"/>
    <mergeCell ref="B813:B814"/>
    <mergeCell ref="B815:B816"/>
    <mergeCell ref="B817:B818"/>
    <mergeCell ref="A820:D820"/>
    <mergeCell ref="A803:A804"/>
    <mergeCell ref="A806:A808"/>
    <mergeCell ref="A809:A810"/>
    <mergeCell ref="A811:A812"/>
    <mergeCell ref="A813:A814"/>
    <mergeCell ref="A815:A816"/>
    <mergeCell ref="A817:A818"/>
    <mergeCell ref="A764:A766"/>
    <mergeCell ref="B764:B766"/>
    <mergeCell ref="A767:A768"/>
    <mergeCell ref="B767:B768"/>
    <mergeCell ref="A769:A770"/>
    <mergeCell ref="B769:B770"/>
    <mergeCell ref="B771:B772"/>
    <mergeCell ref="A771:A772"/>
    <mergeCell ref="A773:A774"/>
    <mergeCell ref="A775:A776"/>
    <mergeCell ref="A778:A780"/>
    <mergeCell ref="A781:A782"/>
    <mergeCell ref="A783:A784"/>
    <mergeCell ref="A785:A786"/>
    <mergeCell ref="B773:B774"/>
    <mergeCell ref="B775:B776"/>
    <mergeCell ref="B778:B780"/>
    <mergeCell ref="B781:B782"/>
    <mergeCell ref="B783:B784"/>
    <mergeCell ref="B785:B786"/>
    <mergeCell ref="B787:B788"/>
    <mergeCell ref="A787:A788"/>
    <mergeCell ref="A789:A790"/>
    <mergeCell ref="A792:A794"/>
    <mergeCell ref="A795:A796"/>
    <mergeCell ref="A797:A798"/>
    <mergeCell ref="A799:A800"/>
    <mergeCell ref="A801:A802"/>
    <mergeCell ref="A822:Q822"/>
    <mergeCell ref="A823:G823"/>
    <mergeCell ref="I823:L823"/>
    <mergeCell ref="N823:Q823"/>
    <mergeCell ref="B825:B827"/>
    <mergeCell ref="B828:B829"/>
    <mergeCell ref="N829:Q829"/>
    <mergeCell ref="B789:B790"/>
    <mergeCell ref="B792:B794"/>
    <mergeCell ref="B795:B796"/>
    <mergeCell ref="B797:B798"/>
    <mergeCell ref="B799:B800"/>
    <mergeCell ref="B801:B802"/>
    <mergeCell ref="B803:B804"/>
    <mergeCell ref="A825:A827"/>
    <mergeCell ref="A828:A829"/>
    <mergeCell ref="A830:A831"/>
    <mergeCell ref="B830:B831"/>
    <mergeCell ref="A832:A833"/>
    <mergeCell ref="B832:B833"/>
    <mergeCell ref="B834:B835"/>
    <mergeCell ref="A834:A835"/>
    <mergeCell ref="A836:A837"/>
    <mergeCell ref="A838:A839"/>
    <mergeCell ref="A840:A842"/>
    <mergeCell ref="A843:A845"/>
    <mergeCell ref="A846:A847"/>
    <mergeCell ref="A848:A849"/>
    <mergeCell ref="B836:B837"/>
    <mergeCell ref="B838:B839"/>
    <mergeCell ref="B840:B842"/>
    <mergeCell ref="B843:B845"/>
    <mergeCell ref="B846:B847"/>
    <mergeCell ref="B848:B849"/>
    <mergeCell ref="B850:B851"/>
    <mergeCell ref="A850:A851"/>
    <mergeCell ref="A852:A853"/>
    <mergeCell ref="A855:A857"/>
    <mergeCell ref="A858:A859"/>
    <mergeCell ref="A860:A861"/>
    <mergeCell ref="A862:A863"/>
    <mergeCell ref="A865:A866"/>
    <mergeCell ref="B852:B853"/>
    <mergeCell ref="B855:B857"/>
    <mergeCell ref="B858:B859"/>
    <mergeCell ref="B860:B861"/>
    <mergeCell ref="B862:B863"/>
    <mergeCell ref="B865:B866"/>
    <mergeCell ref="B868:B870"/>
    <mergeCell ref="A887:D887"/>
    <mergeCell ref="A889:Q889"/>
    <mergeCell ref="A890:G890"/>
    <mergeCell ref="I890:L890"/>
    <mergeCell ref="N890:Q890"/>
    <mergeCell ref="N901:Q901"/>
    <mergeCell ref="B871:B872"/>
    <mergeCell ref="B873:B874"/>
    <mergeCell ref="B875:B876"/>
    <mergeCell ref="B877:B878"/>
    <mergeCell ref="B879:B880"/>
    <mergeCell ref="B882:B884"/>
    <mergeCell ref="B885:B886"/>
    <mergeCell ref="N1356:Q1356"/>
    <mergeCell ref="A1403:Q1403"/>
    <mergeCell ref="I1404:L1404"/>
    <mergeCell ref="N1404:Q1404"/>
    <mergeCell ref="N1412:Q1412"/>
    <mergeCell ref="A1469:Q1469"/>
    <mergeCell ref="I1470:L1470"/>
    <mergeCell ref="N1470:Q1470"/>
    <mergeCell ref="N1477:Q1477"/>
    <mergeCell ref="A1531:Q1531"/>
    <mergeCell ref="I1532:L1532"/>
    <mergeCell ref="N1532:Q1532"/>
    <mergeCell ref="N1539:Q1539"/>
    <mergeCell ref="A1596:Q1596"/>
    <mergeCell ref="B924:B925"/>
    <mergeCell ref="B926:B927"/>
    <mergeCell ref="B929:B931"/>
    <mergeCell ref="B932:B933"/>
    <mergeCell ref="B934:B935"/>
    <mergeCell ref="B936:B937"/>
    <mergeCell ref="B938:B939"/>
    <mergeCell ref="B940:B941"/>
    <mergeCell ref="B943:B945"/>
    <mergeCell ref="A954:D954"/>
    <mergeCell ref="A956:Q956"/>
    <mergeCell ref="A957:G957"/>
    <mergeCell ref="I957:L957"/>
    <mergeCell ref="N957:Q957"/>
    <mergeCell ref="N968:Q968"/>
    <mergeCell ref="A1022:Q1022"/>
    <mergeCell ref="A1023:G1023"/>
    <mergeCell ref="I1023:L1023"/>
    <mergeCell ref="N1023:Q1023"/>
    <mergeCell ref="N1034:Q1034"/>
    <mergeCell ref="A1086:Q1086"/>
    <mergeCell ref="A1087:G1087"/>
    <mergeCell ref="I1087:L1087"/>
    <mergeCell ref="N1087:Q1087"/>
    <mergeCell ref="N1099:Q1099"/>
    <mergeCell ref="A1157:Q1157"/>
    <mergeCell ref="I1158:L1158"/>
    <mergeCell ref="N1158:Q1158"/>
    <mergeCell ref="N1169:Q1169"/>
    <mergeCell ref="A1220:Q1220"/>
    <mergeCell ref="I1221:L1221"/>
    <mergeCell ref="N1221:Q1221"/>
    <mergeCell ref="N1230:Q1230"/>
    <mergeCell ref="I1232:J1233"/>
    <mergeCell ref="K1232:L1233"/>
    <mergeCell ref="A1283:Q1283"/>
    <mergeCell ref="I1284:L1284"/>
    <mergeCell ref="N1284:Q1284"/>
    <mergeCell ref="N1293:Q1293"/>
    <mergeCell ref="A1347:Q1347"/>
    <mergeCell ref="I1348:L1348"/>
    <mergeCell ref="N1348:Q1348"/>
    <mergeCell ref="I1597:L1597"/>
    <mergeCell ref="N1597:Q1597"/>
    <mergeCell ref="A868:A870"/>
    <mergeCell ref="A871:A872"/>
    <mergeCell ref="A873:A874"/>
    <mergeCell ref="A875:A876"/>
    <mergeCell ref="A877:A878"/>
    <mergeCell ref="A879:A880"/>
    <mergeCell ref="A882:A884"/>
    <mergeCell ref="A885:A886"/>
    <mergeCell ref="A892:A893"/>
    <mergeCell ref="B892:B893"/>
    <mergeCell ref="A894:A895"/>
    <mergeCell ref="B894:B895"/>
    <mergeCell ref="A896:A897"/>
    <mergeCell ref="B896:B897"/>
    <mergeCell ref="A898:A899"/>
    <mergeCell ref="B898:B899"/>
    <mergeCell ref="A901:A903"/>
    <mergeCell ref="B901:B903"/>
    <mergeCell ref="A904:A905"/>
    <mergeCell ref="B904:B905"/>
    <mergeCell ref="B906:B907"/>
    <mergeCell ref="A906:A907"/>
    <mergeCell ref="A908:A909"/>
    <mergeCell ref="A910:A911"/>
    <mergeCell ref="A912:A913"/>
    <mergeCell ref="A915:A917"/>
    <mergeCell ref="A918:A919"/>
    <mergeCell ref="A920:A921"/>
    <mergeCell ref="B908:B909"/>
    <mergeCell ref="B910:B911"/>
    <mergeCell ref="B912:B913"/>
    <mergeCell ref="B915:B917"/>
    <mergeCell ref="B918:B919"/>
    <mergeCell ref="B920:B921"/>
    <mergeCell ref="B922:B923"/>
    <mergeCell ref="A922:A923"/>
    <mergeCell ref="A924:A925"/>
    <mergeCell ref="A926:A927"/>
    <mergeCell ref="A929:A931"/>
    <mergeCell ref="A932:A933"/>
    <mergeCell ref="A934:A935"/>
    <mergeCell ref="A936:A937"/>
    <mergeCell ref="A938:A939"/>
    <mergeCell ref="A940:A941"/>
    <mergeCell ref="A943:A945"/>
    <mergeCell ref="A946:A947"/>
    <mergeCell ref="B946:B947"/>
    <mergeCell ref="A948:A949"/>
    <mergeCell ref="B948:B949"/>
    <mergeCell ref="B1014:B1015"/>
    <mergeCell ref="B1017:B1019"/>
    <mergeCell ref="A1020:D1020"/>
    <mergeCell ref="B998:B999"/>
    <mergeCell ref="B1000:B1001"/>
    <mergeCell ref="B1003:B1005"/>
    <mergeCell ref="B1006:B1007"/>
    <mergeCell ref="B1008:B1009"/>
    <mergeCell ref="B1010:B1011"/>
    <mergeCell ref="B1012:B1013"/>
    <mergeCell ref="A950:A951"/>
    <mergeCell ref="B950:B951"/>
    <mergeCell ref="A952:A953"/>
    <mergeCell ref="B952:B953"/>
    <mergeCell ref="A959:A960"/>
    <mergeCell ref="B959:B960"/>
    <mergeCell ref="B962:B964"/>
    <mergeCell ref="A962:A964"/>
    <mergeCell ref="A965:A966"/>
    <mergeCell ref="A967:A968"/>
    <mergeCell ref="A969:A970"/>
    <mergeCell ref="A971:A972"/>
    <mergeCell ref="A973:A974"/>
    <mergeCell ref="A976:A978"/>
    <mergeCell ref="B965:B966"/>
    <mergeCell ref="B967:B968"/>
    <mergeCell ref="B969:B970"/>
    <mergeCell ref="B971:B972"/>
    <mergeCell ref="B973:B974"/>
    <mergeCell ref="B976:B978"/>
    <mergeCell ref="B979:B980"/>
    <mergeCell ref="A979:A980"/>
    <mergeCell ref="A981:A982"/>
    <mergeCell ref="A983:A984"/>
    <mergeCell ref="A985:A986"/>
    <mergeCell ref="A989:A991"/>
    <mergeCell ref="A992:A993"/>
    <mergeCell ref="A994:A995"/>
    <mergeCell ref="B981:B982"/>
    <mergeCell ref="B983:B984"/>
    <mergeCell ref="B985:B986"/>
    <mergeCell ref="B989:B991"/>
    <mergeCell ref="B992:B993"/>
    <mergeCell ref="B994:B995"/>
    <mergeCell ref="B996:B997"/>
    <mergeCell ref="A996:A997"/>
    <mergeCell ref="A998:A999"/>
    <mergeCell ref="A1000:A1001"/>
    <mergeCell ref="A1003:A1005"/>
    <mergeCell ref="A1006:A1007"/>
    <mergeCell ref="A1008:A1009"/>
    <mergeCell ref="A1010:A1011"/>
    <mergeCell ref="A1012:A1013"/>
    <mergeCell ref="A1014:A1015"/>
    <mergeCell ref="A1017:A1019"/>
    <mergeCell ref="A1024:A1025"/>
    <mergeCell ref="B1024:B1025"/>
    <mergeCell ref="A1026:A1027"/>
    <mergeCell ref="B1026:B1027"/>
    <mergeCell ref="B1038:B1039"/>
    <mergeCell ref="B1040:B1041"/>
    <mergeCell ref="B1042:B1043"/>
    <mergeCell ref="B1044:B1045"/>
    <mergeCell ref="B1046:B1047"/>
    <mergeCell ref="B1049:B1051"/>
    <mergeCell ref="B1052:B1053"/>
    <mergeCell ref="B1054:B1055"/>
    <mergeCell ref="B1056:B1057"/>
    <mergeCell ref="B1058:B1059"/>
    <mergeCell ref="B1060:B1061"/>
    <mergeCell ref="B1063:B1065"/>
    <mergeCell ref="B1066:B1067"/>
    <mergeCell ref="B1068:B1069"/>
    <mergeCell ref="B1106:B1107"/>
    <mergeCell ref="B1108:B1109"/>
    <mergeCell ref="B1088:B1090"/>
    <mergeCell ref="B1091:B1092"/>
    <mergeCell ref="B1093:B1094"/>
    <mergeCell ref="B1096:B1098"/>
    <mergeCell ref="B1099:B1101"/>
    <mergeCell ref="B1102:B1103"/>
    <mergeCell ref="B1104:B1105"/>
    <mergeCell ref="A1028:A1029"/>
    <mergeCell ref="B1028:B1029"/>
    <mergeCell ref="A1030:A1031"/>
    <mergeCell ref="B1030:B1031"/>
    <mergeCell ref="A1032:A1033"/>
    <mergeCell ref="B1032:B1033"/>
    <mergeCell ref="B1035:B1037"/>
    <mergeCell ref="A1035:A1037"/>
    <mergeCell ref="A1038:A1039"/>
    <mergeCell ref="A1040:A1041"/>
    <mergeCell ref="A1042:A1043"/>
    <mergeCell ref="A1044:A1045"/>
    <mergeCell ref="A1046:A1047"/>
    <mergeCell ref="A1049:A1051"/>
    <mergeCell ref="A1052:A1053"/>
    <mergeCell ref="A1054:A1055"/>
    <mergeCell ref="A1056:A1057"/>
    <mergeCell ref="A1058:A1059"/>
    <mergeCell ref="A1060:A1061"/>
    <mergeCell ref="A1063:A1065"/>
    <mergeCell ref="A1066:A1067"/>
    <mergeCell ref="B1070:B1071"/>
    <mergeCell ref="B1072:B1073"/>
    <mergeCell ref="B1074:B1075"/>
    <mergeCell ref="B1077:B1079"/>
    <mergeCell ref="B1080:B1081"/>
    <mergeCell ref="B1082:B1083"/>
    <mergeCell ref="A1084:D1084"/>
    <mergeCell ref="A1068:A1069"/>
    <mergeCell ref="A1070:A1071"/>
    <mergeCell ref="A1072:A1073"/>
    <mergeCell ref="A1074:A1075"/>
    <mergeCell ref="A1077:A1079"/>
    <mergeCell ref="A1080:A1081"/>
    <mergeCell ref="A1082:A1083"/>
    <mergeCell ref="A1088:A1090"/>
    <mergeCell ref="A1091:A1092"/>
    <mergeCell ref="A1093:A1094"/>
    <mergeCell ref="A1096:A1098"/>
    <mergeCell ref="A1099:A1101"/>
    <mergeCell ref="A1102:A1103"/>
    <mergeCell ref="A1104:A1105"/>
    <mergeCell ref="B1119:B1120"/>
    <mergeCell ref="B1121:B1122"/>
    <mergeCell ref="A1563:A1565"/>
    <mergeCell ref="A1566:A1567"/>
    <mergeCell ref="A1568:A1569"/>
    <mergeCell ref="A1570:A1571"/>
    <mergeCell ref="A1572:A1573"/>
    <mergeCell ref="A1574:A1575"/>
    <mergeCell ref="A1577:A1579"/>
    <mergeCell ref="A1599:A1600"/>
    <mergeCell ref="A1601:A1602"/>
    <mergeCell ref="A1580:A1581"/>
    <mergeCell ref="A1582:A1583"/>
    <mergeCell ref="A1584:A1585"/>
    <mergeCell ref="A1586:A1587"/>
    <mergeCell ref="A1588:A1589"/>
    <mergeCell ref="A1591:A1593"/>
    <mergeCell ref="A1597:A1598"/>
    <mergeCell ref="A1:Q1"/>
    <mergeCell ref="A2:G2"/>
    <mergeCell ref="I2:L2"/>
    <mergeCell ref="N2:Q2"/>
    <mergeCell ref="A6:A7"/>
    <mergeCell ref="B6:B7"/>
    <mergeCell ref="B17:B18"/>
    <mergeCell ref="A41:Q41"/>
    <mergeCell ref="A42:G42"/>
    <mergeCell ref="I42:L42"/>
    <mergeCell ref="N42:Q42"/>
    <mergeCell ref="A17:A18"/>
    <mergeCell ref="A25:A26"/>
    <mergeCell ref="B25:B26"/>
    <mergeCell ref="A33:A34"/>
    <mergeCell ref="B33:B34"/>
    <mergeCell ref="A39:D39"/>
    <mergeCell ref="F39:G39"/>
    <mergeCell ref="A79:Q79"/>
    <mergeCell ref="A80:G80"/>
    <mergeCell ref="I80:L80"/>
    <mergeCell ref="N80:Q80"/>
    <mergeCell ref="A60:A61"/>
    <mergeCell ref="A68:A69"/>
    <mergeCell ref="B68:B69"/>
    <mergeCell ref="A75:A76"/>
    <mergeCell ref="B75:B76"/>
    <mergeCell ref="A77:D77"/>
    <mergeCell ref="F77:G77"/>
    <mergeCell ref="A86:A87"/>
    <mergeCell ref="B86:B87"/>
    <mergeCell ref="A88:A89"/>
    <mergeCell ref="B88:B89"/>
    <mergeCell ref="N89:Q89"/>
    <mergeCell ref="A45:A46"/>
    <mergeCell ref="B45:B46"/>
    <mergeCell ref="A52:A53"/>
    <mergeCell ref="B52:B53"/>
    <mergeCell ref="A56:A57"/>
    <mergeCell ref="B56:B57"/>
    <mergeCell ref="B60:B61"/>
    <mergeCell ref="A205:A206"/>
    <mergeCell ref="B205:B206"/>
    <mergeCell ref="N206:Q206"/>
    <mergeCell ref="A208:A209"/>
    <mergeCell ref="B208:B209"/>
    <mergeCell ref="A239:Q239"/>
    <mergeCell ref="A240:G240"/>
    <mergeCell ref="I240:L240"/>
    <mergeCell ref="N240:Q240"/>
    <mergeCell ref="N247:Q247"/>
    <mergeCell ref="A282:Q282"/>
    <mergeCell ref="A283:G283"/>
    <mergeCell ref="I283:L283"/>
    <mergeCell ref="N283:Q283"/>
    <mergeCell ref="A103:A104"/>
    <mergeCell ref="B103:B104"/>
    <mergeCell ref="A111:A112"/>
    <mergeCell ref="B111:B112"/>
    <mergeCell ref="A116:D116"/>
    <mergeCell ref="F116:G116"/>
    <mergeCell ref="A118:Q118"/>
    <mergeCell ref="A119:G119"/>
    <mergeCell ref="I119:L119"/>
    <mergeCell ref="N119:Q119"/>
    <mergeCell ref="A122:A123"/>
    <mergeCell ref="B122:B123"/>
    <mergeCell ref="B125:B126"/>
    <mergeCell ref="N127:Q127"/>
    <mergeCell ref="A156:Q156"/>
    <mergeCell ref="A157:G157"/>
    <mergeCell ref="I157:L157"/>
    <mergeCell ref="N157:Q157"/>
    <mergeCell ref="A125:A126"/>
    <mergeCell ref="A140:A141"/>
    <mergeCell ref="B140:B141"/>
    <mergeCell ref="A148:A149"/>
    <mergeCell ref="B148:B149"/>
    <mergeCell ref="A154:D154"/>
    <mergeCell ref="F154:G154"/>
    <mergeCell ref="A159:A160"/>
    <mergeCell ref="B159:B160"/>
    <mergeCell ref="A161:A162"/>
    <mergeCell ref="B161:B162"/>
    <mergeCell ref="N164:Q164"/>
    <mergeCell ref="A169:A170"/>
    <mergeCell ref="B169:B170"/>
    <mergeCell ref="A194:A195"/>
    <mergeCell ref="B194:B195"/>
    <mergeCell ref="A196:D196"/>
    <mergeCell ref="F196:G196"/>
    <mergeCell ref="A198:Q198"/>
    <mergeCell ref="A199:G199"/>
    <mergeCell ref="I199:L199"/>
    <mergeCell ref="N199:Q199"/>
    <mergeCell ref="N289:Q289"/>
    <mergeCell ref="A323:Q323"/>
    <mergeCell ref="A324:G324"/>
    <mergeCell ref="I324:L324"/>
    <mergeCell ref="N324:Q324"/>
    <mergeCell ref="N330:Q330"/>
    <mergeCell ref="A177:A178"/>
    <mergeCell ref="B177:B178"/>
    <mergeCell ref="A185:A186"/>
    <mergeCell ref="B185:B186"/>
    <mergeCell ref="A189:A190"/>
    <mergeCell ref="B189:B190"/>
    <mergeCell ref="C189:C190"/>
    <mergeCell ref="A216:A217"/>
    <mergeCell ref="B216:B217"/>
    <mergeCell ref="A224:A225"/>
    <mergeCell ref="B224:B225"/>
    <mergeCell ref="B232:B234"/>
    <mergeCell ref="A237:D237"/>
    <mergeCell ref="F237:G237"/>
    <mergeCell ref="A232:A234"/>
    <mergeCell ref="A244:A245"/>
    <mergeCell ref="B244:B245"/>
    <mergeCell ref="A247:A248"/>
    <mergeCell ref="B247:B248"/>
    <mergeCell ref="A255:A256"/>
    <mergeCell ref="B255:B256"/>
    <mergeCell ref="B273:B274"/>
    <mergeCell ref="A280:D280"/>
    <mergeCell ref="F280:G280"/>
    <mergeCell ref="A258:A259"/>
    <mergeCell ref="B258:B259"/>
    <mergeCell ref="A263:A264"/>
    <mergeCell ref="B263:B264"/>
    <mergeCell ref="A265:A266"/>
    <mergeCell ref="B265:B266"/>
    <mergeCell ref="A273:A274"/>
    <mergeCell ref="A303:A304"/>
    <mergeCell ref="A311:A312"/>
    <mergeCell ref="B311:B312"/>
    <mergeCell ref="G318:G320"/>
    <mergeCell ref="A319:A320"/>
    <mergeCell ref="B319:B320"/>
    <mergeCell ref="A321:D321"/>
    <mergeCell ref="F321:G321"/>
    <mergeCell ref="A286:A287"/>
    <mergeCell ref="B286:B287"/>
    <mergeCell ref="A292:A293"/>
    <mergeCell ref="B292:B293"/>
    <mergeCell ref="A295:A296"/>
    <mergeCell ref="B295:B296"/>
    <mergeCell ref="B303:B304"/>
    <mergeCell ref="I365:L365"/>
    <mergeCell ref="N365:Q365"/>
    <mergeCell ref="N371:Q371"/>
    <mergeCell ref="A349:A350"/>
    <mergeCell ref="A357:A358"/>
    <mergeCell ref="B357:B358"/>
    <mergeCell ref="A362:D362"/>
    <mergeCell ref="F362:G362"/>
    <mergeCell ref="A364:Q364"/>
    <mergeCell ref="A365:G365"/>
    <mergeCell ref="A330:A331"/>
    <mergeCell ref="B330:B331"/>
    <mergeCell ref="A333:A334"/>
    <mergeCell ref="B333:B334"/>
    <mergeCell ref="A341:A342"/>
    <mergeCell ref="B341:B342"/>
    <mergeCell ref="B349:B350"/>
    <mergeCell ref="I406:L406"/>
    <mergeCell ref="N406:Q406"/>
    <mergeCell ref="N412:Q412"/>
    <mergeCell ref="A387:A388"/>
    <mergeCell ref="A395:A396"/>
    <mergeCell ref="B395:B396"/>
    <mergeCell ref="A403:D403"/>
    <mergeCell ref="F403:G403"/>
    <mergeCell ref="A405:Q405"/>
    <mergeCell ref="A406:G406"/>
    <mergeCell ref="A368:A369"/>
    <mergeCell ref="B368:B369"/>
    <mergeCell ref="A371:A372"/>
    <mergeCell ref="B371:B372"/>
    <mergeCell ref="A379:A380"/>
    <mergeCell ref="B379:B380"/>
    <mergeCell ref="B387:B388"/>
    <mergeCell ref="A408:A409"/>
    <mergeCell ref="B408:B409"/>
    <mergeCell ref="A416:A417"/>
    <mergeCell ref="B416:B417"/>
    <mergeCell ref="A424:A425"/>
    <mergeCell ref="B424:B425"/>
    <mergeCell ref="B432:B433"/>
    <mergeCell ref="I446:L446"/>
    <mergeCell ref="N446:Q446"/>
    <mergeCell ref="N452:Q452"/>
    <mergeCell ref="A432:A433"/>
    <mergeCell ref="A440:A441"/>
    <mergeCell ref="B440:B441"/>
    <mergeCell ref="A443:D443"/>
    <mergeCell ref="F443:G443"/>
    <mergeCell ref="A445:Q445"/>
    <mergeCell ref="A446:G446"/>
    <mergeCell ref="A448:A449"/>
    <mergeCell ref="B448:B449"/>
    <mergeCell ref="A452:A453"/>
    <mergeCell ref="B452:B453"/>
    <mergeCell ref="A455:A456"/>
    <mergeCell ref="B455:B456"/>
    <mergeCell ref="B463:B464"/>
    <mergeCell ref="A481:A482"/>
    <mergeCell ref="B481:B482"/>
    <mergeCell ref="A487:D487"/>
    <mergeCell ref="F487:G487"/>
    <mergeCell ref="A489:Q489"/>
    <mergeCell ref="A490:G490"/>
    <mergeCell ref="I490:L490"/>
    <mergeCell ref="N490:Q490"/>
    <mergeCell ref="A494:A495"/>
    <mergeCell ref="B494:B495"/>
    <mergeCell ref="N496:Q496"/>
    <mergeCell ref="A463:A464"/>
    <mergeCell ref="A469:A470"/>
    <mergeCell ref="B469:B470"/>
    <mergeCell ref="A472:A473"/>
    <mergeCell ref="B472:B473"/>
    <mergeCell ref="A475:A476"/>
    <mergeCell ref="B475:B476"/>
    <mergeCell ref="A500:A501"/>
    <mergeCell ref="B500:B501"/>
    <mergeCell ref="A502:A503"/>
    <mergeCell ref="B502:B503"/>
    <mergeCell ref="A504:A505"/>
    <mergeCell ref="B504:B505"/>
    <mergeCell ref="B512:B514"/>
    <mergeCell ref="A709:A710"/>
    <mergeCell ref="B709:B710"/>
    <mergeCell ref="A711:A712"/>
    <mergeCell ref="B711:B712"/>
    <mergeCell ref="A713:A714"/>
    <mergeCell ref="B713:B714"/>
    <mergeCell ref="B715:B716"/>
    <mergeCell ref="A715:A716"/>
    <mergeCell ref="A718:A720"/>
    <mergeCell ref="B718:B720"/>
    <mergeCell ref="A721:A722"/>
    <mergeCell ref="B721:B722"/>
    <mergeCell ref="A723:A724"/>
    <mergeCell ref="B723:B724"/>
    <mergeCell ref="A1106:A1107"/>
    <mergeCell ref="A1108:A1109"/>
    <mergeCell ref="A1111:A1113"/>
    <mergeCell ref="B1111:B1113"/>
    <mergeCell ref="A1114:A1116"/>
    <mergeCell ref="B1114:B1116"/>
    <mergeCell ref="B1117:B1118"/>
    <mergeCell ref="A1117:A1118"/>
    <mergeCell ref="A1119:A1120"/>
    <mergeCell ref="A1121:A1122"/>
    <mergeCell ref="A1123:A1124"/>
    <mergeCell ref="B1123:B1124"/>
    <mergeCell ref="A1126:A1128"/>
    <mergeCell ref="B1126:B1128"/>
    <mergeCell ref="A1129:A1130"/>
    <mergeCell ref="B1129:B1130"/>
    <mergeCell ref="A1131:A1132"/>
    <mergeCell ref="B1131:B1132"/>
    <mergeCell ref="A1133:A1135"/>
    <mergeCell ref="B1133:B1135"/>
    <mergeCell ref="B1136:B1137"/>
    <mergeCell ref="A1136:A1137"/>
    <mergeCell ref="A1138:A1140"/>
    <mergeCell ref="B1138:B1140"/>
    <mergeCell ref="A1142:A1144"/>
    <mergeCell ref="B1142:B1144"/>
    <mergeCell ref="A1145:A1146"/>
    <mergeCell ref="B1145:B1146"/>
    <mergeCell ref="B1153:B1154"/>
    <mergeCell ref="A1155:D1155"/>
    <mergeCell ref="A1147:A1148"/>
    <mergeCell ref="B1147:B1148"/>
    <mergeCell ref="A1149:A1150"/>
    <mergeCell ref="B1149:B1150"/>
    <mergeCell ref="A1151:A1152"/>
    <mergeCell ref="B1151:B1152"/>
    <mergeCell ref="A1153:A1154"/>
    <mergeCell ref="B1168:B1169"/>
    <mergeCell ref="B1170:B1171"/>
    <mergeCell ref="A1159:A1161"/>
    <mergeCell ref="B1159:B1161"/>
    <mergeCell ref="A1162:A1163"/>
    <mergeCell ref="B1162:B1163"/>
    <mergeCell ref="A1164:A1165"/>
    <mergeCell ref="B1164:B1165"/>
    <mergeCell ref="B1166:B1167"/>
    <mergeCell ref="A1166:A1167"/>
    <mergeCell ref="A1168:A1169"/>
    <mergeCell ref="A1170:A1171"/>
    <mergeCell ref="A1173:A1175"/>
    <mergeCell ref="B1173:B1175"/>
    <mergeCell ref="A1176:A1177"/>
    <mergeCell ref="B1176:B1177"/>
    <mergeCell ref="A1178:A1179"/>
    <mergeCell ref="B1178:B1179"/>
    <mergeCell ref="A1180:A1182"/>
    <mergeCell ref="B1180:B1182"/>
    <mergeCell ref="A1183:A1184"/>
    <mergeCell ref="B1183:B1184"/>
    <mergeCell ref="B1185:B1186"/>
    <mergeCell ref="A1185:A1186"/>
    <mergeCell ref="A1188:A1190"/>
    <mergeCell ref="B1188:B1190"/>
    <mergeCell ref="A1191:A1192"/>
    <mergeCell ref="B1191:B1192"/>
    <mergeCell ref="A1193:A1194"/>
    <mergeCell ref="B1193:B1194"/>
    <mergeCell ref="B1206:B1207"/>
    <mergeCell ref="B1208:B1209"/>
    <mergeCell ref="B1210:B1211"/>
    <mergeCell ref="B1212:B1213"/>
    <mergeCell ref="B1215:B1217"/>
    <mergeCell ref="A1218:D1218"/>
    <mergeCell ref="B1221:B1222"/>
    <mergeCell ref="B1223:B1224"/>
    <mergeCell ref="A1195:A1196"/>
    <mergeCell ref="B1195:B1196"/>
    <mergeCell ref="A1198:A1199"/>
    <mergeCell ref="B1198:B1199"/>
    <mergeCell ref="A1201:A1203"/>
    <mergeCell ref="B1201:B1203"/>
    <mergeCell ref="B1204:B1205"/>
    <mergeCell ref="A1204:A1205"/>
    <mergeCell ref="A1206:A1207"/>
    <mergeCell ref="A1208:A1209"/>
    <mergeCell ref="A1210:A1211"/>
    <mergeCell ref="A1212:A1213"/>
    <mergeCell ref="A1215:A1217"/>
    <mergeCell ref="A1221:A1222"/>
    <mergeCell ref="A1239:A1241"/>
    <mergeCell ref="A1242:A1243"/>
    <mergeCell ref="A1244:A1245"/>
    <mergeCell ref="A1247:A1249"/>
    <mergeCell ref="A1250:A1251"/>
    <mergeCell ref="A1252:A1253"/>
    <mergeCell ref="A1254:A1255"/>
    <mergeCell ref="A1256:A1257"/>
    <mergeCell ref="A1258:A1259"/>
    <mergeCell ref="A1261:A1263"/>
    <mergeCell ref="A1264:A1265"/>
    <mergeCell ref="A1266:A1267"/>
    <mergeCell ref="A1270:A1271"/>
    <mergeCell ref="A1273:A1275"/>
    <mergeCell ref="A1223:A1224"/>
    <mergeCell ref="A1225:A1226"/>
    <mergeCell ref="B1225:B1226"/>
    <mergeCell ref="A1227:A1228"/>
    <mergeCell ref="B1227:B1228"/>
    <mergeCell ref="A1229:A1230"/>
    <mergeCell ref="B1229:B1230"/>
    <mergeCell ref="A1232:A1234"/>
    <mergeCell ref="B1232:B1234"/>
    <mergeCell ref="A1235:A1236"/>
    <mergeCell ref="B1235:B1236"/>
    <mergeCell ref="A1237:A1238"/>
    <mergeCell ref="B1237:B1238"/>
    <mergeCell ref="B1239:B1241"/>
    <mergeCell ref="B1242:B1243"/>
    <mergeCell ref="B1244:B1245"/>
    <mergeCell ref="B1247:B1249"/>
    <mergeCell ref="B1250:B1251"/>
    <mergeCell ref="B1252:B1253"/>
    <mergeCell ref="B1254:B1255"/>
    <mergeCell ref="B1256:B1257"/>
    <mergeCell ref="A1276:A1277"/>
    <mergeCell ref="A1278:A1279"/>
    <mergeCell ref="A1281:D1281"/>
    <mergeCell ref="B1258:B1259"/>
    <mergeCell ref="B1261:B1263"/>
    <mergeCell ref="B1264:B1265"/>
    <mergeCell ref="B1266:B1267"/>
    <mergeCell ref="B1270:B1271"/>
    <mergeCell ref="B1273:B1275"/>
    <mergeCell ref="B1276:B1277"/>
    <mergeCell ref="B1299:B1300"/>
    <mergeCell ref="B1302:B1304"/>
    <mergeCell ref="B1278:B1279"/>
    <mergeCell ref="B1285:B1286"/>
    <mergeCell ref="B1288:B1290"/>
    <mergeCell ref="B1291:B1292"/>
    <mergeCell ref="B1293:B1294"/>
    <mergeCell ref="B1295:B1296"/>
    <mergeCell ref="B1297:B1298"/>
    <mergeCell ref="A1335:A1336"/>
    <mergeCell ref="A1337:A1338"/>
    <mergeCell ref="A1339:A1341"/>
    <mergeCell ref="A1342:A1343"/>
    <mergeCell ref="A1348:A1350"/>
    <mergeCell ref="A1351:A1352"/>
    <mergeCell ref="A1353:A1354"/>
    <mergeCell ref="A1371:A1372"/>
    <mergeCell ref="A1373:A1374"/>
    <mergeCell ref="A1376:A1378"/>
    <mergeCell ref="A1382:A1383"/>
    <mergeCell ref="A1384:A1385"/>
    <mergeCell ref="A1387:A1389"/>
    <mergeCell ref="A1355:A1356"/>
    <mergeCell ref="A1357:A1358"/>
    <mergeCell ref="A1359:A1360"/>
    <mergeCell ref="A1362:A1364"/>
    <mergeCell ref="A1365:A1366"/>
    <mergeCell ref="A1367:A1368"/>
    <mergeCell ref="A1369:A1370"/>
    <mergeCell ref="A1285:A1286"/>
    <mergeCell ref="A1288:A1290"/>
    <mergeCell ref="A1291:A1292"/>
    <mergeCell ref="A1293:A1294"/>
    <mergeCell ref="A1295:A1296"/>
    <mergeCell ref="A1297:A1298"/>
    <mergeCell ref="A1299:A1300"/>
    <mergeCell ref="A1302:A1304"/>
    <mergeCell ref="A1305:A1306"/>
    <mergeCell ref="B1305:B1306"/>
    <mergeCell ref="A1307:A1308"/>
    <mergeCell ref="B1307:B1308"/>
    <mergeCell ref="A1309:A1310"/>
    <mergeCell ref="B1309:B1310"/>
    <mergeCell ref="A1311:A1312"/>
    <mergeCell ref="B1311:B1312"/>
    <mergeCell ref="A1313:A1314"/>
    <mergeCell ref="B1313:B1314"/>
    <mergeCell ref="A1316:A1318"/>
    <mergeCell ref="B1316:B1318"/>
    <mergeCell ref="B1319:B1320"/>
    <mergeCell ref="A1319:A1320"/>
    <mergeCell ref="A1321:A1322"/>
    <mergeCell ref="A1323:A1324"/>
    <mergeCell ref="A1325:A1326"/>
    <mergeCell ref="A1327:A1328"/>
    <mergeCell ref="A1330:A1332"/>
    <mergeCell ref="A1333:A1334"/>
    <mergeCell ref="B1337:B1338"/>
    <mergeCell ref="B1339:B1341"/>
    <mergeCell ref="B1342:B1343"/>
    <mergeCell ref="A1345:D1345"/>
    <mergeCell ref="B1321:B1322"/>
    <mergeCell ref="B1323:B1324"/>
    <mergeCell ref="B1325:B1326"/>
    <mergeCell ref="B1327:B1328"/>
    <mergeCell ref="B1330:B1332"/>
    <mergeCell ref="B1333:B1334"/>
    <mergeCell ref="B1335:B1336"/>
    <mergeCell ref="B1348:B1350"/>
    <mergeCell ref="B1351:B1352"/>
    <mergeCell ref="B1353:B1354"/>
    <mergeCell ref="B1355:B1356"/>
    <mergeCell ref="B1357:B1358"/>
    <mergeCell ref="B1359:B1360"/>
    <mergeCell ref="B1362:B1364"/>
    <mergeCell ref="A1415:A1416"/>
    <mergeCell ref="A1419:A1421"/>
    <mergeCell ref="B1419:B1421"/>
    <mergeCell ref="A1422:A1423"/>
    <mergeCell ref="B1422:B1423"/>
    <mergeCell ref="A1424:A1425"/>
    <mergeCell ref="B1424:B1425"/>
    <mergeCell ref="A1426:A1427"/>
    <mergeCell ref="B1426:B1427"/>
    <mergeCell ref="A1428:A1429"/>
    <mergeCell ref="B1428:B1429"/>
    <mergeCell ref="A1430:A1431"/>
    <mergeCell ref="B1430:B1431"/>
    <mergeCell ref="B1433:B1435"/>
    <mergeCell ref="B1365:B1366"/>
    <mergeCell ref="B1367:B1368"/>
    <mergeCell ref="B1369:B1370"/>
    <mergeCell ref="B1371:B1372"/>
    <mergeCell ref="B1373:B1374"/>
    <mergeCell ref="B1376:B1378"/>
    <mergeCell ref="B1382:B1383"/>
    <mergeCell ref="B1396:B1397"/>
    <mergeCell ref="B1398:B1399"/>
    <mergeCell ref="A1401:D1401"/>
    <mergeCell ref="B1384:B1385"/>
    <mergeCell ref="B1387:B1389"/>
    <mergeCell ref="A1390:A1391"/>
    <mergeCell ref="B1390:B1391"/>
    <mergeCell ref="A1392:A1393"/>
    <mergeCell ref="B1392:B1393"/>
    <mergeCell ref="B1394:B1395"/>
    <mergeCell ref="A1394:A1395"/>
    <mergeCell ref="A1396:A1397"/>
    <mergeCell ref="A1398:A1399"/>
    <mergeCell ref="A1404:A1406"/>
    <mergeCell ref="B1404:B1406"/>
    <mergeCell ref="A1407:A1408"/>
    <mergeCell ref="B1407:B1408"/>
    <mergeCell ref="A1409:A1410"/>
    <mergeCell ref="B1409:B1410"/>
    <mergeCell ref="A1411:A1412"/>
    <mergeCell ref="B1411:B1412"/>
    <mergeCell ref="A1413:A1414"/>
    <mergeCell ref="B1413:B1414"/>
    <mergeCell ref="B1415:B1416"/>
    <mergeCell ref="A1451:A1452"/>
    <mergeCell ref="A1453:A1454"/>
    <mergeCell ref="A1455:A1456"/>
    <mergeCell ref="A1433:A1435"/>
    <mergeCell ref="A1436:A1437"/>
    <mergeCell ref="A1438:A1439"/>
    <mergeCell ref="A1440:A1441"/>
    <mergeCell ref="A1443:A1444"/>
    <mergeCell ref="A1446:A1448"/>
    <mergeCell ref="A1449:A1450"/>
    <mergeCell ref="B1507:B1508"/>
    <mergeCell ref="B1509:B1510"/>
    <mergeCell ref="B1490:B1492"/>
    <mergeCell ref="B1493:B1494"/>
    <mergeCell ref="B1495:B1496"/>
    <mergeCell ref="B1497:B1498"/>
    <mergeCell ref="B1499:B1500"/>
    <mergeCell ref="B1501:B1502"/>
    <mergeCell ref="B1504:B1506"/>
    <mergeCell ref="B1436:B1437"/>
    <mergeCell ref="B1438:B1439"/>
    <mergeCell ref="B1440:B1441"/>
    <mergeCell ref="B1443:B1444"/>
    <mergeCell ref="B1446:B1448"/>
    <mergeCell ref="B1449:B1450"/>
    <mergeCell ref="B1451:B1452"/>
    <mergeCell ref="A1463:A1464"/>
    <mergeCell ref="A1465:A1466"/>
    <mergeCell ref="A1467:D1467"/>
    <mergeCell ref="B1453:B1454"/>
    <mergeCell ref="B1455:B1456"/>
    <mergeCell ref="A1457:A1458"/>
    <mergeCell ref="B1457:B1458"/>
    <mergeCell ref="B1460:B1462"/>
    <mergeCell ref="B1463:B1464"/>
    <mergeCell ref="B1465:B1466"/>
    <mergeCell ref="A1460:A1462"/>
    <mergeCell ref="A1470:A1472"/>
    <mergeCell ref="A1476:A1478"/>
    <mergeCell ref="A1479:A1480"/>
    <mergeCell ref="A1481:A1482"/>
    <mergeCell ref="A1483:A1484"/>
    <mergeCell ref="A1485:A1486"/>
    <mergeCell ref="B1470:B1472"/>
    <mergeCell ref="B1476:B1478"/>
    <mergeCell ref="B1479:B1480"/>
    <mergeCell ref="B1481:B1482"/>
    <mergeCell ref="B1483:B1484"/>
    <mergeCell ref="B1485:B1486"/>
    <mergeCell ref="B1487:B1488"/>
    <mergeCell ref="A1487:A1488"/>
    <mergeCell ref="A1490:A1492"/>
    <mergeCell ref="A1493:A1494"/>
    <mergeCell ref="A1495:A1496"/>
    <mergeCell ref="A1497:A1498"/>
    <mergeCell ref="A1499:A1500"/>
    <mergeCell ref="A1501:A1502"/>
    <mergeCell ref="A1504:A1506"/>
    <mergeCell ref="A1507:A1508"/>
    <mergeCell ref="A1509:A1510"/>
    <mergeCell ref="A1511:A1512"/>
    <mergeCell ref="B1511:B1512"/>
    <mergeCell ref="A1513:A1514"/>
    <mergeCell ref="B1513:B1514"/>
    <mergeCell ref="B1525:B1526"/>
    <mergeCell ref="B1527:B1528"/>
    <mergeCell ref="A1529:D1529"/>
    <mergeCell ref="A1515:A1516"/>
    <mergeCell ref="B1515:B1516"/>
    <mergeCell ref="A1518:A1520"/>
    <mergeCell ref="B1518:B1520"/>
    <mergeCell ref="A1521:A1522"/>
    <mergeCell ref="B1521:B1522"/>
    <mergeCell ref="B1523:B1524"/>
    <mergeCell ref="A1523:A1524"/>
    <mergeCell ref="A1525:A1526"/>
    <mergeCell ref="A1527:A1528"/>
    <mergeCell ref="A1534:A1536"/>
    <mergeCell ref="B1534:B1536"/>
    <mergeCell ref="A1537:A1538"/>
    <mergeCell ref="B1537:B1538"/>
    <mergeCell ref="A1539:A1540"/>
    <mergeCell ref="B1539:B1540"/>
    <mergeCell ref="A1541:A1542"/>
    <mergeCell ref="B1541:B1542"/>
    <mergeCell ref="A1543:A1544"/>
    <mergeCell ref="B1543:B1544"/>
    <mergeCell ref="B1545:B1546"/>
    <mergeCell ref="A1545:A1546"/>
    <mergeCell ref="A1548:A1550"/>
    <mergeCell ref="B1548:B1550"/>
    <mergeCell ref="A1551:A1552"/>
    <mergeCell ref="B1551:B1552"/>
    <mergeCell ref="A1553:A1555"/>
    <mergeCell ref="B1553:B1555"/>
    <mergeCell ref="A1556:A1557"/>
    <mergeCell ref="B1556:B1557"/>
    <mergeCell ref="A1558:A1559"/>
    <mergeCell ref="B1558:B1559"/>
    <mergeCell ref="A1560:A1561"/>
    <mergeCell ref="B1560:B1561"/>
    <mergeCell ref="B1563:B1565"/>
    <mergeCell ref="B1566:B1567"/>
    <mergeCell ref="B1568:B1569"/>
    <mergeCell ref="B1570:B1571"/>
    <mergeCell ref="B1572:B1573"/>
    <mergeCell ref="B1574:B1575"/>
    <mergeCell ref="B1577:B1579"/>
    <mergeCell ref="B1580:B1581"/>
    <mergeCell ref="B1616:B1617"/>
    <mergeCell ref="B1618:B1619"/>
    <mergeCell ref="B1621:B1623"/>
    <mergeCell ref="B1624:B1625"/>
    <mergeCell ref="B1626:B1627"/>
    <mergeCell ref="B1628:B1629"/>
    <mergeCell ref="B1630:B1631"/>
    <mergeCell ref="B1632:B1633"/>
    <mergeCell ref="B1635:B1637"/>
    <mergeCell ref="B1638:B1639"/>
    <mergeCell ref="B1640:B1641"/>
    <mergeCell ref="B1642:B1643"/>
    <mergeCell ref="B1644:B1645"/>
    <mergeCell ref="B1646:B1647"/>
    <mergeCell ref="B1599:B1600"/>
    <mergeCell ref="B1601:B1602"/>
    <mergeCell ref="A1604:A1605"/>
    <mergeCell ref="B1604:B1605"/>
    <mergeCell ref="N1604:Q1604"/>
    <mergeCell ref="B1582:B1583"/>
    <mergeCell ref="B1584:B1585"/>
    <mergeCell ref="B1586:B1587"/>
    <mergeCell ref="B1588:B1589"/>
    <mergeCell ref="B1591:B1593"/>
    <mergeCell ref="A1594:D1594"/>
    <mergeCell ref="B1597:B1598"/>
    <mergeCell ref="A1607:A1609"/>
    <mergeCell ref="B1607:B1609"/>
    <mergeCell ref="A1610:A1611"/>
    <mergeCell ref="B1610:B1611"/>
    <mergeCell ref="A1612:A1613"/>
    <mergeCell ref="B1612:B1613"/>
    <mergeCell ref="B1614:B1615"/>
    <mergeCell ref="A1614:A1615"/>
    <mergeCell ref="A1616:A1617"/>
    <mergeCell ref="A1618:A1619"/>
    <mergeCell ref="A1621:A1623"/>
    <mergeCell ref="A1624:A1625"/>
    <mergeCell ref="A1626:A1627"/>
    <mergeCell ref="A1628:A1629"/>
    <mergeCell ref="A1630:A1631"/>
    <mergeCell ref="A1632:A1633"/>
    <mergeCell ref="A1635:A1637"/>
    <mergeCell ref="A1638:A1639"/>
    <mergeCell ref="A1640:A1641"/>
    <mergeCell ref="A1642:A1643"/>
    <mergeCell ref="A1644:A1645"/>
    <mergeCell ref="B1649:B1651"/>
    <mergeCell ref="B1652:B1653"/>
    <mergeCell ref="B1654:B1655"/>
    <mergeCell ref="A1656:D1656"/>
    <mergeCell ref="A1658:Q1658"/>
    <mergeCell ref="I1659:L1659"/>
    <mergeCell ref="N1659:Q1659"/>
    <mergeCell ref="B1663:B1664"/>
    <mergeCell ref="B1666:B1668"/>
    <mergeCell ref="N1666:Q1666"/>
    <mergeCell ref="B1716:B1717"/>
    <mergeCell ref="B1718:B1719"/>
    <mergeCell ref="A1722:D1722"/>
    <mergeCell ref="A1724:Q1724"/>
    <mergeCell ref="I1725:L1725"/>
    <mergeCell ref="N1725:Q1725"/>
    <mergeCell ref="N1732:Q1732"/>
    <mergeCell ref="B1700:B1701"/>
    <mergeCell ref="B1702:B1703"/>
    <mergeCell ref="B1704:B1705"/>
    <mergeCell ref="B1706:B1707"/>
    <mergeCell ref="B1709:B1711"/>
    <mergeCell ref="B1712:B1713"/>
    <mergeCell ref="B1714:B1715"/>
    <mergeCell ref="A1646:A1647"/>
    <mergeCell ref="A1649:A1651"/>
    <mergeCell ref="A1652:A1653"/>
    <mergeCell ref="A1654:A1655"/>
    <mergeCell ref="A1659:A1660"/>
    <mergeCell ref="B1659:B1660"/>
    <mergeCell ref="B1661:B1662"/>
    <mergeCell ref="A1661:A1662"/>
    <mergeCell ref="A1663:A1664"/>
    <mergeCell ref="A1666:A1668"/>
    <mergeCell ref="A1669:A1670"/>
    <mergeCell ref="B1669:B1670"/>
    <mergeCell ref="A1671:A1672"/>
    <mergeCell ref="B1671:B1672"/>
    <mergeCell ref="A1673:A1674"/>
    <mergeCell ref="B1673:B1674"/>
    <mergeCell ref="A1675:A1676"/>
    <mergeCell ref="B1675:B1676"/>
    <mergeCell ref="A1677:A1678"/>
    <mergeCell ref="B1677:B1678"/>
    <mergeCell ref="B1680:B1682"/>
    <mergeCell ref="A1680:A1682"/>
    <mergeCell ref="A1683:A1684"/>
    <mergeCell ref="A1685:A1686"/>
    <mergeCell ref="A1687:A1688"/>
    <mergeCell ref="A1689:A1691"/>
    <mergeCell ref="A1692:A1693"/>
    <mergeCell ref="A1695:A1697"/>
    <mergeCell ref="B1683:B1684"/>
    <mergeCell ref="B1685:B1686"/>
    <mergeCell ref="B1687:B1688"/>
    <mergeCell ref="B1689:B1691"/>
    <mergeCell ref="B1692:B1693"/>
    <mergeCell ref="B1695:B1697"/>
    <mergeCell ref="B1698:B1699"/>
    <mergeCell ref="A1698:A1699"/>
    <mergeCell ref="A1700:A1701"/>
    <mergeCell ref="A1702:A1703"/>
    <mergeCell ref="A1704:A1705"/>
    <mergeCell ref="A1706:A1707"/>
    <mergeCell ref="A1709:A1711"/>
    <mergeCell ref="A1712:A1713"/>
    <mergeCell ref="A1858:D1858"/>
    <mergeCell ref="A1930:D1930"/>
    <mergeCell ref="A1714:A1715"/>
    <mergeCell ref="A1716:A1717"/>
    <mergeCell ref="A1718:A1719"/>
    <mergeCell ref="A1720:A1721"/>
    <mergeCell ref="B1720:B1721"/>
    <mergeCell ref="A1726:A1728"/>
    <mergeCell ref="B1726:B1728"/>
    <mergeCell ref="N1861:Q1861"/>
    <mergeCell ref="N1868:Q1868"/>
    <mergeCell ref="A1788:D1788"/>
    <mergeCell ref="A1790:Q1790"/>
    <mergeCell ref="I1791:L1791"/>
    <mergeCell ref="N1791:Q1791"/>
    <mergeCell ref="N1798:Q1798"/>
    <mergeCell ref="A1860:Q1860"/>
    <mergeCell ref="I1861:L1861"/>
    <mergeCell ref="A1729:A1730"/>
    <mergeCell ref="B1729:B1730"/>
    <mergeCell ref="A1731:A1732"/>
    <mergeCell ref="B1731:B1732"/>
    <mergeCell ref="A1733:A1734"/>
    <mergeCell ref="B1733:B1734"/>
    <mergeCell ref="B1735:B1736"/>
    <mergeCell ref="A1735:A1736"/>
    <mergeCell ref="A1737:A1738"/>
    <mergeCell ref="A1740:A1742"/>
    <mergeCell ref="A1743:A1744"/>
    <mergeCell ref="A1745:A1746"/>
    <mergeCell ref="A1747:A1749"/>
    <mergeCell ref="A1750:A1751"/>
    <mergeCell ref="B1737:B1738"/>
    <mergeCell ref="B1740:B1742"/>
    <mergeCell ref="B1743:B1744"/>
    <mergeCell ref="B1745:B1746"/>
    <mergeCell ref="B1747:B1749"/>
    <mergeCell ref="B1750:B1751"/>
    <mergeCell ref="B1752:B1753"/>
    <mergeCell ref="A1769:A1771"/>
    <mergeCell ref="A1772:A1773"/>
    <mergeCell ref="A1774:A1775"/>
    <mergeCell ref="A1776:A1777"/>
    <mergeCell ref="A1778:A1779"/>
    <mergeCell ref="A1780:A1781"/>
    <mergeCell ref="A1783:A1785"/>
    <mergeCell ref="A1786:A1787"/>
    <mergeCell ref="A1752:A1753"/>
    <mergeCell ref="A1755:A1757"/>
    <mergeCell ref="A1758:A1759"/>
    <mergeCell ref="A1760:A1761"/>
    <mergeCell ref="A1762:A1763"/>
    <mergeCell ref="A1764:A1765"/>
    <mergeCell ref="A1766:A1767"/>
    <mergeCell ref="B1755:B1757"/>
    <mergeCell ref="B1758:B1759"/>
    <mergeCell ref="B1760:B1761"/>
    <mergeCell ref="B1762:B1763"/>
    <mergeCell ref="B1764:B1765"/>
    <mergeCell ref="B1766:B1767"/>
    <mergeCell ref="B1769:B1771"/>
    <mergeCell ref="B1772:B1773"/>
    <mergeCell ref="B1774:B1775"/>
    <mergeCell ref="B1776:B1777"/>
    <mergeCell ref="B1778:B1779"/>
    <mergeCell ref="B1780:B1781"/>
    <mergeCell ref="B1783:B1785"/>
    <mergeCell ref="B1786:B1787"/>
  </mergeCells>
  <dataValidations>
    <dataValidation type="list" allowBlank="1" showErrorMessage="1" sqref="C1158:C1217 C1221:C1280 C1284:C1344 C1348:C1400 C1404:C1466 C1470:C1473 C1475:C1528">
      <formula1>"07:00,12:10,08:00,11:00,18:30,19:00,19:30,17:30,18:00"</formula1>
    </dataValidation>
    <dataValidation type="list" allowBlank="1" showErrorMessage="1" sqref="C892:C953 C959:C1019 C1024:C1083 C1088:C1154">
      <formula1>"07:00,12:10,08:00,11:00,18:30,19:00,19:30"</formula1>
    </dataValidation>
    <dataValidation type="list" allowBlank="1" showErrorMessage="1" sqref="C1791:C1857 C1861:C1929">
      <formula1>"07:00,12:10,08:00,11:00,18:30,19:00,17:30,09:30,15:00,18:00,18:15"</formula1>
    </dataValidation>
    <dataValidation type="list" allowBlank="1" showErrorMessage="1" sqref="C759:C819 C825:C886">
      <formula1>"07:00,12:10,08:00,11:00,18:30,17:00,19:00"</formula1>
    </dataValidation>
    <dataValidation type="list" allowBlank="1" showErrorMessage="1" sqref="C1532:C1593 C1597:C1655 C1659:C1721 C1725:C1787">
      <formula1>"07:00,12:10,08:00,11:00,18:30,19:00,17:30,09:30,15:00,18:00"</formula1>
    </dataValidation>
    <dataValidation type="list" allowBlank="1" showErrorMessage="1" sqref="C1474">
      <formula1>"07:00,12:10,08:00,11:00,18:30,19:00,19:30,17:30,18:00,15:00"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 outlineLevelRow="1"/>
  <cols>
    <col customWidth="1" min="1" max="1" width="8.38"/>
    <col customWidth="1" min="2" max="2" width="10.63"/>
    <col customWidth="1" min="3" max="3" width="29.38"/>
    <col customWidth="1" min="4" max="4" width="4.63"/>
    <col customWidth="1" min="5" max="5" width="9.25"/>
    <col customWidth="1" min="6" max="6" width="12.13"/>
    <col customWidth="1" min="7" max="7" width="15.38"/>
    <col customWidth="1" min="8" max="8" width="5.13"/>
    <col customWidth="1" min="9" max="9" width="16.63"/>
    <col customWidth="1" min="10" max="10" width="40.5"/>
    <col customWidth="1" min="11" max="11" width="4.13"/>
    <col customWidth="1" min="12" max="12" width="5.63"/>
    <col customWidth="1" min="13" max="30" width="7.63"/>
  </cols>
  <sheetData>
    <row r="1" ht="14.25" customHeight="1">
      <c r="A1" s="11" t="s">
        <v>5</v>
      </c>
      <c r="B1" s="12" t="s">
        <v>6</v>
      </c>
      <c r="C1" s="12" t="s">
        <v>3</v>
      </c>
      <c r="D1" s="11" t="s">
        <v>7</v>
      </c>
      <c r="E1" s="11" t="s">
        <v>8</v>
      </c>
      <c r="F1" s="13" t="s">
        <v>9</v>
      </c>
      <c r="G1" s="11" t="s">
        <v>10</v>
      </c>
      <c r="H1" s="14" t="s">
        <v>11</v>
      </c>
      <c r="I1" s="12" t="s">
        <v>12</v>
      </c>
      <c r="J1" s="12" t="s">
        <v>13</v>
      </c>
      <c r="K1" s="15" t="s">
        <v>14</v>
      </c>
      <c r="L1" s="15" t="s">
        <v>16</v>
      </c>
      <c r="M1" s="15" t="s">
        <v>17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 ht="14.25" customHeight="1" collapsed="1">
      <c r="A2" s="21" t="s">
        <v>31</v>
      </c>
      <c r="B2" s="22"/>
      <c r="C2" s="22"/>
      <c r="D2" s="22"/>
      <c r="E2" s="22"/>
      <c r="F2" s="22"/>
      <c r="G2" s="22"/>
      <c r="H2" s="22"/>
      <c r="I2" s="22"/>
      <c r="J2" s="23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 ht="14.25" hidden="1" customHeight="1" outlineLevel="1">
      <c r="A3" s="26" t="s">
        <v>53</v>
      </c>
      <c r="B3" s="29">
        <v>45231.0</v>
      </c>
      <c r="C3" s="30" t="s">
        <v>55</v>
      </c>
      <c r="D3" s="32">
        <v>4.0</v>
      </c>
      <c r="E3" s="34">
        <v>18.9</v>
      </c>
      <c r="F3" s="34">
        <v>75.6</v>
      </c>
      <c r="G3" s="34">
        <v>75.6</v>
      </c>
      <c r="H3" s="35" t="b">
        <v>0</v>
      </c>
      <c r="I3" s="37" t="s">
        <v>56</v>
      </c>
      <c r="J3" s="38" t="s">
        <v>57</v>
      </c>
    </row>
    <row r="4" ht="14.25" hidden="1" customHeight="1" outlineLevel="1">
      <c r="A4" s="39" t="s">
        <v>53</v>
      </c>
      <c r="B4" s="40">
        <v>45231.0</v>
      </c>
      <c r="C4" s="41" t="s">
        <v>58</v>
      </c>
      <c r="D4" s="42">
        <v>3.0</v>
      </c>
      <c r="E4" s="43">
        <v>10.0</v>
      </c>
      <c r="F4" s="43">
        <v>30.0</v>
      </c>
      <c r="G4" s="43">
        <v>30.0</v>
      </c>
      <c r="H4" s="44" t="b">
        <v>0</v>
      </c>
      <c r="I4" s="42" t="s">
        <v>59</v>
      </c>
      <c r="J4" s="42" t="s">
        <v>60</v>
      </c>
    </row>
    <row r="5" ht="14.25" hidden="1" customHeight="1" outlineLevel="1">
      <c r="A5" s="39" t="s">
        <v>53</v>
      </c>
      <c r="B5" s="45">
        <v>45233.0</v>
      </c>
      <c r="C5" s="41" t="s">
        <v>61</v>
      </c>
      <c r="D5" s="42">
        <v>1.0</v>
      </c>
      <c r="E5" s="43">
        <v>150.0</v>
      </c>
      <c r="F5" s="43">
        <v>150.0</v>
      </c>
      <c r="G5" s="43">
        <v>150.0</v>
      </c>
      <c r="H5" s="44" t="b">
        <v>1</v>
      </c>
      <c r="I5" s="42" t="s">
        <v>62</v>
      </c>
      <c r="J5" s="42" t="s">
        <v>63</v>
      </c>
    </row>
    <row r="6" ht="14.25" hidden="1" customHeight="1" outlineLevel="1">
      <c r="A6" s="39" t="s">
        <v>53</v>
      </c>
      <c r="B6" s="45">
        <v>45233.0</v>
      </c>
      <c r="C6" s="41" t="s">
        <v>61</v>
      </c>
      <c r="D6" s="42">
        <v>1.0</v>
      </c>
      <c r="E6" s="43">
        <v>150.0</v>
      </c>
      <c r="F6" s="43">
        <v>150.0</v>
      </c>
      <c r="G6" s="43">
        <v>150.0</v>
      </c>
      <c r="H6" s="44" t="b">
        <v>1</v>
      </c>
      <c r="I6" s="42" t="s">
        <v>64</v>
      </c>
      <c r="J6" s="42" t="s">
        <v>65</v>
      </c>
    </row>
    <row r="7" ht="14.25" hidden="1" customHeight="1" outlineLevel="1">
      <c r="A7" s="39" t="s">
        <v>53</v>
      </c>
      <c r="B7" s="45">
        <v>45233.0</v>
      </c>
      <c r="C7" s="41" t="s">
        <v>55</v>
      </c>
      <c r="D7" s="42">
        <v>13.0</v>
      </c>
      <c r="E7" s="43">
        <v>17.01</v>
      </c>
      <c r="F7" s="43">
        <v>221.13</v>
      </c>
      <c r="G7" s="43">
        <v>221.13</v>
      </c>
      <c r="H7" s="44" t="b">
        <v>0</v>
      </c>
      <c r="I7" s="46" t="s">
        <v>56</v>
      </c>
      <c r="J7" s="42" t="s">
        <v>66</v>
      </c>
    </row>
    <row r="8" ht="14.25" hidden="1" customHeight="1" outlineLevel="1">
      <c r="A8" s="39" t="s">
        <v>53</v>
      </c>
      <c r="B8" s="45">
        <v>45235.0</v>
      </c>
      <c r="C8" s="41" t="s">
        <v>61</v>
      </c>
      <c r="D8" s="42">
        <v>1.0</v>
      </c>
      <c r="E8" s="43">
        <v>200.0</v>
      </c>
      <c r="F8" s="43">
        <v>200.0</v>
      </c>
      <c r="G8" s="43">
        <v>200.0</v>
      </c>
      <c r="H8" s="44" t="b">
        <v>1</v>
      </c>
      <c r="I8" s="42" t="s">
        <v>64</v>
      </c>
      <c r="J8" s="42" t="s">
        <v>63</v>
      </c>
    </row>
    <row r="9" ht="14.25" hidden="1" customHeight="1" outlineLevel="1">
      <c r="A9" s="39" t="s">
        <v>53</v>
      </c>
      <c r="B9" s="45">
        <v>45235.0</v>
      </c>
      <c r="C9" s="41" t="s">
        <v>61</v>
      </c>
      <c r="D9" s="42">
        <v>1.0</v>
      </c>
      <c r="E9" s="43">
        <v>200.0</v>
      </c>
      <c r="F9" s="43">
        <v>200.0</v>
      </c>
      <c r="G9" s="43">
        <v>200.0</v>
      </c>
      <c r="H9" s="44" t="b">
        <v>1</v>
      </c>
      <c r="I9" s="42" t="s">
        <v>67</v>
      </c>
      <c r="J9" s="42" t="s">
        <v>68</v>
      </c>
    </row>
    <row r="10" ht="14.25" hidden="1" customHeight="1" outlineLevel="1">
      <c r="A10" s="39" t="s">
        <v>53</v>
      </c>
      <c r="B10" s="45">
        <v>45236.0</v>
      </c>
      <c r="C10" s="41" t="s">
        <v>69</v>
      </c>
      <c r="D10" s="42">
        <v>2.0</v>
      </c>
      <c r="E10" s="43">
        <v>6.29</v>
      </c>
      <c r="F10" s="48">
        <f t="shared" ref="F10:F15" si="1">D10*E10</f>
        <v>12.58</v>
      </c>
      <c r="G10" s="52">
        <f>SUM(F10:F12)</f>
        <v>21.46</v>
      </c>
      <c r="H10" s="53" t="b">
        <v>0</v>
      </c>
      <c r="I10" s="54" t="s">
        <v>70</v>
      </c>
      <c r="J10" s="46"/>
    </row>
    <row r="11" ht="14.25" hidden="1" customHeight="1" outlineLevel="1">
      <c r="A11" s="39" t="s">
        <v>53</v>
      </c>
      <c r="B11" s="45">
        <v>45236.0</v>
      </c>
      <c r="C11" s="41" t="s">
        <v>71</v>
      </c>
      <c r="D11" s="42">
        <v>1.0</v>
      </c>
      <c r="E11" s="43">
        <v>1.59</v>
      </c>
      <c r="F11" s="48">
        <f t="shared" si="1"/>
        <v>1.59</v>
      </c>
      <c r="G11" s="58"/>
      <c r="H11" s="58"/>
      <c r="I11" s="58"/>
      <c r="J11" s="46"/>
    </row>
    <row r="12" ht="14.25" hidden="1" customHeight="1" outlineLevel="1">
      <c r="A12" s="39" t="s">
        <v>53</v>
      </c>
      <c r="B12" s="45">
        <v>45236.0</v>
      </c>
      <c r="C12" s="41" t="s">
        <v>74</v>
      </c>
      <c r="D12" s="42">
        <v>1.0</v>
      </c>
      <c r="E12" s="43">
        <v>7.29</v>
      </c>
      <c r="F12" s="48">
        <f t="shared" si="1"/>
        <v>7.29</v>
      </c>
      <c r="G12" s="10"/>
      <c r="H12" s="10"/>
      <c r="I12" s="10"/>
      <c r="J12" s="46"/>
    </row>
    <row r="13" ht="14.25" hidden="1" customHeight="1" outlineLevel="1">
      <c r="A13" s="39" t="s">
        <v>53</v>
      </c>
      <c r="B13" s="45">
        <v>45236.0</v>
      </c>
      <c r="C13" s="41" t="s">
        <v>75</v>
      </c>
      <c r="D13" s="42">
        <v>3.0</v>
      </c>
      <c r="E13" s="43">
        <v>35.0</v>
      </c>
      <c r="F13" s="48">
        <f t="shared" si="1"/>
        <v>105</v>
      </c>
      <c r="G13" s="52">
        <f>SUM(F13:F15)</f>
        <v>175</v>
      </c>
      <c r="H13" s="62" t="b">
        <v>0</v>
      </c>
      <c r="I13" s="63" t="s">
        <v>76</v>
      </c>
      <c r="J13" s="42" t="s">
        <v>77</v>
      </c>
    </row>
    <row r="14" ht="14.25" hidden="1" customHeight="1" outlineLevel="1">
      <c r="A14" s="39" t="s">
        <v>53</v>
      </c>
      <c r="B14" s="45">
        <v>45236.0</v>
      </c>
      <c r="C14" s="41" t="s">
        <v>75</v>
      </c>
      <c r="D14" s="42">
        <v>1.0</v>
      </c>
      <c r="E14" s="43">
        <v>35.0</v>
      </c>
      <c r="F14" s="48">
        <f t="shared" si="1"/>
        <v>35</v>
      </c>
      <c r="G14" s="58"/>
      <c r="H14" s="58"/>
      <c r="I14" s="58"/>
      <c r="J14" s="42" t="s">
        <v>78</v>
      </c>
    </row>
    <row r="15" ht="14.25" hidden="1" customHeight="1" outlineLevel="1">
      <c r="A15" s="39" t="s">
        <v>53</v>
      </c>
      <c r="B15" s="45">
        <v>45236.0</v>
      </c>
      <c r="C15" s="41" t="s">
        <v>75</v>
      </c>
      <c r="D15" s="42">
        <v>1.0</v>
      </c>
      <c r="E15" s="43">
        <v>35.0</v>
      </c>
      <c r="F15" s="48">
        <f t="shared" si="1"/>
        <v>35</v>
      </c>
      <c r="G15" s="10"/>
      <c r="H15" s="10"/>
      <c r="I15" s="10"/>
      <c r="J15" s="42" t="s">
        <v>79</v>
      </c>
    </row>
    <row r="16" ht="14.25" hidden="1" customHeight="1" outlineLevel="1">
      <c r="A16" s="39" t="s">
        <v>53</v>
      </c>
      <c r="B16" s="45">
        <v>45236.0</v>
      </c>
      <c r="C16" s="41" t="s">
        <v>80</v>
      </c>
      <c r="D16" s="42">
        <v>1.0</v>
      </c>
      <c r="E16" s="43">
        <v>12.0</v>
      </c>
      <c r="F16" s="43">
        <v>12.0</v>
      </c>
      <c r="G16" s="43">
        <v>12.0</v>
      </c>
      <c r="H16" s="44" t="b">
        <v>0</v>
      </c>
      <c r="I16" s="42" t="s">
        <v>81</v>
      </c>
      <c r="J16" s="42" t="s">
        <v>82</v>
      </c>
    </row>
    <row r="17" ht="14.25" hidden="1" customHeight="1" outlineLevel="1">
      <c r="A17" s="39" t="s">
        <v>53</v>
      </c>
      <c r="B17" s="45">
        <v>45237.0</v>
      </c>
      <c r="C17" s="41" t="s">
        <v>61</v>
      </c>
      <c r="D17" s="42">
        <v>1.0</v>
      </c>
      <c r="E17" s="43">
        <v>150.0</v>
      </c>
      <c r="F17" s="43">
        <v>150.0</v>
      </c>
      <c r="G17" s="43">
        <v>150.0</v>
      </c>
      <c r="H17" s="44" t="b">
        <v>1</v>
      </c>
      <c r="I17" s="42" t="s">
        <v>62</v>
      </c>
      <c r="J17" s="42" t="s">
        <v>83</v>
      </c>
    </row>
    <row r="18" ht="14.25" hidden="1" customHeight="1" outlineLevel="1">
      <c r="A18" s="39" t="s">
        <v>53</v>
      </c>
      <c r="B18" s="45">
        <v>45237.0</v>
      </c>
      <c r="C18" s="41" t="s">
        <v>84</v>
      </c>
      <c r="D18" s="42">
        <v>2.0</v>
      </c>
      <c r="E18" s="43">
        <v>8.69</v>
      </c>
      <c r="F18" s="43">
        <f>E18*D18</f>
        <v>17.38</v>
      </c>
      <c r="G18" s="43">
        <f>F18</f>
        <v>17.38</v>
      </c>
      <c r="H18" s="44" t="b">
        <v>0</v>
      </c>
      <c r="I18" s="42" t="s">
        <v>86</v>
      </c>
      <c r="J18" s="42" t="s">
        <v>84</v>
      </c>
    </row>
    <row r="19" ht="14.25" hidden="1" customHeight="1" outlineLevel="1">
      <c r="A19" s="39" t="s">
        <v>53</v>
      </c>
      <c r="B19" s="45">
        <v>45238.0</v>
      </c>
      <c r="C19" s="41" t="s">
        <v>87</v>
      </c>
      <c r="D19" s="42">
        <v>1.0</v>
      </c>
      <c r="E19" s="43">
        <v>700.0</v>
      </c>
      <c r="F19" s="43">
        <v>700.0</v>
      </c>
      <c r="G19" s="43">
        <v>700.0</v>
      </c>
      <c r="H19" s="44" t="b">
        <v>0</v>
      </c>
      <c r="I19" s="42"/>
      <c r="J19" s="42" t="s">
        <v>88</v>
      </c>
    </row>
    <row r="20" ht="14.25" hidden="1" customHeight="1" outlineLevel="1">
      <c r="A20" s="39" t="s">
        <v>53</v>
      </c>
      <c r="B20" s="45">
        <v>45240.0</v>
      </c>
      <c r="C20" s="41" t="s">
        <v>61</v>
      </c>
      <c r="D20" s="42">
        <v>1.0</v>
      </c>
      <c r="E20" s="43">
        <v>150.0</v>
      </c>
      <c r="F20" s="43">
        <v>150.0</v>
      </c>
      <c r="G20" s="43">
        <v>150.0</v>
      </c>
      <c r="H20" s="44" t="b">
        <v>1</v>
      </c>
      <c r="I20" s="42" t="s">
        <v>64</v>
      </c>
      <c r="J20" s="42" t="s">
        <v>89</v>
      </c>
    </row>
    <row r="21" ht="14.25" hidden="1" customHeight="1" outlineLevel="1">
      <c r="A21" s="39" t="s">
        <v>53</v>
      </c>
      <c r="B21" s="66">
        <v>45240.0</v>
      </c>
      <c r="C21" s="41" t="s">
        <v>55</v>
      </c>
      <c r="D21" s="67">
        <v>3.0</v>
      </c>
      <c r="E21" s="69">
        <v>7.7</v>
      </c>
      <c r="F21" s="69">
        <f t="shared" ref="F21:F22" si="2">D21*E21</f>
        <v>23.1</v>
      </c>
      <c r="G21" s="69">
        <v>23.1</v>
      </c>
      <c r="H21" s="71" t="b">
        <v>0</v>
      </c>
      <c r="I21" s="46" t="s">
        <v>56</v>
      </c>
      <c r="J21" s="42" t="s">
        <v>92</v>
      </c>
    </row>
    <row r="22" ht="14.25" hidden="1" customHeight="1" outlineLevel="1">
      <c r="A22" s="39" t="s">
        <v>53</v>
      </c>
      <c r="B22" s="66">
        <v>45240.0</v>
      </c>
      <c r="C22" s="41" t="s">
        <v>93</v>
      </c>
      <c r="D22" s="67">
        <v>1.0</v>
      </c>
      <c r="E22" s="69">
        <v>116.0</v>
      </c>
      <c r="F22" s="69">
        <f t="shared" si="2"/>
        <v>116</v>
      </c>
      <c r="G22" s="69">
        <v>116.0</v>
      </c>
      <c r="H22" s="44" t="b">
        <v>0</v>
      </c>
      <c r="I22" s="42" t="s">
        <v>94</v>
      </c>
      <c r="J22" s="42" t="s">
        <v>96</v>
      </c>
    </row>
    <row r="23" ht="14.25" hidden="1" customHeight="1" outlineLevel="1">
      <c r="A23" s="39" t="s">
        <v>53</v>
      </c>
      <c r="B23" s="45">
        <v>45241.0</v>
      </c>
      <c r="C23" s="41" t="s">
        <v>97</v>
      </c>
      <c r="D23" s="42">
        <v>1.0</v>
      </c>
      <c r="E23" s="43">
        <v>80.0</v>
      </c>
      <c r="F23" s="43">
        <v>80.0</v>
      </c>
      <c r="G23" s="43">
        <v>80.0</v>
      </c>
      <c r="H23" s="44" t="b">
        <v>0</v>
      </c>
      <c r="I23" s="42" t="s">
        <v>98</v>
      </c>
      <c r="J23" s="42" t="s">
        <v>99</v>
      </c>
    </row>
    <row r="24" ht="14.25" hidden="1" customHeight="1" outlineLevel="1">
      <c r="A24" s="39" t="s">
        <v>53</v>
      </c>
      <c r="B24" s="45">
        <v>45242.0</v>
      </c>
      <c r="C24" s="41" t="s">
        <v>61</v>
      </c>
      <c r="D24" s="42">
        <v>1.0</v>
      </c>
      <c r="E24" s="43">
        <v>200.0</v>
      </c>
      <c r="F24" s="43">
        <v>200.0</v>
      </c>
      <c r="G24" s="43">
        <v>200.0</v>
      </c>
      <c r="H24" s="44" t="b">
        <v>1</v>
      </c>
      <c r="I24" s="42" t="s">
        <v>64</v>
      </c>
      <c r="J24" s="42" t="s">
        <v>102</v>
      </c>
    </row>
    <row r="25" ht="14.25" hidden="1" customHeight="1" outlineLevel="1">
      <c r="A25" s="39" t="s">
        <v>53</v>
      </c>
      <c r="B25" s="45">
        <v>45242.0</v>
      </c>
      <c r="C25" s="41" t="s">
        <v>61</v>
      </c>
      <c r="D25" s="42">
        <v>1.0</v>
      </c>
      <c r="E25" s="43">
        <v>200.0</v>
      </c>
      <c r="F25" s="43">
        <v>200.0</v>
      </c>
      <c r="G25" s="43">
        <v>200.0</v>
      </c>
      <c r="H25" s="44" t="b">
        <v>1</v>
      </c>
      <c r="I25" s="42" t="s">
        <v>105</v>
      </c>
      <c r="J25" s="42" t="s">
        <v>106</v>
      </c>
    </row>
    <row r="26" ht="14.25" hidden="1" customHeight="1" outlineLevel="1">
      <c r="A26" s="39" t="s">
        <v>53</v>
      </c>
      <c r="B26" s="45">
        <v>45244.0</v>
      </c>
      <c r="C26" s="41" t="s">
        <v>61</v>
      </c>
      <c r="D26" s="42">
        <v>1.0</v>
      </c>
      <c r="E26" s="43">
        <v>150.0</v>
      </c>
      <c r="F26" s="43">
        <v>150.0</v>
      </c>
      <c r="G26" s="43">
        <v>150.0</v>
      </c>
      <c r="H26" s="44" t="b">
        <v>1</v>
      </c>
      <c r="I26" s="42" t="s">
        <v>62</v>
      </c>
      <c r="J26" s="42" t="s">
        <v>111</v>
      </c>
    </row>
    <row r="27" ht="14.25" hidden="1" customHeight="1" outlineLevel="1">
      <c r="A27" s="39" t="s">
        <v>53</v>
      </c>
      <c r="B27" s="45">
        <v>45244.0</v>
      </c>
      <c r="C27" s="41" t="s">
        <v>112</v>
      </c>
      <c r="D27" s="42">
        <v>1.0</v>
      </c>
      <c r="E27" s="43">
        <v>48.1</v>
      </c>
      <c r="F27" s="43">
        <v>48.1</v>
      </c>
      <c r="G27" s="43">
        <v>48.1</v>
      </c>
      <c r="H27" s="44" t="b">
        <v>0</v>
      </c>
      <c r="I27" s="42" t="s">
        <v>113</v>
      </c>
      <c r="J27" s="42" t="s">
        <v>114</v>
      </c>
    </row>
    <row r="28" ht="14.25" hidden="1" customHeight="1" outlineLevel="1">
      <c r="A28" s="39" t="s">
        <v>53</v>
      </c>
      <c r="B28" s="45">
        <v>45245.0</v>
      </c>
      <c r="C28" s="41" t="s">
        <v>116</v>
      </c>
      <c r="D28" s="42">
        <v>4.0</v>
      </c>
      <c r="E28" s="43">
        <v>2.19</v>
      </c>
      <c r="F28" s="43">
        <f t="shared" ref="F28:F38" si="3">D28*E28</f>
        <v>8.76</v>
      </c>
      <c r="G28" s="87">
        <f>SUM(F28:F38)</f>
        <v>125.94</v>
      </c>
      <c r="H28" s="89" t="b">
        <v>0</v>
      </c>
      <c r="I28" s="54" t="s">
        <v>117</v>
      </c>
      <c r="J28" s="42" t="s">
        <v>120</v>
      </c>
    </row>
    <row r="29" ht="14.25" hidden="1" customHeight="1" outlineLevel="1">
      <c r="A29" s="39" t="s">
        <v>53</v>
      </c>
      <c r="B29" s="45">
        <v>45245.0</v>
      </c>
      <c r="C29" s="41" t="s">
        <v>121</v>
      </c>
      <c r="D29" s="42">
        <v>2.0</v>
      </c>
      <c r="E29" s="43">
        <v>2.29</v>
      </c>
      <c r="F29" s="43">
        <f t="shared" si="3"/>
        <v>4.58</v>
      </c>
      <c r="G29" s="58"/>
      <c r="H29" s="58"/>
      <c r="I29" s="58"/>
      <c r="J29" s="42" t="s">
        <v>123</v>
      </c>
    </row>
    <row r="30" ht="14.25" hidden="1" customHeight="1" outlineLevel="1">
      <c r="A30" s="39" t="s">
        <v>53</v>
      </c>
      <c r="B30" s="45">
        <v>45245.0</v>
      </c>
      <c r="C30" s="41" t="s">
        <v>121</v>
      </c>
      <c r="D30" s="42">
        <v>1.0</v>
      </c>
      <c r="E30" s="43">
        <v>1.39</v>
      </c>
      <c r="F30" s="43">
        <f t="shared" si="3"/>
        <v>1.39</v>
      </c>
      <c r="G30" s="58"/>
      <c r="H30" s="58"/>
      <c r="I30" s="58"/>
      <c r="J30" s="42" t="s">
        <v>124</v>
      </c>
    </row>
    <row r="31" ht="14.25" hidden="1" customHeight="1" outlineLevel="1">
      <c r="A31" s="39" t="s">
        <v>53</v>
      </c>
      <c r="B31" s="45">
        <v>45245.0</v>
      </c>
      <c r="C31" s="41" t="s">
        <v>121</v>
      </c>
      <c r="D31" s="42">
        <v>1.0</v>
      </c>
      <c r="E31" s="43">
        <v>5.99</v>
      </c>
      <c r="F31" s="43">
        <f t="shared" si="3"/>
        <v>5.99</v>
      </c>
      <c r="G31" s="58"/>
      <c r="H31" s="58"/>
      <c r="I31" s="58"/>
      <c r="J31" s="42" t="s">
        <v>127</v>
      </c>
    </row>
    <row r="32" ht="14.25" hidden="1" customHeight="1" outlineLevel="1">
      <c r="A32" s="39" t="s">
        <v>53</v>
      </c>
      <c r="B32" s="45">
        <v>45245.0</v>
      </c>
      <c r="C32" s="41" t="s">
        <v>112</v>
      </c>
      <c r="D32" s="42">
        <v>1.0</v>
      </c>
      <c r="E32" s="43">
        <v>5.99</v>
      </c>
      <c r="F32" s="43">
        <f t="shared" si="3"/>
        <v>5.99</v>
      </c>
      <c r="G32" s="58"/>
      <c r="H32" s="58"/>
      <c r="I32" s="58"/>
      <c r="J32" s="42" t="s">
        <v>128</v>
      </c>
    </row>
    <row r="33" ht="14.25" hidden="1" customHeight="1" outlineLevel="1">
      <c r="A33" s="39" t="s">
        <v>53</v>
      </c>
      <c r="B33" s="45">
        <v>45245.0</v>
      </c>
      <c r="C33" s="41" t="s">
        <v>112</v>
      </c>
      <c r="D33" s="42">
        <v>1.0</v>
      </c>
      <c r="E33" s="43">
        <v>5.99</v>
      </c>
      <c r="F33" s="43">
        <f t="shared" si="3"/>
        <v>5.99</v>
      </c>
      <c r="G33" s="58"/>
      <c r="H33" s="58"/>
      <c r="I33" s="58"/>
      <c r="J33" s="91" t="s">
        <v>130</v>
      </c>
    </row>
    <row r="34" ht="14.25" hidden="1" customHeight="1" outlineLevel="1">
      <c r="A34" s="39" t="s">
        <v>53</v>
      </c>
      <c r="B34" s="45">
        <v>45245.0</v>
      </c>
      <c r="C34" s="41" t="s">
        <v>112</v>
      </c>
      <c r="D34" s="42">
        <v>1.0</v>
      </c>
      <c r="E34" s="43">
        <v>7.99</v>
      </c>
      <c r="F34" s="43">
        <f t="shared" si="3"/>
        <v>7.99</v>
      </c>
      <c r="G34" s="58"/>
      <c r="H34" s="58"/>
      <c r="I34" s="58"/>
      <c r="J34" s="91" t="s">
        <v>131</v>
      </c>
    </row>
    <row r="35" ht="14.25" hidden="1" customHeight="1" outlineLevel="1">
      <c r="A35" s="39" t="s">
        <v>53</v>
      </c>
      <c r="B35" s="45">
        <v>45245.0</v>
      </c>
      <c r="C35" s="41" t="s">
        <v>112</v>
      </c>
      <c r="D35" s="42">
        <v>1.0</v>
      </c>
      <c r="E35" s="43">
        <v>2.39</v>
      </c>
      <c r="F35" s="43">
        <f t="shared" si="3"/>
        <v>2.39</v>
      </c>
      <c r="G35" s="58"/>
      <c r="H35" s="58"/>
      <c r="I35" s="58"/>
      <c r="J35" s="91" t="s">
        <v>132</v>
      </c>
    </row>
    <row r="36" ht="14.25" hidden="1" customHeight="1" outlineLevel="1">
      <c r="A36" s="39" t="s">
        <v>53</v>
      </c>
      <c r="B36" s="45">
        <v>45245.0</v>
      </c>
      <c r="C36" s="41" t="s">
        <v>112</v>
      </c>
      <c r="D36" s="42">
        <v>1.0</v>
      </c>
      <c r="E36" s="43">
        <v>13.99</v>
      </c>
      <c r="F36" s="43">
        <f t="shared" si="3"/>
        <v>13.99</v>
      </c>
      <c r="G36" s="58"/>
      <c r="H36" s="58"/>
      <c r="I36" s="58"/>
      <c r="J36" s="91" t="s">
        <v>133</v>
      </c>
    </row>
    <row r="37" ht="14.25" hidden="1" customHeight="1" outlineLevel="1">
      <c r="A37" s="39" t="s">
        <v>53</v>
      </c>
      <c r="B37" s="45">
        <v>45245.0</v>
      </c>
      <c r="C37" s="41" t="s">
        <v>112</v>
      </c>
      <c r="D37" s="42">
        <v>2.0</v>
      </c>
      <c r="E37" s="43">
        <v>4.44</v>
      </c>
      <c r="F37" s="43">
        <f t="shared" si="3"/>
        <v>8.88</v>
      </c>
      <c r="G37" s="58"/>
      <c r="H37" s="58"/>
      <c r="I37" s="58"/>
      <c r="J37" s="91" t="s">
        <v>135</v>
      </c>
    </row>
    <row r="38" ht="14.25" hidden="1" customHeight="1" outlineLevel="1">
      <c r="A38" s="39" t="s">
        <v>53</v>
      </c>
      <c r="B38" s="45">
        <v>45245.0</v>
      </c>
      <c r="C38" s="41" t="s">
        <v>112</v>
      </c>
      <c r="D38" s="42">
        <v>1.0</v>
      </c>
      <c r="E38" s="43">
        <v>59.99</v>
      </c>
      <c r="F38" s="43">
        <f t="shared" si="3"/>
        <v>59.99</v>
      </c>
      <c r="G38" s="10"/>
      <c r="H38" s="10"/>
      <c r="I38" s="10"/>
      <c r="J38" s="91" t="s">
        <v>138</v>
      </c>
    </row>
    <row r="39" ht="14.25" hidden="1" customHeight="1" outlineLevel="1">
      <c r="A39" s="39" t="s">
        <v>53</v>
      </c>
      <c r="B39" s="45">
        <v>45247.0</v>
      </c>
      <c r="C39" s="41" t="s">
        <v>61</v>
      </c>
      <c r="D39" s="42">
        <v>1.0</v>
      </c>
      <c r="E39" s="43">
        <v>150.0</v>
      </c>
      <c r="F39" s="43">
        <v>150.0</v>
      </c>
      <c r="G39" s="43">
        <v>150.0</v>
      </c>
      <c r="H39" s="44" t="b">
        <v>1</v>
      </c>
      <c r="I39" s="42" t="s">
        <v>64</v>
      </c>
      <c r="J39" s="42" t="s">
        <v>140</v>
      </c>
    </row>
    <row r="40" ht="14.25" hidden="1" customHeight="1" outlineLevel="1">
      <c r="A40" s="39" t="s">
        <v>53</v>
      </c>
      <c r="B40" s="45">
        <v>45249.0</v>
      </c>
      <c r="C40" s="41" t="s">
        <v>61</v>
      </c>
      <c r="D40" s="42">
        <v>1.0</v>
      </c>
      <c r="E40" s="43">
        <v>200.0</v>
      </c>
      <c r="F40" s="43">
        <v>200.0</v>
      </c>
      <c r="G40" s="43">
        <v>200.0</v>
      </c>
      <c r="H40" s="44" t="b">
        <v>1</v>
      </c>
      <c r="I40" s="42" t="s">
        <v>64</v>
      </c>
      <c r="J40" s="42" t="s">
        <v>142</v>
      </c>
    </row>
    <row r="41" ht="14.25" hidden="1" customHeight="1" outlineLevel="1">
      <c r="A41" s="39" t="s">
        <v>53</v>
      </c>
      <c r="B41" s="45">
        <v>45249.0</v>
      </c>
      <c r="C41" s="41" t="s">
        <v>61</v>
      </c>
      <c r="D41" s="42">
        <v>1.0</v>
      </c>
      <c r="E41" s="43">
        <v>200.0</v>
      </c>
      <c r="F41" s="43">
        <v>200.0</v>
      </c>
      <c r="G41" s="43">
        <v>200.0</v>
      </c>
      <c r="H41" s="44" t="b">
        <v>1</v>
      </c>
      <c r="I41" s="42" t="s">
        <v>143</v>
      </c>
      <c r="J41" s="42" t="s">
        <v>144</v>
      </c>
    </row>
    <row r="42" ht="14.25" hidden="1" customHeight="1" outlineLevel="1">
      <c r="A42" s="39" t="s">
        <v>53</v>
      </c>
      <c r="B42" s="66">
        <v>45250.0</v>
      </c>
      <c r="C42" s="41" t="s">
        <v>93</v>
      </c>
      <c r="D42" s="67">
        <v>1.0</v>
      </c>
      <c r="E42" s="69">
        <v>115.43</v>
      </c>
      <c r="F42" s="69">
        <f>D42*E42</f>
        <v>115.43</v>
      </c>
      <c r="G42" s="69">
        <v>115.43</v>
      </c>
      <c r="H42" s="44" t="b">
        <v>0</v>
      </c>
      <c r="I42" s="42" t="s">
        <v>147</v>
      </c>
      <c r="J42" s="42" t="s">
        <v>149</v>
      </c>
    </row>
    <row r="43" ht="14.25" hidden="1" customHeight="1" outlineLevel="1">
      <c r="A43" s="39" t="s">
        <v>53</v>
      </c>
      <c r="B43" s="66">
        <v>45251.0</v>
      </c>
      <c r="C43" s="41" t="s">
        <v>93</v>
      </c>
      <c r="D43" s="67">
        <v>1.0</v>
      </c>
      <c r="E43" s="69">
        <v>155.8</v>
      </c>
      <c r="F43" s="69">
        <v>155.8</v>
      </c>
      <c r="G43" s="69">
        <v>155.8</v>
      </c>
      <c r="H43" s="44" t="b">
        <v>0</v>
      </c>
      <c r="I43" s="42" t="s">
        <v>147</v>
      </c>
      <c r="J43" s="42" t="s">
        <v>151</v>
      </c>
    </row>
    <row r="44" ht="14.25" hidden="1" customHeight="1" outlineLevel="1">
      <c r="A44" s="39" t="s">
        <v>53</v>
      </c>
      <c r="B44" s="45">
        <v>45253.0</v>
      </c>
      <c r="C44" s="41" t="s">
        <v>152</v>
      </c>
      <c r="D44" s="42">
        <v>1.0</v>
      </c>
      <c r="E44" s="43">
        <v>42.5</v>
      </c>
      <c r="F44" s="43">
        <v>42.5</v>
      </c>
      <c r="G44" s="43">
        <v>42.5</v>
      </c>
      <c r="H44" s="44" t="b">
        <v>0</v>
      </c>
      <c r="I44" s="42" t="s">
        <v>155</v>
      </c>
      <c r="J44" s="42" t="s">
        <v>156</v>
      </c>
    </row>
    <row r="45" ht="14.25" hidden="1" customHeight="1" outlineLevel="1">
      <c r="A45" s="39" t="s">
        <v>53</v>
      </c>
      <c r="B45" s="45">
        <v>45253.0</v>
      </c>
      <c r="C45" s="41" t="s">
        <v>75</v>
      </c>
      <c r="D45" s="42">
        <v>1.0</v>
      </c>
      <c r="E45" s="43">
        <v>70.0</v>
      </c>
      <c r="F45" s="43">
        <v>70.0</v>
      </c>
      <c r="G45" s="43">
        <v>70.0</v>
      </c>
      <c r="H45" s="44" t="b">
        <v>0</v>
      </c>
      <c r="I45" s="42" t="s">
        <v>157</v>
      </c>
      <c r="J45" s="42" t="s">
        <v>158</v>
      </c>
    </row>
    <row r="46" ht="14.25" hidden="1" customHeight="1" outlineLevel="1">
      <c r="A46" s="39" t="s">
        <v>53</v>
      </c>
      <c r="B46" s="45">
        <v>45253.0</v>
      </c>
      <c r="C46" s="41" t="s">
        <v>159</v>
      </c>
      <c r="D46" s="42">
        <v>3.0</v>
      </c>
      <c r="E46" s="43">
        <v>2.5</v>
      </c>
      <c r="F46" s="43">
        <f>D46*E46</f>
        <v>7.5</v>
      </c>
      <c r="G46" s="87">
        <v>12.5</v>
      </c>
      <c r="H46" s="89" t="b">
        <v>0</v>
      </c>
      <c r="I46" s="54" t="s">
        <v>167</v>
      </c>
      <c r="J46" s="42" t="s">
        <v>169</v>
      </c>
    </row>
    <row r="47" ht="14.25" hidden="1" customHeight="1" outlineLevel="1">
      <c r="A47" s="39" t="s">
        <v>53</v>
      </c>
      <c r="B47" s="45">
        <v>45253.0</v>
      </c>
      <c r="C47" s="41" t="s">
        <v>159</v>
      </c>
      <c r="D47" s="42">
        <v>1.0</v>
      </c>
      <c r="E47" s="43">
        <v>5.0</v>
      </c>
      <c r="F47" s="43">
        <v>5.0</v>
      </c>
      <c r="G47" s="10"/>
      <c r="H47" s="10"/>
      <c r="I47" s="10"/>
      <c r="J47" s="42" t="s">
        <v>170</v>
      </c>
    </row>
    <row r="48" ht="14.25" hidden="1" customHeight="1" outlineLevel="1">
      <c r="A48" s="39" t="s">
        <v>53</v>
      </c>
      <c r="B48" s="45">
        <v>45254.0</v>
      </c>
      <c r="C48" s="41" t="s">
        <v>171</v>
      </c>
      <c r="D48" s="42">
        <v>1.0</v>
      </c>
      <c r="E48" s="43">
        <v>95.0</v>
      </c>
      <c r="F48" s="43">
        <v>95.0</v>
      </c>
      <c r="G48" s="43">
        <v>95.0</v>
      </c>
      <c r="H48" s="44" t="b">
        <v>0</v>
      </c>
      <c r="I48" s="42" t="s">
        <v>172</v>
      </c>
      <c r="J48" s="42" t="s">
        <v>173</v>
      </c>
    </row>
    <row r="49" ht="14.25" hidden="1" customHeight="1" outlineLevel="1">
      <c r="A49" s="39" t="s">
        <v>53</v>
      </c>
      <c r="B49" s="45">
        <v>45254.0</v>
      </c>
      <c r="C49" s="41" t="s">
        <v>61</v>
      </c>
      <c r="D49" s="42">
        <v>1.0</v>
      </c>
      <c r="E49" s="43">
        <v>150.0</v>
      </c>
      <c r="F49" s="43">
        <v>150.0</v>
      </c>
      <c r="G49" s="43">
        <v>150.0</v>
      </c>
      <c r="H49" s="44" t="b">
        <v>1</v>
      </c>
      <c r="I49" s="42" t="s">
        <v>62</v>
      </c>
      <c r="J49" s="42" t="s">
        <v>177</v>
      </c>
    </row>
    <row r="50" ht="14.25" hidden="1" customHeight="1" outlineLevel="1">
      <c r="A50" s="39" t="s">
        <v>53</v>
      </c>
      <c r="B50" s="45">
        <v>45256.0</v>
      </c>
      <c r="C50" s="41" t="s">
        <v>61</v>
      </c>
      <c r="D50" s="42">
        <v>1.0</v>
      </c>
      <c r="E50" s="43">
        <v>200.0</v>
      </c>
      <c r="F50" s="43">
        <v>200.0</v>
      </c>
      <c r="G50" s="43">
        <v>200.0</v>
      </c>
      <c r="H50" s="44" t="b">
        <v>1</v>
      </c>
      <c r="I50" s="42" t="s">
        <v>64</v>
      </c>
      <c r="J50" s="42" t="s">
        <v>180</v>
      </c>
    </row>
    <row r="51" ht="14.25" hidden="1" customHeight="1" outlineLevel="1">
      <c r="A51" s="39" t="s">
        <v>53</v>
      </c>
      <c r="B51" s="45">
        <v>45256.0</v>
      </c>
      <c r="C51" s="41" t="s">
        <v>61</v>
      </c>
      <c r="D51" s="42">
        <v>22.0</v>
      </c>
      <c r="E51" s="43">
        <v>130.0</v>
      </c>
      <c r="F51" s="43">
        <f>E51*D51</f>
        <v>2860</v>
      </c>
      <c r="G51" s="43">
        <v>2860.0</v>
      </c>
      <c r="H51" s="44" t="b">
        <v>1</v>
      </c>
      <c r="I51" s="42" t="s">
        <v>119</v>
      </c>
      <c r="J51" s="42" t="s">
        <v>182</v>
      </c>
    </row>
    <row r="52" ht="14.25" hidden="1" customHeight="1" outlineLevel="1">
      <c r="A52" s="39" t="s">
        <v>53</v>
      </c>
      <c r="B52" s="45">
        <v>45259.0</v>
      </c>
      <c r="C52" s="41" t="s">
        <v>171</v>
      </c>
      <c r="D52" s="42">
        <v>1.0</v>
      </c>
      <c r="E52" s="43">
        <v>24.9</v>
      </c>
      <c r="F52" s="43">
        <v>24.9</v>
      </c>
      <c r="G52" s="43">
        <v>24.9</v>
      </c>
      <c r="H52" s="44" t="b">
        <v>0</v>
      </c>
      <c r="I52" s="42" t="s">
        <v>185</v>
      </c>
      <c r="J52" s="42" t="s">
        <v>186</v>
      </c>
    </row>
    <row r="53" ht="14.25" hidden="1" customHeight="1" outlineLevel="1">
      <c r="A53" s="39" t="s">
        <v>53</v>
      </c>
      <c r="B53" s="45">
        <v>45260.0</v>
      </c>
      <c r="C53" s="41" t="s">
        <v>188</v>
      </c>
      <c r="D53" s="105">
        <v>1.0</v>
      </c>
      <c r="E53" s="43">
        <v>4000.0</v>
      </c>
      <c r="F53" s="43">
        <v>4000.0</v>
      </c>
      <c r="G53" s="43">
        <v>4000.0</v>
      </c>
      <c r="H53" s="106"/>
      <c r="I53" s="91" t="s">
        <v>190</v>
      </c>
      <c r="J53" s="91" t="s">
        <v>191</v>
      </c>
    </row>
    <row r="54" ht="14.25" customHeight="1">
      <c r="A54" s="105" t="s">
        <v>192</v>
      </c>
      <c r="B54" s="107"/>
      <c r="C54" s="107"/>
      <c r="D54" s="107"/>
      <c r="E54" s="107"/>
      <c r="F54" s="110">
        <f t="shared" ref="F54:G54" si="4">SUM(F3:F53)</f>
        <v>11471.84</v>
      </c>
      <c r="G54" s="110">
        <f t="shared" si="4"/>
        <v>11471.84</v>
      </c>
      <c r="H54" s="111"/>
      <c r="I54" s="107"/>
      <c r="J54" s="112"/>
    </row>
    <row r="55" ht="14.25" customHeight="1" collapsed="1">
      <c r="A55" s="21" t="s">
        <v>196</v>
      </c>
      <c r="B55" s="22"/>
      <c r="C55" s="22"/>
      <c r="D55" s="22"/>
      <c r="E55" s="22"/>
      <c r="F55" s="22"/>
      <c r="G55" s="22"/>
      <c r="H55" s="22"/>
      <c r="I55" s="22"/>
      <c r="J55" s="23"/>
    </row>
    <row r="56" ht="14.25" hidden="1" customHeight="1" outlineLevel="1">
      <c r="A56" s="26" t="s">
        <v>52</v>
      </c>
      <c r="B56" s="115">
        <v>45261.0</v>
      </c>
      <c r="C56" s="30" t="s">
        <v>61</v>
      </c>
      <c r="D56" s="38">
        <v>1.0</v>
      </c>
      <c r="E56" s="116">
        <v>150.0</v>
      </c>
      <c r="F56" s="116">
        <v>150.0</v>
      </c>
      <c r="G56" s="116">
        <v>150.0</v>
      </c>
      <c r="H56" s="35" t="b">
        <v>1</v>
      </c>
      <c r="I56" s="38" t="s">
        <v>62</v>
      </c>
      <c r="J56" s="38" t="s">
        <v>198</v>
      </c>
    </row>
    <row r="57" ht="14.25" hidden="1" customHeight="1" outlineLevel="1">
      <c r="A57" s="39" t="s">
        <v>52</v>
      </c>
      <c r="B57" s="45">
        <v>45261.0</v>
      </c>
      <c r="C57" s="41" t="s">
        <v>93</v>
      </c>
      <c r="D57" s="42">
        <v>1.0</v>
      </c>
      <c r="E57" s="43">
        <v>220.0</v>
      </c>
      <c r="F57" s="43">
        <v>220.0</v>
      </c>
      <c r="G57" s="43">
        <v>220.0</v>
      </c>
      <c r="H57" s="44" t="b">
        <v>0</v>
      </c>
      <c r="I57" s="42" t="s">
        <v>147</v>
      </c>
      <c r="J57" s="42" t="s">
        <v>201</v>
      </c>
    </row>
    <row r="58" ht="14.25" hidden="1" customHeight="1" outlineLevel="1">
      <c r="A58" s="39" t="s">
        <v>52</v>
      </c>
      <c r="B58" s="45">
        <v>45261.0</v>
      </c>
      <c r="C58" s="41" t="s">
        <v>80</v>
      </c>
      <c r="D58" s="42">
        <v>2.0</v>
      </c>
      <c r="E58" s="43">
        <v>12.0</v>
      </c>
      <c r="F58" s="43">
        <f>D58*E58</f>
        <v>24</v>
      </c>
      <c r="G58" s="43">
        <f>F58</f>
        <v>24</v>
      </c>
      <c r="H58" s="44" t="b">
        <v>0</v>
      </c>
      <c r="I58" s="42" t="s">
        <v>81</v>
      </c>
      <c r="J58" s="42" t="s">
        <v>206</v>
      </c>
    </row>
    <row r="59" ht="14.25" hidden="1" customHeight="1" outlineLevel="1">
      <c r="A59" s="39" t="s">
        <v>52</v>
      </c>
      <c r="B59" s="45">
        <v>45262.0</v>
      </c>
      <c r="C59" s="41" t="s">
        <v>61</v>
      </c>
      <c r="D59" s="42">
        <v>1.0</v>
      </c>
      <c r="E59" s="43">
        <v>150.0</v>
      </c>
      <c r="F59" s="43">
        <v>150.0</v>
      </c>
      <c r="G59" s="43">
        <v>150.0</v>
      </c>
      <c r="H59" s="44" t="b">
        <v>1</v>
      </c>
      <c r="I59" s="42" t="s">
        <v>67</v>
      </c>
      <c r="J59" s="42" t="s">
        <v>208</v>
      </c>
    </row>
    <row r="60" ht="14.25" hidden="1" customHeight="1" outlineLevel="1">
      <c r="A60" s="39" t="s">
        <v>52</v>
      </c>
      <c r="B60" s="45">
        <v>45263.0</v>
      </c>
      <c r="C60" s="41" t="s">
        <v>61</v>
      </c>
      <c r="D60" s="42">
        <v>1.0</v>
      </c>
      <c r="E60" s="43">
        <v>200.0</v>
      </c>
      <c r="F60" s="43">
        <v>200.0</v>
      </c>
      <c r="G60" s="43">
        <v>200.0</v>
      </c>
      <c r="H60" s="44" t="b">
        <v>1</v>
      </c>
      <c r="I60" s="42" t="s">
        <v>212</v>
      </c>
      <c r="J60" s="42" t="s">
        <v>213</v>
      </c>
    </row>
    <row r="61" ht="14.25" hidden="1" customHeight="1" outlineLevel="1">
      <c r="A61" s="39" t="s">
        <v>52</v>
      </c>
      <c r="B61" s="45">
        <v>45265.0</v>
      </c>
      <c r="C61" s="41" t="s">
        <v>61</v>
      </c>
      <c r="D61" s="42">
        <v>1.0</v>
      </c>
      <c r="E61" s="43">
        <v>150.0</v>
      </c>
      <c r="F61" s="43">
        <v>150.0</v>
      </c>
      <c r="G61" s="43">
        <v>150.0</v>
      </c>
      <c r="H61" s="44" t="b">
        <v>1</v>
      </c>
      <c r="I61" s="42" t="s">
        <v>62</v>
      </c>
      <c r="J61" s="42" t="s">
        <v>216</v>
      </c>
    </row>
    <row r="62" ht="14.25" hidden="1" customHeight="1" outlineLevel="1">
      <c r="A62" s="39" t="s">
        <v>52</v>
      </c>
      <c r="B62" s="45">
        <v>45265.0</v>
      </c>
      <c r="C62" s="41" t="s">
        <v>69</v>
      </c>
      <c r="D62" s="42">
        <v>1.0</v>
      </c>
      <c r="E62" s="43">
        <v>13.44</v>
      </c>
      <c r="F62" s="43">
        <f t="shared" ref="F62:F65" si="5">D62*E62</f>
        <v>13.44</v>
      </c>
      <c r="G62" s="87">
        <f>SUM(F62:F65)</f>
        <v>52.51</v>
      </c>
      <c r="H62" s="89" t="b">
        <v>0</v>
      </c>
      <c r="I62" s="54" t="s">
        <v>117</v>
      </c>
      <c r="J62" s="42" t="s">
        <v>220</v>
      </c>
    </row>
    <row r="63" ht="14.25" hidden="1" customHeight="1" outlineLevel="1">
      <c r="A63" s="39" t="s">
        <v>52</v>
      </c>
      <c r="B63" s="45">
        <v>45265.0</v>
      </c>
      <c r="C63" s="41" t="s">
        <v>84</v>
      </c>
      <c r="D63" s="42">
        <v>1.0</v>
      </c>
      <c r="E63" s="43">
        <v>11.59</v>
      </c>
      <c r="F63" s="43">
        <f t="shared" si="5"/>
        <v>11.59</v>
      </c>
      <c r="G63" s="58"/>
      <c r="H63" s="58"/>
      <c r="I63" s="58"/>
      <c r="J63" s="42" t="s">
        <v>222</v>
      </c>
    </row>
    <row r="64" ht="14.25" hidden="1" customHeight="1" outlineLevel="1">
      <c r="A64" s="39" t="s">
        <v>52</v>
      </c>
      <c r="B64" s="45">
        <v>45265.0</v>
      </c>
      <c r="C64" s="41" t="s">
        <v>223</v>
      </c>
      <c r="D64" s="42">
        <v>1.0</v>
      </c>
      <c r="E64" s="43">
        <v>19.99</v>
      </c>
      <c r="F64" s="43">
        <f t="shared" si="5"/>
        <v>19.99</v>
      </c>
      <c r="G64" s="58"/>
      <c r="H64" s="58"/>
      <c r="I64" s="58"/>
      <c r="J64" s="42" t="s">
        <v>224</v>
      </c>
    </row>
    <row r="65" ht="14.25" hidden="1" customHeight="1" outlineLevel="1">
      <c r="A65" s="39" t="s">
        <v>52</v>
      </c>
      <c r="B65" s="45">
        <v>45265.0</v>
      </c>
      <c r="C65" s="41" t="s">
        <v>112</v>
      </c>
      <c r="D65" s="42">
        <v>1.0</v>
      </c>
      <c r="E65" s="43">
        <v>7.49</v>
      </c>
      <c r="F65" s="43">
        <f t="shared" si="5"/>
        <v>7.49</v>
      </c>
      <c r="G65" s="10"/>
      <c r="H65" s="10"/>
      <c r="I65" s="10"/>
      <c r="J65" s="42" t="s">
        <v>220</v>
      </c>
    </row>
    <row r="66" ht="14.25" hidden="1" customHeight="1" outlineLevel="1">
      <c r="A66" s="39" t="s">
        <v>52</v>
      </c>
      <c r="B66" s="45">
        <v>45265.0</v>
      </c>
      <c r="C66" s="41" t="s">
        <v>75</v>
      </c>
      <c r="D66" s="42">
        <v>1.0</v>
      </c>
      <c r="E66" s="43">
        <v>24.0</v>
      </c>
      <c r="F66" s="43">
        <v>24.0</v>
      </c>
      <c r="G66" s="43">
        <v>24.0</v>
      </c>
      <c r="H66" s="44" t="b">
        <v>0</v>
      </c>
      <c r="I66" s="42" t="s">
        <v>225</v>
      </c>
      <c r="J66" s="42" t="s">
        <v>226</v>
      </c>
    </row>
    <row r="67" ht="14.25" hidden="1" customHeight="1" outlineLevel="1">
      <c r="A67" s="39" t="s">
        <v>52</v>
      </c>
      <c r="B67" s="45">
        <v>45265.0</v>
      </c>
      <c r="C67" s="41" t="s">
        <v>75</v>
      </c>
      <c r="D67" s="42">
        <v>1.0</v>
      </c>
      <c r="E67" s="43">
        <v>70.0</v>
      </c>
      <c r="F67" s="43">
        <v>70.0</v>
      </c>
      <c r="G67" s="43">
        <v>70.0</v>
      </c>
      <c r="H67" s="44" t="b">
        <v>0</v>
      </c>
      <c r="I67" s="42" t="s">
        <v>157</v>
      </c>
      <c r="J67" s="42" t="s">
        <v>158</v>
      </c>
    </row>
    <row r="68" ht="14.25" hidden="1" customHeight="1" outlineLevel="1">
      <c r="A68" s="42"/>
      <c r="B68" s="45"/>
      <c r="C68" s="41"/>
      <c r="D68" s="42"/>
      <c r="E68" s="43"/>
      <c r="F68" s="43"/>
      <c r="G68" s="121"/>
      <c r="H68" s="44" t="b">
        <v>0</v>
      </c>
      <c r="I68" s="41"/>
      <c r="J68" s="42"/>
    </row>
    <row r="69" ht="14.25" hidden="1" customHeight="1" outlineLevel="1">
      <c r="A69" s="39" t="s">
        <v>52</v>
      </c>
      <c r="B69" s="45">
        <v>45266.0</v>
      </c>
      <c r="C69" s="41" t="s">
        <v>69</v>
      </c>
      <c r="D69" s="42">
        <v>1.0</v>
      </c>
      <c r="E69" s="43">
        <v>6.29</v>
      </c>
      <c r="F69" s="43">
        <v>6.29</v>
      </c>
      <c r="G69" s="87">
        <v>10.64</v>
      </c>
      <c r="H69" s="89" t="b">
        <v>0</v>
      </c>
      <c r="I69" s="54" t="s">
        <v>229</v>
      </c>
      <c r="J69" s="42" t="s">
        <v>230</v>
      </c>
    </row>
    <row r="70" ht="14.25" hidden="1" customHeight="1" outlineLevel="1">
      <c r="A70" s="39" t="s">
        <v>52</v>
      </c>
      <c r="B70" s="45">
        <v>45266.0</v>
      </c>
      <c r="C70" s="41" t="s">
        <v>231</v>
      </c>
      <c r="D70" s="42">
        <v>1.0</v>
      </c>
      <c r="E70" s="43">
        <v>17.79</v>
      </c>
      <c r="F70" s="43">
        <f>17.79-13.44</f>
        <v>4.35</v>
      </c>
      <c r="G70" s="10"/>
      <c r="H70" s="10"/>
      <c r="I70" s="10"/>
      <c r="J70" s="42" t="s">
        <v>232</v>
      </c>
    </row>
    <row r="71" ht="14.25" hidden="1" customHeight="1" outlineLevel="1">
      <c r="A71" s="39" t="s">
        <v>52</v>
      </c>
      <c r="B71" s="45">
        <v>45270.0</v>
      </c>
      <c r="C71" s="41" t="s">
        <v>61</v>
      </c>
      <c r="D71" s="42">
        <v>1.0</v>
      </c>
      <c r="E71" s="43">
        <v>200.0</v>
      </c>
      <c r="F71" s="43">
        <v>200.0</v>
      </c>
      <c r="G71" s="43">
        <v>200.0</v>
      </c>
      <c r="H71" s="44" t="b">
        <v>1</v>
      </c>
      <c r="I71" s="42" t="s">
        <v>233</v>
      </c>
      <c r="J71" s="42" t="s">
        <v>234</v>
      </c>
    </row>
    <row r="72" ht="14.25" hidden="1" customHeight="1" outlineLevel="1">
      <c r="A72" s="39" t="s">
        <v>52</v>
      </c>
      <c r="B72" s="45">
        <v>45270.0</v>
      </c>
      <c r="C72" s="41" t="s">
        <v>61</v>
      </c>
      <c r="D72" s="42">
        <v>1.0</v>
      </c>
      <c r="E72" s="43">
        <v>200.0</v>
      </c>
      <c r="F72" s="43">
        <v>200.0</v>
      </c>
      <c r="G72" s="43">
        <v>200.0</v>
      </c>
      <c r="H72" s="44" t="b">
        <v>1</v>
      </c>
      <c r="I72" s="42" t="s">
        <v>105</v>
      </c>
      <c r="J72" s="128" t="s">
        <v>235</v>
      </c>
    </row>
    <row r="73" ht="14.25" hidden="1" customHeight="1" outlineLevel="1">
      <c r="A73" s="39" t="s">
        <v>52</v>
      </c>
      <c r="B73" s="45">
        <v>45272.0</v>
      </c>
      <c r="C73" s="41" t="s">
        <v>61</v>
      </c>
      <c r="D73" s="42">
        <v>1.0</v>
      </c>
      <c r="E73" s="43">
        <v>150.0</v>
      </c>
      <c r="F73" s="43">
        <v>150.0</v>
      </c>
      <c r="G73" s="43">
        <v>150.0</v>
      </c>
      <c r="H73" s="44" t="b">
        <v>1</v>
      </c>
      <c r="I73" s="42" t="s">
        <v>62</v>
      </c>
      <c r="J73" s="42" t="s">
        <v>238</v>
      </c>
    </row>
    <row r="74" ht="14.25" hidden="1" customHeight="1" outlineLevel="1">
      <c r="A74" s="39" t="s">
        <v>52</v>
      </c>
      <c r="B74" s="45">
        <v>45273.0</v>
      </c>
      <c r="C74" s="41" t="s">
        <v>61</v>
      </c>
      <c r="D74" s="42">
        <v>1.0</v>
      </c>
      <c r="E74" s="43">
        <v>150.0</v>
      </c>
      <c r="F74" s="43">
        <v>150.0</v>
      </c>
      <c r="G74" s="43">
        <v>150.0</v>
      </c>
      <c r="H74" s="44" t="b">
        <v>1</v>
      </c>
      <c r="I74" s="42" t="s">
        <v>239</v>
      </c>
      <c r="J74" s="42" t="s">
        <v>240</v>
      </c>
    </row>
    <row r="75" ht="14.25" hidden="1" customHeight="1" outlineLevel="1">
      <c r="A75" s="39" t="s">
        <v>52</v>
      </c>
      <c r="B75" s="45">
        <v>45273.0</v>
      </c>
      <c r="C75" s="41" t="s">
        <v>171</v>
      </c>
      <c r="D75" s="42">
        <v>1.0</v>
      </c>
      <c r="E75" s="43">
        <v>68.4</v>
      </c>
      <c r="F75" s="43">
        <v>68.4</v>
      </c>
      <c r="G75" s="43">
        <v>68.4</v>
      </c>
      <c r="H75" s="44" t="b">
        <v>0</v>
      </c>
      <c r="I75" s="42" t="s">
        <v>172</v>
      </c>
      <c r="J75" s="42" t="s">
        <v>241</v>
      </c>
    </row>
    <row r="76" ht="14.25" hidden="1" customHeight="1" outlineLevel="1">
      <c r="A76" s="39" t="s">
        <v>52</v>
      </c>
      <c r="B76" s="45">
        <v>45275.0</v>
      </c>
      <c r="C76" s="41" t="s">
        <v>61</v>
      </c>
      <c r="D76" s="42">
        <v>1.0</v>
      </c>
      <c r="E76" s="43">
        <v>150.0</v>
      </c>
      <c r="F76" s="43">
        <v>150.0</v>
      </c>
      <c r="G76" s="43">
        <v>150.0</v>
      </c>
      <c r="H76" s="44" t="b">
        <v>1</v>
      </c>
      <c r="I76" s="42" t="s">
        <v>64</v>
      </c>
      <c r="J76" s="42" t="s">
        <v>244</v>
      </c>
    </row>
    <row r="77" ht="14.25" hidden="1" customHeight="1" outlineLevel="1">
      <c r="A77" s="39" t="s">
        <v>52</v>
      </c>
      <c r="B77" s="45">
        <v>45277.0</v>
      </c>
      <c r="C77" s="41" t="s">
        <v>61</v>
      </c>
      <c r="D77" s="42">
        <v>1.0</v>
      </c>
      <c r="E77" s="43">
        <v>200.0</v>
      </c>
      <c r="F77" s="43">
        <v>200.0</v>
      </c>
      <c r="G77" s="43">
        <v>200.0</v>
      </c>
      <c r="H77" s="44" t="b">
        <v>1</v>
      </c>
      <c r="I77" s="42" t="s">
        <v>64</v>
      </c>
      <c r="J77" s="42" t="s">
        <v>245</v>
      </c>
    </row>
    <row r="78" ht="14.25" hidden="1" customHeight="1" outlineLevel="1">
      <c r="A78" s="39" t="s">
        <v>52</v>
      </c>
      <c r="B78" s="45">
        <v>45277.0</v>
      </c>
      <c r="C78" s="41" t="s">
        <v>61</v>
      </c>
      <c r="D78" s="42">
        <v>1.0</v>
      </c>
      <c r="E78" s="43">
        <v>200.0</v>
      </c>
      <c r="F78" s="43">
        <v>200.0</v>
      </c>
      <c r="G78" s="43">
        <v>200.0</v>
      </c>
      <c r="H78" s="44" t="b">
        <v>1</v>
      </c>
      <c r="I78" s="42" t="s">
        <v>214</v>
      </c>
      <c r="J78" s="42" t="s">
        <v>245</v>
      </c>
    </row>
    <row r="79" ht="14.25" hidden="1" customHeight="1" outlineLevel="1">
      <c r="A79" s="39" t="s">
        <v>52</v>
      </c>
      <c r="B79" s="45">
        <v>45277.0</v>
      </c>
      <c r="C79" s="41" t="s">
        <v>112</v>
      </c>
      <c r="D79" s="42">
        <v>1.0</v>
      </c>
      <c r="E79" s="43">
        <v>21.38</v>
      </c>
      <c r="F79" s="43">
        <v>21.38</v>
      </c>
      <c r="G79" s="43">
        <v>21.38</v>
      </c>
      <c r="H79" s="44" t="b">
        <v>0</v>
      </c>
      <c r="I79" s="42" t="s">
        <v>86</v>
      </c>
      <c r="J79" s="42" t="s">
        <v>247</v>
      </c>
    </row>
    <row r="80" ht="14.25" hidden="1" customHeight="1" outlineLevel="1">
      <c r="A80" s="39" t="s">
        <v>52</v>
      </c>
      <c r="B80" s="45">
        <v>45278.0</v>
      </c>
      <c r="C80" s="41" t="s">
        <v>248</v>
      </c>
      <c r="D80" s="42">
        <v>1.0</v>
      </c>
      <c r="E80" s="43">
        <v>625.0</v>
      </c>
      <c r="F80" s="43">
        <v>625.0</v>
      </c>
      <c r="G80" s="43">
        <v>625.0</v>
      </c>
      <c r="H80" s="44" t="b">
        <v>0</v>
      </c>
      <c r="I80" s="42"/>
      <c r="J80" s="42" t="s">
        <v>249</v>
      </c>
    </row>
    <row r="81" ht="14.25" hidden="1" customHeight="1" outlineLevel="1">
      <c r="A81" s="39" t="s">
        <v>52</v>
      </c>
      <c r="B81" s="45">
        <v>45278.0</v>
      </c>
      <c r="C81" s="41" t="s">
        <v>93</v>
      </c>
      <c r="D81" s="42">
        <v>1.0</v>
      </c>
      <c r="E81" s="43">
        <v>45.2</v>
      </c>
      <c r="F81" s="43">
        <v>45.2</v>
      </c>
      <c r="G81" s="43">
        <v>45.2</v>
      </c>
      <c r="H81" s="44" t="b">
        <v>0</v>
      </c>
      <c r="I81" s="42" t="s">
        <v>147</v>
      </c>
      <c r="J81" s="41" t="s">
        <v>251</v>
      </c>
    </row>
    <row r="82" ht="14.25" hidden="1" customHeight="1" outlineLevel="1">
      <c r="A82" s="39" t="s">
        <v>52</v>
      </c>
      <c r="B82" s="45">
        <v>45278.0</v>
      </c>
      <c r="C82" s="41" t="s">
        <v>75</v>
      </c>
      <c r="D82" s="42">
        <v>1.0</v>
      </c>
      <c r="E82" s="43">
        <v>175.0</v>
      </c>
      <c r="F82" s="43">
        <v>175.0</v>
      </c>
      <c r="G82" s="43">
        <v>175.0</v>
      </c>
      <c r="H82" s="44" t="b">
        <v>0</v>
      </c>
      <c r="I82" s="42" t="s">
        <v>157</v>
      </c>
      <c r="J82" s="42" t="s">
        <v>252</v>
      </c>
    </row>
    <row r="83" ht="14.25" hidden="1" customHeight="1" outlineLevel="1">
      <c r="A83" s="131" t="s">
        <v>52</v>
      </c>
      <c r="B83" s="132">
        <v>45278.0</v>
      </c>
      <c r="C83" s="41" t="s">
        <v>55</v>
      </c>
      <c r="D83" s="41">
        <v>1.0</v>
      </c>
      <c r="E83" s="121">
        <v>98.7</v>
      </c>
      <c r="F83" s="121">
        <v>98.7</v>
      </c>
      <c r="G83" s="121">
        <v>98.7</v>
      </c>
      <c r="H83" s="133" t="b">
        <v>0</v>
      </c>
      <c r="I83" s="41" t="s">
        <v>254</v>
      </c>
      <c r="J83" s="41" t="s">
        <v>255</v>
      </c>
    </row>
    <row r="84" ht="14.25" hidden="1" customHeight="1" outlineLevel="1">
      <c r="A84" s="131" t="s">
        <v>52</v>
      </c>
      <c r="B84" s="132">
        <v>45279.0</v>
      </c>
      <c r="C84" s="41" t="s">
        <v>61</v>
      </c>
      <c r="D84" s="41">
        <v>1.0</v>
      </c>
      <c r="E84" s="121">
        <v>150.0</v>
      </c>
      <c r="F84" s="121">
        <v>150.0</v>
      </c>
      <c r="G84" s="121">
        <v>150.0</v>
      </c>
      <c r="H84" s="133" t="b">
        <v>1</v>
      </c>
      <c r="I84" s="41" t="s">
        <v>62</v>
      </c>
      <c r="J84" s="41" t="s">
        <v>256</v>
      </c>
    </row>
    <row r="85" ht="14.25" hidden="1" customHeight="1" outlineLevel="1">
      <c r="A85" s="131" t="s">
        <v>52</v>
      </c>
      <c r="B85" s="132">
        <v>45281.0</v>
      </c>
      <c r="C85" s="41" t="s">
        <v>231</v>
      </c>
      <c r="D85" s="41">
        <v>2.0</v>
      </c>
      <c r="E85" s="121">
        <v>20.5</v>
      </c>
      <c r="F85" s="121">
        <v>41.0</v>
      </c>
      <c r="G85" s="121">
        <v>41.0</v>
      </c>
      <c r="H85" s="133" t="b">
        <v>0</v>
      </c>
      <c r="I85" s="41" t="s">
        <v>258</v>
      </c>
      <c r="J85" s="41" t="s">
        <v>259</v>
      </c>
    </row>
    <row r="86" ht="14.25" hidden="1" customHeight="1" outlineLevel="1">
      <c r="A86" s="131" t="s">
        <v>52</v>
      </c>
      <c r="B86" s="132">
        <v>45281.0</v>
      </c>
      <c r="C86" s="41" t="s">
        <v>231</v>
      </c>
      <c r="D86" s="41">
        <v>1.0</v>
      </c>
      <c r="E86" s="121">
        <v>48.0</v>
      </c>
      <c r="F86" s="121">
        <v>48.0</v>
      </c>
      <c r="G86" s="121">
        <v>48.0</v>
      </c>
      <c r="H86" s="133" t="b">
        <v>0</v>
      </c>
      <c r="I86" s="41" t="s">
        <v>261</v>
      </c>
      <c r="J86" s="41" t="s">
        <v>262</v>
      </c>
    </row>
    <row r="87" ht="14.25" hidden="1" customHeight="1" outlineLevel="1">
      <c r="A87" s="131" t="s">
        <v>52</v>
      </c>
      <c r="B87" s="132">
        <v>45281.0</v>
      </c>
      <c r="C87" s="41" t="s">
        <v>61</v>
      </c>
      <c r="D87" s="41">
        <v>1.0</v>
      </c>
      <c r="E87" s="121">
        <v>3020.0</v>
      </c>
      <c r="F87" s="121">
        <v>3020.0</v>
      </c>
      <c r="G87" s="121">
        <v>3020.0</v>
      </c>
      <c r="H87" s="133" t="b">
        <v>1</v>
      </c>
      <c r="I87" s="41" t="s">
        <v>263</v>
      </c>
      <c r="J87" s="41" t="s">
        <v>264</v>
      </c>
    </row>
    <row r="88" ht="14.25" hidden="1" customHeight="1" outlineLevel="1">
      <c r="A88" s="131" t="s">
        <v>52</v>
      </c>
      <c r="B88" s="132">
        <v>45282.0</v>
      </c>
      <c r="C88" s="41" t="s">
        <v>112</v>
      </c>
      <c r="D88" s="41">
        <v>1.0</v>
      </c>
      <c r="E88" s="121">
        <v>68.87</v>
      </c>
      <c r="F88" s="121">
        <v>68.87</v>
      </c>
      <c r="G88" s="121">
        <v>68.87</v>
      </c>
      <c r="H88" s="133" t="b">
        <v>0</v>
      </c>
      <c r="I88" s="41" t="s">
        <v>86</v>
      </c>
      <c r="J88" s="41" t="s">
        <v>247</v>
      </c>
    </row>
    <row r="89" ht="14.25" hidden="1" customHeight="1" outlineLevel="1">
      <c r="A89" s="131" t="s">
        <v>52</v>
      </c>
      <c r="B89" s="132">
        <v>45282.0</v>
      </c>
      <c r="C89" s="41" t="s">
        <v>61</v>
      </c>
      <c r="D89" s="41">
        <v>1.0</v>
      </c>
      <c r="E89" s="121">
        <v>150.0</v>
      </c>
      <c r="F89" s="121">
        <v>150.0</v>
      </c>
      <c r="G89" s="121">
        <v>150.0</v>
      </c>
      <c r="H89" s="133" t="b">
        <v>1</v>
      </c>
      <c r="I89" s="41" t="s">
        <v>62</v>
      </c>
      <c r="J89" s="41" t="s">
        <v>267</v>
      </c>
    </row>
    <row r="90" ht="14.25" hidden="1" customHeight="1" outlineLevel="1">
      <c r="A90" s="131" t="s">
        <v>52</v>
      </c>
      <c r="B90" s="132">
        <v>45283.0</v>
      </c>
      <c r="C90" s="41" t="s">
        <v>61</v>
      </c>
      <c r="D90" s="41">
        <v>1.0</v>
      </c>
      <c r="E90" s="121">
        <v>200.0</v>
      </c>
      <c r="F90" s="121">
        <v>200.0</v>
      </c>
      <c r="G90" s="121">
        <v>200.0</v>
      </c>
      <c r="H90" s="133" t="b">
        <v>1</v>
      </c>
      <c r="I90" s="41" t="s">
        <v>64</v>
      </c>
      <c r="J90" s="41" t="s">
        <v>269</v>
      </c>
    </row>
    <row r="91" ht="14.25" hidden="1" customHeight="1" outlineLevel="1">
      <c r="A91" s="131" t="s">
        <v>52</v>
      </c>
      <c r="B91" s="132">
        <v>45284.0</v>
      </c>
      <c r="C91" s="41" t="s">
        <v>61</v>
      </c>
      <c r="D91" s="41">
        <v>1.0</v>
      </c>
      <c r="E91" s="121">
        <v>200.0</v>
      </c>
      <c r="F91" s="121">
        <v>200.0</v>
      </c>
      <c r="G91" s="121">
        <v>200.0</v>
      </c>
      <c r="H91" s="133" t="b">
        <v>1</v>
      </c>
      <c r="I91" s="41" t="s">
        <v>64</v>
      </c>
      <c r="J91" s="41" t="s">
        <v>270</v>
      </c>
    </row>
    <row r="92" ht="14.25" hidden="1" customHeight="1" outlineLevel="1">
      <c r="A92" s="134" t="s">
        <v>52</v>
      </c>
      <c r="B92" s="132">
        <v>45284.0</v>
      </c>
      <c r="C92" s="135" t="s">
        <v>61</v>
      </c>
      <c r="D92" s="136">
        <v>1.0</v>
      </c>
      <c r="E92" s="137">
        <v>200.0</v>
      </c>
      <c r="F92" s="137">
        <v>200.0</v>
      </c>
      <c r="G92" s="137">
        <v>200.0</v>
      </c>
      <c r="H92" s="139" t="b">
        <v>1</v>
      </c>
      <c r="I92" s="135" t="s">
        <v>64</v>
      </c>
      <c r="J92" s="140" t="s">
        <v>271</v>
      </c>
    </row>
    <row r="93" ht="14.25" hidden="1" customHeight="1" outlineLevel="1">
      <c r="A93" s="39" t="s">
        <v>52</v>
      </c>
      <c r="B93" s="45">
        <v>45284.0</v>
      </c>
      <c r="C93" s="41" t="s">
        <v>171</v>
      </c>
      <c r="D93" s="42">
        <v>1.0</v>
      </c>
      <c r="E93" s="43">
        <v>95.0</v>
      </c>
      <c r="F93" s="43">
        <v>95.0</v>
      </c>
      <c r="G93" s="43">
        <v>95.0</v>
      </c>
      <c r="H93" s="44" t="b">
        <v>0</v>
      </c>
      <c r="I93" s="42" t="s">
        <v>172</v>
      </c>
      <c r="J93" s="42" t="s">
        <v>274</v>
      </c>
    </row>
    <row r="94" ht="14.25" hidden="1" customHeight="1" outlineLevel="1">
      <c r="A94" s="134" t="s">
        <v>52</v>
      </c>
      <c r="B94" s="132">
        <v>45285.0</v>
      </c>
      <c r="C94" s="135" t="s">
        <v>61</v>
      </c>
      <c r="D94" s="136">
        <v>1.0</v>
      </c>
      <c r="E94" s="137">
        <v>200.0</v>
      </c>
      <c r="F94" s="137">
        <v>200.0</v>
      </c>
      <c r="G94" s="137">
        <v>200.0</v>
      </c>
      <c r="H94" s="139" t="b">
        <v>1</v>
      </c>
      <c r="I94" s="135" t="s">
        <v>64</v>
      </c>
      <c r="J94" s="140" t="s">
        <v>275</v>
      </c>
    </row>
    <row r="95" ht="14.25" hidden="1" customHeight="1" outlineLevel="1">
      <c r="A95" s="134" t="s">
        <v>52</v>
      </c>
      <c r="B95" s="132">
        <v>45286.0</v>
      </c>
      <c r="C95" s="135" t="s">
        <v>61</v>
      </c>
      <c r="D95" s="136">
        <v>1.0</v>
      </c>
      <c r="E95" s="142">
        <v>150.0</v>
      </c>
      <c r="F95" s="142">
        <v>150.0</v>
      </c>
      <c r="G95" s="142">
        <v>150.0</v>
      </c>
      <c r="H95" s="139" t="b">
        <v>1</v>
      </c>
      <c r="I95" s="140" t="s">
        <v>280</v>
      </c>
      <c r="J95" s="140" t="s">
        <v>281</v>
      </c>
    </row>
    <row r="96" ht="15.75" hidden="1" customHeight="1" outlineLevel="1">
      <c r="A96" s="134" t="s">
        <v>52</v>
      </c>
      <c r="B96" s="132">
        <v>45286.0</v>
      </c>
      <c r="C96" s="143" t="s">
        <v>80</v>
      </c>
      <c r="D96" s="144">
        <v>1.0</v>
      </c>
      <c r="E96" s="145">
        <v>24.0</v>
      </c>
      <c r="F96" s="145">
        <v>24.0</v>
      </c>
      <c r="G96" s="145">
        <v>24.0</v>
      </c>
      <c r="H96" s="146" t="b">
        <v>0</v>
      </c>
      <c r="I96" s="143" t="s">
        <v>81</v>
      </c>
      <c r="J96" s="143" t="s">
        <v>284</v>
      </c>
    </row>
    <row r="97" ht="14.25" hidden="1" customHeight="1" outlineLevel="1">
      <c r="A97" s="39" t="s">
        <v>52</v>
      </c>
      <c r="B97" s="45">
        <v>45286.0</v>
      </c>
      <c r="C97" s="41" t="s">
        <v>93</v>
      </c>
      <c r="D97" s="42">
        <v>1.0</v>
      </c>
      <c r="E97" s="43">
        <v>192.67</v>
      </c>
      <c r="F97" s="43">
        <v>192.67</v>
      </c>
      <c r="G97" s="43">
        <v>192.67</v>
      </c>
      <c r="H97" s="44" t="b">
        <v>0</v>
      </c>
      <c r="I97" s="42" t="s">
        <v>147</v>
      </c>
      <c r="J97" s="41" t="s">
        <v>286</v>
      </c>
    </row>
    <row r="98" ht="14.25" hidden="1" customHeight="1" outlineLevel="1">
      <c r="A98" s="147">
        <v>45261.0</v>
      </c>
      <c r="B98" s="132">
        <v>45287.0</v>
      </c>
      <c r="C98" s="129" t="s">
        <v>188</v>
      </c>
      <c r="D98" s="129">
        <v>1.0</v>
      </c>
      <c r="E98" s="130">
        <v>1000.0</v>
      </c>
      <c r="F98" s="130">
        <v>1000.0</v>
      </c>
      <c r="G98" s="148">
        <v>1000.0</v>
      </c>
      <c r="H98" s="149" t="b">
        <v>0</v>
      </c>
      <c r="I98" s="91" t="s">
        <v>190</v>
      </c>
      <c r="J98" s="91" t="s">
        <v>191</v>
      </c>
    </row>
    <row r="99" ht="14.25" hidden="1" customHeight="1" outlineLevel="1">
      <c r="A99" s="134" t="s">
        <v>52</v>
      </c>
      <c r="B99" s="132">
        <v>45289.0</v>
      </c>
      <c r="C99" s="135" t="s">
        <v>61</v>
      </c>
      <c r="D99" s="136">
        <v>1.0</v>
      </c>
      <c r="E99" s="142">
        <v>150.0</v>
      </c>
      <c r="F99" s="142">
        <v>150.0</v>
      </c>
      <c r="G99" s="142">
        <v>150.0</v>
      </c>
      <c r="H99" s="139" t="b">
        <v>1</v>
      </c>
      <c r="I99" s="140" t="s">
        <v>62</v>
      </c>
      <c r="J99" s="140" t="s">
        <v>289</v>
      </c>
    </row>
    <row r="100" ht="14.25" hidden="1" customHeight="1" outlineLevel="1">
      <c r="A100" s="131" t="s">
        <v>52</v>
      </c>
      <c r="B100" s="132">
        <v>45291.0</v>
      </c>
      <c r="C100" s="41" t="s">
        <v>61</v>
      </c>
      <c r="D100" s="41">
        <v>1.0</v>
      </c>
      <c r="E100" s="121">
        <v>200.0</v>
      </c>
      <c r="F100" s="121">
        <v>200.0</v>
      </c>
      <c r="G100" s="121">
        <v>200.0</v>
      </c>
      <c r="H100" s="133" t="b">
        <v>1</v>
      </c>
      <c r="I100" s="41" t="s">
        <v>291</v>
      </c>
      <c r="J100" s="41" t="s">
        <v>292</v>
      </c>
    </row>
    <row r="101" ht="14.25" hidden="1" customHeight="1" outlineLevel="1">
      <c r="A101" s="134" t="s">
        <v>52</v>
      </c>
      <c r="B101" s="132">
        <v>45291.0</v>
      </c>
      <c r="C101" s="135" t="s">
        <v>61</v>
      </c>
      <c r="D101" s="136">
        <v>1.0</v>
      </c>
      <c r="E101" s="137">
        <v>200.0</v>
      </c>
      <c r="F101" s="137">
        <v>200.0</v>
      </c>
      <c r="G101" s="137">
        <v>200.0</v>
      </c>
      <c r="H101" s="139" t="b">
        <v>1</v>
      </c>
      <c r="I101" s="135" t="s">
        <v>64</v>
      </c>
      <c r="J101" s="128" t="s">
        <v>293</v>
      </c>
    </row>
    <row r="102" ht="14.25" hidden="1" customHeight="1" outlineLevel="1">
      <c r="A102" s="134" t="s">
        <v>52</v>
      </c>
      <c r="B102" s="132">
        <v>45291.0</v>
      </c>
      <c r="C102" s="143" t="s">
        <v>97</v>
      </c>
      <c r="D102" s="144">
        <v>1.0</v>
      </c>
      <c r="E102" s="145">
        <v>50.0</v>
      </c>
      <c r="F102" s="145">
        <v>50.0</v>
      </c>
      <c r="G102" s="145">
        <v>50.0</v>
      </c>
      <c r="H102" s="146" t="b">
        <v>0</v>
      </c>
      <c r="I102" s="143"/>
      <c r="J102" s="143" t="s">
        <v>294</v>
      </c>
    </row>
    <row r="103" ht="14.25" hidden="1" customHeight="1" outlineLevel="1">
      <c r="A103" s="150"/>
      <c r="B103" s="150"/>
      <c r="C103" s="151"/>
      <c r="D103" s="152"/>
      <c r="E103" s="153"/>
      <c r="F103" s="153"/>
      <c r="G103" s="150"/>
      <c r="H103" s="106" t="b">
        <v>0</v>
      </c>
      <c r="I103" s="150"/>
      <c r="J103" s="150"/>
    </row>
    <row r="104" ht="14.25" customHeight="1">
      <c r="A104" s="154" t="s">
        <v>192</v>
      </c>
      <c r="B104" s="107"/>
      <c r="C104" s="107"/>
      <c r="D104" s="107"/>
      <c r="E104" s="112"/>
      <c r="F104" s="155">
        <f t="shared" ref="F104:G104" si="6">SUM(F56:F103)</f>
        <v>9674.37</v>
      </c>
      <c r="G104" s="155">
        <f t="shared" si="6"/>
        <v>9674.37</v>
      </c>
      <c r="H104" s="156"/>
      <c r="I104" s="107"/>
      <c r="J104" s="112"/>
    </row>
    <row r="105" ht="14.25" customHeight="1" collapsed="1">
      <c r="A105" s="21" t="s">
        <v>302</v>
      </c>
      <c r="B105" s="22"/>
      <c r="C105" s="22"/>
      <c r="D105" s="22"/>
      <c r="E105" s="22"/>
      <c r="F105" s="22"/>
      <c r="G105" s="22"/>
      <c r="H105" s="22"/>
      <c r="I105" s="22"/>
      <c r="J105" s="23"/>
    </row>
    <row r="106" ht="14.25" hidden="1" customHeight="1" outlineLevel="1">
      <c r="A106" s="131" t="s">
        <v>51</v>
      </c>
      <c r="B106" s="132">
        <v>45292.0</v>
      </c>
      <c r="C106" s="135" t="s">
        <v>61</v>
      </c>
      <c r="D106" s="136">
        <v>1.0</v>
      </c>
      <c r="E106" s="137">
        <v>200.0</v>
      </c>
      <c r="F106" s="137">
        <v>200.0</v>
      </c>
      <c r="G106" s="137">
        <v>200.0</v>
      </c>
      <c r="H106" s="139" t="b">
        <v>1</v>
      </c>
      <c r="I106" s="135" t="s">
        <v>64</v>
      </c>
      <c r="J106" s="140" t="s">
        <v>304</v>
      </c>
    </row>
    <row r="107" ht="14.25" hidden="1" customHeight="1" outlineLevel="1">
      <c r="A107" s="131" t="s">
        <v>51</v>
      </c>
      <c r="B107" s="132">
        <v>45293.0</v>
      </c>
      <c r="C107" s="135" t="s">
        <v>61</v>
      </c>
      <c r="D107" s="136">
        <v>1.0</v>
      </c>
      <c r="E107" s="142">
        <v>150.0</v>
      </c>
      <c r="F107" s="142">
        <v>150.0</v>
      </c>
      <c r="G107" s="142">
        <v>150.0</v>
      </c>
      <c r="H107" s="139" t="b">
        <v>1</v>
      </c>
      <c r="I107" s="140" t="s">
        <v>305</v>
      </c>
      <c r="J107" s="140" t="s">
        <v>306</v>
      </c>
    </row>
    <row r="108" ht="14.25" hidden="1" customHeight="1" outlineLevel="1">
      <c r="A108" s="131" t="s">
        <v>51</v>
      </c>
      <c r="B108" s="132">
        <v>45294.0</v>
      </c>
      <c r="C108" s="157" t="s">
        <v>308</v>
      </c>
      <c r="D108" s="158">
        <v>1.0</v>
      </c>
      <c r="E108" s="159">
        <v>67.45</v>
      </c>
      <c r="F108" s="159">
        <v>67.45</v>
      </c>
      <c r="G108" s="159">
        <v>67.45</v>
      </c>
      <c r="H108" s="160" t="b">
        <v>0</v>
      </c>
      <c r="I108" s="161"/>
      <c r="J108" s="158" t="s">
        <v>309</v>
      </c>
    </row>
    <row r="109" ht="14.25" hidden="1" customHeight="1" outlineLevel="1">
      <c r="A109" s="131" t="s">
        <v>51</v>
      </c>
      <c r="B109" s="132">
        <v>45294.0</v>
      </c>
      <c r="C109" s="157" t="s">
        <v>308</v>
      </c>
      <c r="D109" s="158">
        <v>1.0</v>
      </c>
      <c r="E109" s="159">
        <v>10.99</v>
      </c>
      <c r="F109" s="159">
        <v>10.99</v>
      </c>
      <c r="G109" s="159">
        <v>10.99</v>
      </c>
      <c r="H109" s="160" t="b">
        <v>0</v>
      </c>
      <c r="I109" s="161"/>
      <c r="J109" s="158" t="s">
        <v>309</v>
      </c>
    </row>
    <row r="110" ht="14.25" hidden="1" customHeight="1" outlineLevel="1">
      <c r="A110" s="131" t="s">
        <v>51</v>
      </c>
      <c r="B110" s="132">
        <v>45296.0</v>
      </c>
      <c r="C110" s="135" t="s">
        <v>61</v>
      </c>
      <c r="D110" s="136">
        <v>1.0</v>
      </c>
      <c r="E110" s="142">
        <v>150.0</v>
      </c>
      <c r="F110" s="142">
        <v>150.0</v>
      </c>
      <c r="G110" s="142">
        <v>150.0</v>
      </c>
      <c r="H110" s="139" t="b">
        <v>1</v>
      </c>
      <c r="I110" s="140" t="s">
        <v>62</v>
      </c>
      <c r="J110" s="140" t="s">
        <v>310</v>
      </c>
    </row>
    <row r="111" ht="14.25" hidden="1" customHeight="1" outlineLevel="1">
      <c r="A111" s="131" t="s">
        <v>51</v>
      </c>
      <c r="B111" s="132">
        <v>45296.0</v>
      </c>
      <c r="C111" s="135" t="s">
        <v>61</v>
      </c>
      <c r="D111" s="136">
        <v>1.0</v>
      </c>
      <c r="E111" s="142">
        <v>150.0</v>
      </c>
      <c r="F111" s="142">
        <v>150.0</v>
      </c>
      <c r="G111" s="142">
        <v>150.0</v>
      </c>
      <c r="H111" s="139" t="b">
        <v>1</v>
      </c>
      <c r="I111" s="140" t="s">
        <v>64</v>
      </c>
      <c r="J111" s="140" t="s">
        <v>311</v>
      </c>
    </row>
    <row r="112" ht="14.25" hidden="1" customHeight="1" outlineLevel="1">
      <c r="A112" s="131" t="s">
        <v>51</v>
      </c>
      <c r="B112" s="132">
        <v>45296.0</v>
      </c>
      <c r="C112" s="157" t="s">
        <v>112</v>
      </c>
      <c r="D112" s="158">
        <v>1.0</v>
      </c>
      <c r="E112" s="159">
        <v>24.0</v>
      </c>
      <c r="F112" s="159">
        <v>24.49</v>
      </c>
      <c r="G112" s="159">
        <v>24.49</v>
      </c>
      <c r="H112" s="160" t="b">
        <v>0</v>
      </c>
      <c r="I112" s="161"/>
      <c r="J112" s="158" t="s">
        <v>312</v>
      </c>
    </row>
    <row r="113" ht="14.25" hidden="1" customHeight="1" outlineLevel="1">
      <c r="A113" s="131" t="s">
        <v>51</v>
      </c>
      <c r="B113" s="132">
        <v>45298.0</v>
      </c>
      <c r="C113" s="135" t="s">
        <v>61</v>
      </c>
      <c r="D113" s="136">
        <v>1.0</v>
      </c>
      <c r="E113" s="142">
        <v>200.0</v>
      </c>
      <c r="F113" s="142">
        <v>200.0</v>
      </c>
      <c r="G113" s="142">
        <v>200.0</v>
      </c>
      <c r="H113" s="139" t="b">
        <v>1</v>
      </c>
      <c r="I113" s="140" t="s">
        <v>64</v>
      </c>
      <c r="J113" s="140" t="s">
        <v>313</v>
      </c>
    </row>
    <row r="114" ht="14.25" hidden="1" customHeight="1" outlineLevel="1">
      <c r="A114" s="131" t="s">
        <v>51</v>
      </c>
      <c r="B114" s="132">
        <v>45298.0</v>
      </c>
      <c r="C114" s="135" t="s">
        <v>61</v>
      </c>
      <c r="D114" s="136">
        <v>1.0</v>
      </c>
      <c r="E114" s="142">
        <v>200.0</v>
      </c>
      <c r="F114" s="142">
        <v>200.0</v>
      </c>
      <c r="G114" s="142">
        <v>200.0</v>
      </c>
      <c r="H114" s="139" t="b">
        <v>1</v>
      </c>
      <c r="I114" s="140" t="s">
        <v>105</v>
      </c>
      <c r="J114" s="140" t="s">
        <v>314</v>
      </c>
    </row>
    <row r="115" ht="14.25" hidden="1" customHeight="1" outlineLevel="1">
      <c r="A115" s="131" t="s">
        <v>51</v>
      </c>
      <c r="B115" s="132">
        <v>45300.0</v>
      </c>
      <c r="C115" s="135" t="s">
        <v>61</v>
      </c>
      <c r="D115" s="136">
        <v>1.0</v>
      </c>
      <c r="E115" s="142">
        <v>15.0</v>
      </c>
      <c r="F115" s="142">
        <v>150.0</v>
      </c>
      <c r="G115" s="142">
        <v>150.0</v>
      </c>
      <c r="H115" s="139" t="b">
        <v>1</v>
      </c>
      <c r="I115" s="140" t="s">
        <v>62</v>
      </c>
      <c r="J115" s="140" t="s">
        <v>310</v>
      </c>
    </row>
    <row r="116" ht="14.25" hidden="1" customHeight="1" outlineLevel="1">
      <c r="A116" s="131" t="s">
        <v>51</v>
      </c>
      <c r="B116" s="132">
        <v>45301.0</v>
      </c>
      <c r="C116" s="157" t="s">
        <v>315</v>
      </c>
      <c r="D116" s="158">
        <v>1.0</v>
      </c>
      <c r="E116" s="159">
        <v>52.5</v>
      </c>
      <c r="F116" s="159">
        <v>52.5</v>
      </c>
      <c r="G116" s="162">
        <v>76.5</v>
      </c>
      <c r="H116" s="163" t="b">
        <v>0</v>
      </c>
      <c r="I116" s="164" t="s">
        <v>225</v>
      </c>
      <c r="J116" s="158" t="s">
        <v>316</v>
      </c>
    </row>
    <row r="117" ht="14.25" hidden="1" customHeight="1" outlineLevel="1">
      <c r="A117" s="131" t="s">
        <v>51</v>
      </c>
      <c r="B117" s="132">
        <v>45301.0</v>
      </c>
      <c r="C117" s="157" t="s">
        <v>75</v>
      </c>
      <c r="D117" s="158">
        <v>1.0</v>
      </c>
      <c r="E117" s="159">
        <v>24.0</v>
      </c>
      <c r="F117" s="159">
        <v>24.0</v>
      </c>
      <c r="G117" s="74"/>
      <c r="H117" s="74"/>
      <c r="I117" s="74"/>
      <c r="J117" s="158" t="s">
        <v>317</v>
      </c>
    </row>
    <row r="118" ht="14.25" hidden="1" customHeight="1" outlineLevel="1">
      <c r="A118" s="131" t="s">
        <v>51</v>
      </c>
      <c r="B118" s="132">
        <v>45301.0</v>
      </c>
      <c r="C118" s="157" t="s">
        <v>75</v>
      </c>
      <c r="D118" s="158">
        <v>1.0</v>
      </c>
      <c r="E118" s="159">
        <v>105.0</v>
      </c>
      <c r="F118" s="159">
        <v>105.0</v>
      </c>
      <c r="G118" s="159">
        <v>105.0</v>
      </c>
      <c r="H118" s="160" t="b">
        <v>0</v>
      </c>
      <c r="I118" s="158" t="s">
        <v>318</v>
      </c>
      <c r="J118" s="158" t="s">
        <v>319</v>
      </c>
    </row>
    <row r="119" ht="14.25" hidden="1" customHeight="1" outlineLevel="1">
      <c r="A119" s="131" t="s">
        <v>51</v>
      </c>
      <c r="B119" s="132">
        <v>45303.0</v>
      </c>
      <c r="C119" s="135" t="s">
        <v>61</v>
      </c>
      <c r="D119" s="136">
        <v>1.0</v>
      </c>
      <c r="E119" s="142">
        <v>150.0</v>
      </c>
      <c r="F119" s="142">
        <v>150.0</v>
      </c>
      <c r="G119" s="142">
        <v>150.0</v>
      </c>
      <c r="H119" s="139" t="b">
        <v>1</v>
      </c>
      <c r="I119" s="140" t="s">
        <v>62</v>
      </c>
      <c r="J119" s="140" t="s">
        <v>310</v>
      </c>
    </row>
    <row r="120" ht="14.25" hidden="1" customHeight="1" outlineLevel="1">
      <c r="A120" s="131" t="s">
        <v>51</v>
      </c>
      <c r="B120" s="132">
        <v>45304.0</v>
      </c>
      <c r="C120" s="143" t="s">
        <v>159</v>
      </c>
      <c r="D120" s="144">
        <v>1.0</v>
      </c>
      <c r="E120" s="145">
        <v>36.6</v>
      </c>
      <c r="F120" s="145">
        <v>36.6</v>
      </c>
      <c r="G120" s="145">
        <v>36.6</v>
      </c>
      <c r="H120" s="146" t="b">
        <v>0</v>
      </c>
      <c r="I120" s="143" t="s">
        <v>321</v>
      </c>
      <c r="J120" s="143" t="s">
        <v>322</v>
      </c>
    </row>
    <row r="121" ht="14.25" hidden="1" customHeight="1" outlineLevel="1">
      <c r="A121" s="131" t="s">
        <v>51</v>
      </c>
      <c r="B121" s="132">
        <v>45304.0</v>
      </c>
      <c r="C121" s="135" t="s">
        <v>61</v>
      </c>
      <c r="D121" s="136">
        <v>1.0</v>
      </c>
      <c r="E121" s="142">
        <v>50.0</v>
      </c>
      <c r="F121" s="142">
        <v>50.0</v>
      </c>
      <c r="G121" s="142">
        <v>50.0</v>
      </c>
      <c r="H121" s="139" t="b">
        <v>1</v>
      </c>
      <c r="I121" s="140" t="s">
        <v>325</v>
      </c>
      <c r="J121" s="140" t="s">
        <v>326</v>
      </c>
    </row>
    <row r="122" ht="14.25" hidden="1" customHeight="1" outlineLevel="1">
      <c r="A122" s="131" t="s">
        <v>51</v>
      </c>
      <c r="B122" s="132">
        <v>45305.0</v>
      </c>
      <c r="C122" s="135" t="s">
        <v>61</v>
      </c>
      <c r="D122" s="136">
        <v>1.0</v>
      </c>
      <c r="E122" s="142">
        <v>200.0</v>
      </c>
      <c r="F122" s="142">
        <v>200.0</v>
      </c>
      <c r="G122" s="142">
        <v>200.0</v>
      </c>
      <c r="H122" s="139" t="b">
        <v>1</v>
      </c>
      <c r="I122" s="140" t="s">
        <v>64</v>
      </c>
      <c r="J122" s="140" t="s">
        <v>329</v>
      </c>
    </row>
    <row r="123" ht="14.25" hidden="1" customHeight="1" outlineLevel="1">
      <c r="A123" s="131" t="s">
        <v>51</v>
      </c>
      <c r="B123" s="132">
        <v>45305.0</v>
      </c>
      <c r="C123" s="135" t="s">
        <v>61</v>
      </c>
      <c r="D123" s="136">
        <v>1.0</v>
      </c>
      <c r="E123" s="142">
        <v>200.0</v>
      </c>
      <c r="F123" s="142">
        <v>200.0</v>
      </c>
      <c r="G123" s="142">
        <v>200.0</v>
      </c>
      <c r="H123" s="139" t="b">
        <v>1</v>
      </c>
      <c r="I123" s="140" t="s">
        <v>143</v>
      </c>
      <c r="J123" s="140" t="s">
        <v>330</v>
      </c>
    </row>
    <row r="124" ht="14.25" hidden="1" customHeight="1" outlineLevel="1">
      <c r="A124" s="131" t="s">
        <v>51</v>
      </c>
      <c r="B124" s="132">
        <v>45307.0</v>
      </c>
      <c r="C124" s="135" t="s">
        <v>61</v>
      </c>
      <c r="D124" s="136">
        <v>1.0</v>
      </c>
      <c r="E124" s="142">
        <v>150.0</v>
      </c>
      <c r="F124" s="142">
        <v>150.0</v>
      </c>
      <c r="G124" s="142">
        <v>150.0</v>
      </c>
      <c r="H124" s="139" t="b">
        <v>1</v>
      </c>
      <c r="I124" s="140" t="s">
        <v>62</v>
      </c>
      <c r="J124" s="140" t="s">
        <v>306</v>
      </c>
    </row>
    <row r="125" ht="14.25" hidden="1" customHeight="1" outlineLevel="1">
      <c r="A125" s="131" t="s">
        <v>51</v>
      </c>
      <c r="B125" s="132">
        <v>45307.0</v>
      </c>
      <c r="C125" s="143" t="s">
        <v>315</v>
      </c>
      <c r="D125" s="144">
        <v>3.0</v>
      </c>
      <c r="E125" s="145">
        <v>39.0</v>
      </c>
      <c r="F125" s="145">
        <f t="shared" ref="F125:F130" si="7">D125*E125</f>
        <v>117</v>
      </c>
      <c r="G125" s="145">
        <v>117.0</v>
      </c>
      <c r="H125" s="146" t="b">
        <v>0</v>
      </c>
      <c r="I125" s="143" t="s">
        <v>332</v>
      </c>
      <c r="J125" s="143" t="s">
        <v>333</v>
      </c>
    </row>
    <row r="126" ht="14.25" hidden="1" customHeight="1" outlineLevel="1">
      <c r="A126" s="131" t="s">
        <v>51</v>
      </c>
      <c r="B126" s="132">
        <v>45308.0</v>
      </c>
      <c r="C126" s="143" t="s">
        <v>116</v>
      </c>
      <c r="D126" s="144">
        <v>5.0</v>
      </c>
      <c r="E126" s="145">
        <v>5.5</v>
      </c>
      <c r="F126" s="145">
        <f t="shared" si="7"/>
        <v>27.5</v>
      </c>
      <c r="G126" s="145">
        <f t="shared" ref="G126:G130" si="8">F126</f>
        <v>27.5</v>
      </c>
      <c r="H126" s="146" t="b">
        <v>0</v>
      </c>
      <c r="I126" s="143" t="s">
        <v>334</v>
      </c>
      <c r="J126" s="143" t="s">
        <v>335</v>
      </c>
    </row>
    <row r="127" ht="14.25" hidden="1" customHeight="1" outlineLevel="1">
      <c r="A127" s="131" t="s">
        <v>51</v>
      </c>
      <c r="B127" s="132">
        <v>45308.0</v>
      </c>
      <c r="C127" s="143" t="s">
        <v>93</v>
      </c>
      <c r="D127" s="144">
        <v>1.0</v>
      </c>
      <c r="E127" s="145">
        <v>380.0</v>
      </c>
      <c r="F127" s="145">
        <f t="shared" si="7"/>
        <v>380</v>
      </c>
      <c r="G127" s="145">
        <f t="shared" si="8"/>
        <v>380</v>
      </c>
      <c r="H127" s="146" t="b">
        <v>0</v>
      </c>
      <c r="I127" s="143" t="s">
        <v>337</v>
      </c>
      <c r="J127" s="143" t="s">
        <v>338</v>
      </c>
    </row>
    <row r="128" ht="14.25" hidden="1" customHeight="1" outlineLevel="1">
      <c r="A128" s="131" t="s">
        <v>51</v>
      </c>
      <c r="B128" s="132">
        <v>45308.0</v>
      </c>
      <c r="C128" s="143" t="s">
        <v>112</v>
      </c>
      <c r="D128" s="144">
        <v>1.0</v>
      </c>
      <c r="E128" s="145">
        <v>22.0</v>
      </c>
      <c r="F128" s="145">
        <f t="shared" si="7"/>
        <v>22</v>
      </c>
      <c r="G128" s="145">
        <f t="shared" si="8"/>
        <v>22</v>
      </c>
      <c r="H128" s="146" t="b">
        <v>0</v>
      </c>
      <c r="I128" s="143" t="s">
        <v>117</v>
      </c>
      <c r="J128" s="143" t="s">
        <v>247</v>
      </c>
    </row>
    <row r="129" ht="14.25" hidden="1" customHeight="1" outlineLevel="1">
      <c r="A129" s="131" t="s">
        <v>51</v>
      </c>
      <c r="B129" s="132">
        <v>45308.0</v>
      </c>
      <c r="C129" s="143" t="s">
        <v>80</v>
      </c>
      <c r="D129" s="144">
        <v>2.0</v>
      </c>
      <c r="E129" s="145">
        <v>12.0</v>
      </c>
      <c r="F129" s="145">
        <f t="shared" si="7"/>
        <v>24</v>
      </c>
      <c r="G129" s="145">
        <f t="shared" si="8"/>
        <v>24</v>
      </c>
      <c r="H129" s="146" t="b">
        <v>0</v>
      </c>
      <c r="I129" s="143" t="s">
        <v>81</v>
      </c>
      <c r="J129" s="143" t="s">
        <v>339</v>
      </c>
    </row>
    <row r="130" ht="14.25" hidden="1" customHeight="1" outlineLevel="1">
      <c r="A130" s="131" t="s">
        <v>51</v>
      </c>
      <c r="B130" s="132">
        <v>45308.0</v>
      </c>
      <c r="C130" s="143" t="s">
        <v>97</v>
      </c>
      <c r="D130" s="144">
        <v>1.0</v>
      </c>
      <c r="E130" s="145">
        <v>69.9</v>
      </c>
      <c r="F130" s="145">
        <f t="shared" si="7"/>
        <v>69.9</v>
      </c>
      <c r="G130" s="145">
        <f t="shared" si="8"/>
        <v>69.9</v>
      </c>
      <c r="H130" s="146" t="b">
        <v>0</v>
      </c>
      <c r="I130" s="143" t="s">
        <v>185</v>
      </c>
      <c r="J130" s="143" t="s">
        <v>341</v>
      </c>
    </row>
    <row r="131" ht="14.25" hidden="1" customHeight="1" outlineLevel="1">
      <c r="A131" s="131" t="s">
        <v>51</v>
      </c>
      <c r="B131" s="132">
        <v>45310.0</v>
      </c>
      <c r="C131" s="135" t="s">
        <v>61</v>
      </c>
      <c r="D131" s="136">
        <v>1.0</v>
      </c>
      <c r="E131" s="142">
        <v>150.0</v>
      </c>
      <c r="F131" s="142">
        <v>150.0</v>
      </c>
      <c r="G131" s="142">
        <v>150.0</v>
      </c>
      <c r="H131" s="139" t="b">
        <v>1</v>
      </c>
      <c r="I131" s="140" t="s">
        <v>62</v>
      </c>
      <c r="J131" s="140" t="s">
        <v>310</v>
      </c>
    </row>
    <row r="132" ht="14.25" hidden="1" customHeight="1" outlineLevel="1">
      <c r="A132" s="131" t="s">
        <v>51</v>
      </c>
      <c r="B132" s="132">
        <v>45312.0</v>
      </c>
      <c r="C132" s="135" t="s">
        <v>61</v>
      </c>
      <c r="D132" s="136">
        <v>1.0</v>
      </c>
      <c r="E132" s="142">
        <v>200.0</v>
      </c>
      <c r="F132" s="142">
        <v>200.0</v>
      </c>
      <c r="G132" s="142">
        <v>200.0</v>
      </c>
      <c r="H132" s="139" t="b">
        <v>1</v>
      </c>
      <c r="I132" s="140" t="s">
        <v>64</v>
      </c>
      <c r="J132" s="140" t="s">
        <v>329</v>
      </c>
    </row>
    <row r="133" ht="14.25" hidden="1" customHeight="1" outlineLevel="1">
      <c r="A133" s="131" t="s">
        <v>51</v>
      </c>
      <c r="B133" s="132">
        <v>45312.0</v>
      </c>
      <c r="C133" s="135" t="s">
        <v>61</v>
      </c>
      <c r="D133" s="136">
        <v>1.0</v>
      </c>
      <c r="E133" s="142">
        <v>200.0</v>
      </c>
      <c r="F133" s="142">
        <v>200.0</v>
      </c>
      <c r="G133" s="142">
        <v>200.0</v>
      </c>
      <c r="H133" s="139" t="b">
        <v>1</v>
      </c>
      <c r="I133" s="140" t="s">
        <v>143</v>
      </c>
      <c r="J133" s="140" t="s">
        <v>330</v>
      </c>
    </row>
    <row r="134" ht="14.25" hidden="1" customHeight="1" outlineLevel="1">
      <c r="A134" s="131" t="s">
        <v>51</v>
      </c>
      <c r="B134" s="132">
        <v>45314.0</v>
      </c>
      <c r="C134" s="135" t="s">
        <v>61</v>
      </c>
      <c r="D134" s="136">
        <v>1.0</v>
      </c>
      <c r="E134" s="142">
        <v>150.0</v>
      </c>
      <c r="F134" s="142">
        <v>150.0</v>
      </c>
      <c r="G134" s="142">
        <v>150.0</v>
      </c>
      <c r="H134" s="139" t="b">
        <v>1</v>
      </c>
      <c r="I134" s="140" t="s">
        <v>62</v>
      </c>
      <c r="J134" s="140" t="s">
        <v>306</v>
      </c>
    </row>
    <row r="135" ht="14.25" hidden="1" customHeight="1" outlineLevel="1">
      <c r="A135" s="131" t="s">
        <v>51</v>
      </c>
      <c r="B135" s="132">
        <v>45317.0</v>
      </c>
      <c r="C135" s="135" t="s">
        <v>61</v>
      </c>
      <c r="D135" s="136">
        <v>1.0</v>
      </c>
      <c r="E135" s="142">
        <v>150.0</v>
      </c>
      <c r="F135" s="142">
        <v>150.0</v>
      </c>
      <c r="G135" s="142">
        <v>150.0</v>
      </c>
      <c r="H135" s="139" t="b">
        <v>1</v>
      </c>
      <c r="I135" s="140" t="s">
        <v>64</v>
      </c>
      <c r="J135" s="140" t="s">
        <v>306</v>
      </c>
    </row>
    <row r="136" ht="14.25" hidden="1" customHeight="1" outlineLevel="1">
      <c r="A136" s="131" t="s">
        <v>51</v>
      </c>
      <c r="B136" s="132">
        <v>45316.0</v>
      </c>
      <c r="C136" s="143" t="s">
        <v>112</v>
      </c>
      <c r="D136" s="144">
        <v>1.0</v>
      </c>
      <c r="E136" s="145">
        <v>56.95</v>
      </c>
      <c r="F136" s="145">
        <f t="shared" ref="F136:F138" si="9">D136*E136</f>
        <v>56.95</v>
      </c>
      <c r="G136" s="145">
        <f t="shared" ref="G136:G138" si="10">F136</f>
        <v>56.95</v>
      </c>
      <c r="H136" s="146" t="b">
        <v>0</v>
      </c>
      <c r="I136" s="143" t="s">
        <v>86</v>
      </c>
      <c r="J136" s="143" t="s">
        <v>247</v>
      </c>
    </row>
    <row r="137" ht="14.25" hidden="1" customHeight="1" outlineLevel="1">
      <c r="A137" s="131" t="s">
        <v>51</v>
      </c>
      <c r="B137" s="132">
        <v>45317.0</v>
      </c>
      <c r="C137" s="143" t="s">
        <v>231</v>
      </c>
      <c r="D137" s="144">
        <v>1.0</v>
      </c>
      <c r="E137" s="145">
        <v>249.01</v>
      </c>
      <c r="F137" s="145">
        <f t="shared" si="9"/>
        <v>249.01</v>
      </c>
      <c r="G137" s="145">
        <f t="shared" si="10"/>
        <v>249.01</v>
      </c>
      <c r="H137" s="146" t="b">
        <v>0</v>
      </c>
      <c r="I137" s="143"/>
      <c r="J137" s="143" t="s">
        <v>348</v>
      </c>
    </row>
    <row r="138" ht="14.25" hidden="1" customHeight="1" outlineLevel="1">
      <c r="A138" s="131" t="s">
        <v>51</v>
      </c>
      <c r="B138" s="132">
        <v>45317.0</v>
      </c>
      <c r="C138" s="143" t="s">
        <v>97</v>
      </c>
      <c r="D138" s="144">
        <v>1.0</v>
      </c>
      <c r="E138" s="145">
        <v>7.5</v>
      </c>
      <c r="F138" s="145">
        <f t="shared" si="9"/>
        <v>7.5</v>
      </c>
      <c r="G138" s="145">
        <f t="shared" si="10"/>
        <v>7.5</v>
      </c>
      <c r="H138" s="146" t="b">
        <v>0</v>
      </c>
      <c r="I138" s="143"/>
      <c r="J138" s="143" t="s">
        <v>350</v>
      </c>
    </row>
    <row r="139" hidden="1" outlineLevel="1">
      <c r="A139" s="131" t="s">
        <v>51</v>
      </c>
      <c r="B139" s="132">
        <v>45319.0</v>
      </c>
      <c r="C139" s="135" t="s">
        <v>61</v>
      </c>
      <c r="D139" s="136">
        <v>1.0</v>
      </c>
      <c r="E139" s="142">
        <v>200.0</v>
      </c>
      <c r="F139" s="142">
        <v>200.0</v>
      </c>
      <c r="G139" s="142">
        <v>200.0</v>
      </c>
      <c r="H139" s="139" t="b">
        <v>1</v>
      </c>
      <c r="I139" s="140" t="s">
        <v>64</v>
      </c>
      <c r="J139" s="140" t="s">
        <v>329</v>
      </c>
    </row>
    <row r="140" ht="14.25" hidden="1" customHeight="1" outlineLevel="1">
      <c r="A140" s="131" t="s">
        <v>51</v>
      </c>
      <c r="B140" s="132">
        <v>45319.0</v>
      </c>
      <c r="C140" s="135" t="s">
        <v>61</v>
      </c>
      <c r="D140" s="136">
        <v>1.0</v>
      </c>
      <c r="E140" s="142">
        <v>200.0</v>
      </c>
      <c r="F140" s="142">
        <v>200.0</v>
      </c>
      <c r="G140" s="142">
        <v>200.0</v>
      </c>
      <c r="H140" s="139" t="b">
        <v>1</v>
      </c>
      <c r="I140" s="140" t="s">
        <v>67</v>
      </c>
      <c r="J140" s="140" t="s">
        <v>330</v>
      </c>
    </row>
    <row r="141" ht="14.25" hidden="1" customHeight="1" outlineLevel="1">
      <c r="A141" s="131" t="s">
        <v>51</v>
      </c>
      <c r="B141" s="132">
        <v>45320.0</v>
      </c>
      <c r="C141" s="135" t="s">
        <v>61</v>
      </c>
      <c r="D141" s="136">
        <v>1.0</v>
      </c>
      <c r="E141" s="142">
        <v>2860.0</v>
      </c>
      <c r="F141" s="142">
        <v>2860.0</v>
      </c>
      <c r="G141" s="142">
        <v>2860.0</v>
      </c>
      <c r="H141" s="139" t="b">
        <v>1</v>
      </c>
      <c r="I141" s="140" t="s">
        <v>119</v>
      </c>
      <c r="J141" s="140" t="s">
        <v>352</v>
      </c>
    </row>
    <row r="142" ht="14.25" hidden="1" customHeight="1" outlineLevel="1">
      <c r="A142" s="131" t="s">
        <v>51</v>
      </c>
      <c r="B142" s="132">
        <v>45320.0</v>
      </c>
      <c r="C142" s="143" t="s">
        <v>308</v>
      </c>
      <c r="D142" s="144">
        <v>1.0</v>
      </c>
      <c r="E142" s="145">
        <v>125.1</v>
      </c>
      <c r="F142" s="145">
        <f>D142*E142</f>
        <v>125.1</v>
      </c>
      <c r="G142" s="172">
        <f>F142</f>
        <v>125.1</v>
      </c>
      <c r="H142" s="146" t="b">
        <v>0</v>
      </c>
      <c r="I142" s="143" t="s">
        <v>353</v>
      </c>
      <c r="J142" s="143" t="s">
        <v>354</v>
      </c>
    </row>
    <row r="143" ht="14.25" hidden="1" customHeight="1" outlineLevel="1">
      <c r="A143" s="131" t="s">
        <v>51</v>
      </c>
      <c r="B143" s="132">
        <v>45321.0</v>
      </c>
      <c r="C143" s="135" t="s">
        <v>61</v>
      </c>
      <c r="D143" s="136">
        <v>1.0</v>
      </c>
      <c r="E143" s="142">
        <v>150.0</v>
      </c>
      <c r="F143" s="142">
        <v>150.0</v>
      </c>
      <c r="G143" s="142">
        <v>150.0</v>
      </c>
      <c r="H143" s="139" t="b">
        <v>1</v>
      </c>
      <c r="I143" s="140" t="s">
        <v>62</v>
      </c>
      <c r="J143" s="140" t="s">
        <v>306</v>
      </c>
    </row>
    <row r="144" ht="14.25" hidden="1" customHeight="1" outlineLevel="1">
      <c r="A144" s="131" t="s">
        <v>51</v>
      </c>
      <c r="B144" s="132">
        <v>45321.0</v>
      </c>
      <c r="C144" s="143" t="s">
        <v>188</v>
      </c>
      <c r="D144" s="143">
        <v>1.0</v>
      </c>
      <c r="E144" s="175">
        <v>1000.0</v>
      </c>
      <c r="F144" s="175">
        <v>1000.0</v>
      </c>
      <c r="G144" s="176">
        <v>1000.0</v>
      </c>
      <c r="H144" s="177" t="b">
        <v>0</v>
      </c>
      <c r="I144" s="91" t="s">
        <v>190</v>
      </c>
      <c r="J144" s="91" t="s">
        <v>191</v>
      </c>
    </row>
    <row r="145" ht="13.5" hidden="1" customHeight="1" outlineLevel="1">
      <c r="A145" s="131" t="s">
        <v>51</v>
      </c>
      <c r="B145" s="132">
        <v>45321.0</v>
      </c>
      <c r="C145" s="143" t="s">
        <v>231</v>
      </c>
      <c r="D145" s="143">
        <v>1.0</v>
      </c>
      <c r="E145" s="175">
        <v>70.0</v>
      </c>
      <c r="F145" s="175">
        <v>70.0</v>
      </c>
      <c r="G145" s="178">
        <f>F145+F146</f>
        <v>268</v>
      </c>
      <c r="H145" s="177" t="b">
        <v>0</v>
      </c>
      <c r="I145" s="179" t="s">
        <v>356</v>
      </c>
      <c r="J145" s="91" t="s">
        <v>357</v>
      </c>
    </row>
    <row r="146" ht="13.5" hidden="1" customHeight="1" outlineLevel="1">
      <c r="A146" s="131" t="s">
        <v>51</v>
      </c>
      <c r="B146" s="132">
        <v>45321.0</v>
      </c>
      <c r="C146" s="143" t="s">
        <v>231</v>
      </c>
      <c r="D146" s="143">
        <v>1.0</v>
      </c>
      <c r="E146" s="175">
        <v>198.0</v>
      </c>
      <c r="F146" s="175">
        <v>198.0</v>
      </c>
      <c r="G146" s="74"/>
      <c r="H146" s="177" t="b">
        <v>0</v>
      </c>
      <c r="I146" s="10"/>
      <c r="J146" s="91" t="s">
        <v>358</v>
      </c>
    </row>
    <row r="147" ht="13.5" hidden="1" customHeight="1" outlineLevel="1">
      <c r="A147" s="131" t="s">
        <v>51</v>
      </c>
      <c r="B147" s="132">
        <v>45321.0</v>
      </c>
      <c r="C147" s="143" t="s">
        <v>97</v>
      </c>
      <c r="D147" s="143">
        <v>1.0</v>
      </c>
      <c r="E147" s="175">
        <v>13.26</v>
      </c>
      <c r="F147" s="175">
        <v>13.26</v>
      </c>
      <c r="G147" s="176">
        <v>13.26</v>
      </c>
      <c r="H147" s="177" t="b">
        <v>0</v>
      </c>
      <c r="I147" s="91" t="s">
        <v>360</v>
      </c>
      <c r="J147" s="91" t="s">
        <v>361</v>
      </c>
    </row>
    <row r="148" ht="13.5" hidden="1" customHeight="1" outlineLevel="1">
      <c r="A148" s="131" t="s">
        <v>51</v>
      </c>
      <c r="B148" s="132">
        <v>45322.0</v>
      </c>
      <c r="C148" s="143" t="s">
        <v>93</v>
      </c>
      <c r="D148" s="144">
        <v>1.0</v>
      </c>
      <c r="E148" s="145">
        <v>40.8</v>
      </c>
      <c r="F148" s="145">
        <f>D148*E148</f>
        <v>40.8</v>
      </c>
      <c r="G148" s="145">
        <f>F148</f>
        <v>40.8</v>
      </c>
      <c r="H148" s="146" t="b">
        <v>0</v>
      </c>
      <c r="I148" s="143" t="s">
        <v>337</v>
      </c>
      <c r="J148" s="143" t="s">
        <v>338</v>
      </c>
    </row>
    <row r="149" ht="14.25" customHeight="1">
      <c r="A149" s="180" t="s">
        <v>192</v>
      </c>
      <c r="B149" s="27"/>
      <c r="C149" s="27"/>
      <c r="D149" s="27"/>
      <c r="E149" s="28"/>
      <c r="F149" s="181">
        <f t="shared" ref="F149:G149" si="11">SUM(F106:F148)</f>
        <v>8932.05</v>
      </c>
      <c r="G149" s="181">
        <f t="shared" si="11"/>
        <v>8932.05</v>
      </c>
      <c r="H149" s="156"/>
      <c r="I149" s="107"/>
      <c r="J149" s="112"/>
    </row>
    <row r="150" ht="14.25" customHeight="1" collapsed="1">
      <c r="A150" s="21" t="s">
        <v>366</v>
      </c>
      <c r="B150" s="22"/>
      <c r="C150" s="22"/>
      <c r="D150" s="22"/>
      <c r="E150" s="22"/>
      <c r="F150" s="22"/>
      <c r="G150" s="22"/>
      <c r="H150" s="22"/>
      <c r="I150" s="22"/>
      <c r="J150" s="23"/>
    </row>
    <row r="151" ht="14.25" hidden="1" customHeight="1" outlineLevel="1">
      <c r="A151" s="131" t="s">
        <v>50</v>
      </c>
      <c r="B151" s="132">
        <v>45323.0</v>
      </c>
      <c r="C151" s="41" t="s">
        <v>75</v>
      </c>
      <c r="D151" s="182">
        <v>4.0</v>
      </c>
      <c r="E151" s="183">
        <v>35.0</v>
      </c>
      <c r="F151" s="183">
        <v>140.0</v>
      </c>
      <c r="G151" s="183">
        <v>140.0</v>
      </c>
      <c r="H151" s="184" t="b">
        <v>0</v>
      </c>
      <c r="I151" s="41" t="s">
        <v>368</v>
      </c>
      <c r="J151" s="41" t="s">
        <v>369</v>
      </c>
    </row>
    <row r="152" ht="14.25" hidden="1" customHeight="1" outlineLevel="1">
      <c r="A152" s="131" t="s">
        <v>50</v>
      </c>
      <c r="B152" s="132">
        <v>45324.0</v>
      </c>
      <c r="C152" s="135" t="s">
        <v>61</v>
      </c>
      <c r="D152" s="136">
        <v>1.0</v>
      </c>
      <c r="E152" s="142">
        <v>150.0</v>
      </c>
      <c r="F152" s="137">
        <f>D152*E152</f>
        <v>150</v>
      </c>
      <c r="G152" s="142">
        <f t="shared" ref="G152:G155" si="12">F152</f>
        <v>150</v>
      </c>
      <c r="H152" s="139" t="b">
        <v>1</v>
      </c>
      <c r="I152" s="140" t="s">
        <v>62</v>
      </c>
      <c r="J152" s="140" t="s">
        <v>372</v>
      </c>
    </row>
    <row r="153" ht="14.25" hidden="1" customHeight="1" outlineLevel="1">
      <c r="A153" s="131" t="s">
        <v>50</v>
      </c>
      <c r="B153" s="132">
        <v>45324.0</v>
      </c>
      <c r="C153" s="135" t="s">
        <v>61</v>
      </c>
      <c r="D153" s="136">
        <v>1.0</v>
      </c>
      <c r="E153" s="142">
        <v>150.0</v>
      </c>
      <c r="F153" s="142">
        <v>150.0</v>
      </c>
      <c r="G153" s="137">
        <f t="shared" si="12"/>
        <v>150</v>
      </c>
      <c r="H153" s="186" t="b">
        <v>1</v>
      </c>
      <c r="I153" s="140" t="s">
        <v>64</v>
      </c>
      <c r="J153" s="140" t="s">
        <v>374</v>
      </c>
    </row>
    <row r="154" ht="14.25" hidden="1" customHeight="1" outlineLevel="1">
      <c r="A154" s="131" t="s">
        <v>50</v>
      </c>
      <c r="B154" s="132">
        <v>45324.0</v>
      </c>
      <c r="C154" s="143" t="s">
        <v>171</v>
      </c>
      <c r="D154" s="144">
        <v>1.0</v>
      </c>
      <c r="E154" s="145">
        <v>78.85</v>
      </c>
      <c r="F154" s="145">
        <f>D154*E154</f>
        <v>78.85</v>
      </c>
      <c r="G154" s="187">
        <f t="shared" si="12"/>
        <v>78.85</v>
      </c>
      <c r="H154" s="146" t="b">
        <v>0</v>
      </c>
      <c r="I154" s="143" t="s">
        <v>172</v>
      </c>
      <c r="J154" s="143" t="s">
        <v>377</v>
      </c>
    </row>
    <row r="155" ht="14.25" hidden="1" customHeight="1" outlineLevel="1">
      <c r="A155" s="131" t="s">
        <v>50</v>
      </c>
      <c r="B155" s="132">
        <v>45325.0</v>
      </c>
      <c r="C155" s="135" t="s">
        <v>61</v>
      </c>
      <c r="D155" s="136">
        <v>1.0</v>
      </c>
      <c r="E155" s="142">
        <v>150.0</v>
      </c>
      <c r="F155" s="142">
        <v>150.0</v>
      </c>
      <c r="G155" s="137">
        <f t="shared" si="12"/>
        <v>150</v>
      </c>
      <c r="H155" s="186" t="b">
        <v>1</v>
      </c>
      <c r="I155" s="140"/>
      <c r="J155" s="140" t="s">
        <v>379</v>
      </c>
    </row>
    <row r="156" ht="14.25" hidden="1" customHeight="1" outlineLevel="1">
      <c r="A156" s="131" t="s">
        <v>50</v>
      </c>
      <c r="B156" s="132">
        <v>45326.0</v>
      </c>
      <c r="C156" s="135" t="s">
        <v>61</v>
      </c>
      <c r="D156" s="136">
        <v>1.0</v>
      </c>
      <c r="E156" s="142">
        <v>200.0</v>
      </c>
      <c r="F156" s="142">
        <v>200.0</v>
      </c>
      <c r="G156" s="142">
        <v>200.0</v>
      </c>
      <c r="H156" s="139" t="b">
        <v>1</v>
      </c>
      <c r="I156" s="140" t="s">
        <v>64</v>
      </c>
      <c r="J156" s="140" t="s">
        <v>329</v>
      </c>
    </row>
    <row r="157" ht="14.25" hidden="1" customHeight="1" outlineLevel="1">
      <c r="A157" s="131" t="s">
        <v>50</v>
      </c>
      <c r="B157" s="132">
        <v>45328.0</v>
      </c>
      <c r="C157" s="135" t="s">
        <v>61</v>
      </c>
      <c r="D157" s="136">
        <v>1.0</v>
      </c>
      <c r="E157" s="142">
        <v>150.0</v>
      </c>
      <c r="F157" s="137">
        <f>D157*E157</f>
        <v>150</v>
      </c>
      <c r="G157" s="142">
        <f t="shared" ref="G157:G164" si="13">F157</f>
        <v>150</v>
      </c>
      <c r="H157" s="139" t="b">
        <v>1</v>
      </c>
      <c r="I157" s="140" t="s">
        <v>62</v>
      </c>
      <c r="J157" s="140" t="s">
        <v>381</v>
      </c>
    </row>
    <row r="158" ht="14.25" hidden="1" customHeight="1" outlineLevel="1">
      <c r="A158" s="131" t="s">
        <v>50</v>
      </c>
      <c r="B158" s="132">
        <v>45328.0</v>
      </c>
      <c r="C158" s="143" t="s">
        <v>231</v>
      </c>
      <c r="D158" s="144">
        <v>1.0</v>
      </c>
      <c r="E158" s="145">
        <v>350.0</v>
      </c>
      <c r="F158" s="145">
        <v>350.0</v>
      </c>
      <c r="G158" s="145">
        <f t="shared" si="13"/>
        <v>350</v>
      </c>
      <c r="H158" s="146" t="b">
        <v>0</v>
      </c>
      <c r="I158" s="143" t="s">
        <v>382</v>
      </c>
      <c r="J158" s="143" t="s">
        <v>383</v>
      </c>
    </row>
    <row r="159" ht="14.25" hidden="1" customHeight="1" outlineLevel="1">
      <c r="A159" s="131" t="s">
        <v>50</v>
      </c>
      <c r="B159" s="132">
        <v>45331.0</v>
      </c>
      <c r="C159" s="135" t="s">
        <v>61</v>
      </c>
      <c r="D159" s="136">
        <v>1.0</v>
      </c>
      <c r="E159" s="142">
        <v>150.0</v>
      </c>
      <c r="F159" s="142">
        <v>150.0</v>
      </c>
      <c r="G159" s="137">
        <f t="shared" si="13"/>
        <v>150</v>
      </c>
      <c r="H159" s="186" t="b">
        <v>1</v>
      </c>
      <c r="I159" s="140" t="s">
        <v>64</v>
      </c>
      <c r="J159" s="140" t="s">
        <v>384</v>
      </c>
    </row>
    <row r="160" ht="14.25" hidden="1" customHeight="1" outlineLevel="1">
      <c r="A160" s="131" t="s">
        <v>50</v>
      </c>
      <c r="B160" s="132">
        <v>45331.0</v>
      </c>
      <c r="C160" s="143" t="s">
        <v>93</v>
      </c>
      <c r="D160" s="144">
        <v>1.0</v>
      </c>
      <c r="E160" s="145">
        <v>47.8</v>
      </c>
      <c r="F160" s="145">
        <v>47.8</v>
      </c>
      <c r="G160" s="188">
        <f t="shared" si="13"/>
        <v>47.8</v>
      </c>
      <c r="H160" s="146" t="b">
        <v>0</v>
      </c>
      <c r="I160" s="143" t="s">
        <v>337</v>
      </c>
      <c r="J160" s="143" t="s">
        <v>385</v>
      </c>
    </row>
    <row r="161" ht="14.25" hidden="1" customHeight="1" outlineLevel="1">
      <c r="A161" s="131" t="s">
        <v>50</v>
      </c>
      <c r="B161" s="132">
        <v>45331.0</v>
      </c>
      <c r="C161" s="143" t="s">
        <v>112</v>
      </c>
      <c r="D161" s="144">
        <v>1.0</v>
      </c>
      <c r="E161" s="145">
        <v>35.99</v>
      </c>
      <c r="F161" s="145">
        <v>35.99</v>
      </c>
      <c r="G161" s="189">
        <f t="shared" si="13"/>
        <v>35.99</v>
      </c>
      <c r="H161" s="146" t="b">
        <v>0</v>
      </c>
      <c r="I161" s="143" t="s">
        <v>386</v>
      </c>
      <c r="J161" s="143" t="s">
        <v>247</v>
      </c>
    </row>
    <row r="162" ht="14.25" hidden="1" customHeight="1" outlineLevel="1">
      <c r="A162" s="131" t="s">
        <v>50</v>
      </c>
      <c r="B162" s="132">
        <v>45331.0</v>
      </c>
      <c r="C162" s="143" t="s">
        <v>97</v>
      </c>
      <c r="D162" s="144">
        <v>1.0</v>
      </c>
      <c r="E162" s="145">
        <v>14.0</v>
      </c>
      <c r="F162" s="145">
        <v>14.0</v>
      </c>
      <c r="G162" s="189">
        <f t="shared" si="13"/>
        <v>14</v>
      </c>
      <c r="H162" s="146" t="b">
        <v>0</v>
      </c>
      <c r="I162" s="143" t="s">
        <v>388</v>
      </c>
      <c r="J162" s="143" t="s">
        <v>389</v>
      </c>
    </row>
    <row r="163" ht="14.25" hidden="1" customHeight="1" outlineLevel="1">
      <c r="A163" s="131" t="s">
        <v>50</v>
      </c>
      <c r="B163" s="132">
        <v>45331.0</v>
      </c>
      <c r="C163" s="143" t="s">
        <v>231</v>
      </c>
      <c r="D163" s="144">
        <v>1.0</v>
      </c>
      <c r="E163" s="145">
        <v>403.0</v>
      </c>
      <c r="F163" s="145">
        <v>403.0</v>
      </c>
      <c r="G163" s="189">
        <f t="shared" si="13"/>
        <v>403</v>
      </c>
      <c r="H163" s="146" t="b">
        <v>0</v>
      </c>
      <c r="I163" s="143" t="s">
        <v>155</v>
      </c>
      <c r="J163" s="143" t="s">
        <v>390</v>
      </c>
    </row>
    <row r="164" ht="14.25" hidden="1" customHeight="1" outlineLevel="1">
      <c r="A164" s="131" t="s">
        <v>50</v>
      </c>
      <c r="B164" s="132">
        <v>45331.0</v>
      </c>
      <c r="C164" s="143" t="s">
        <v>231</v>
      </c>
      <c r="D164" s="144">
        <v>1.0</v>
      </c>
      <c r="E164" s="145">
        <v>300.0</v>
      </c>
      <c r="F164" s="145">
        <v>300.0</v>
      </c>
      <c r="G164" s="188">
        <f t="shared" si="13"/>
        <v>300</v>
      </c>
      <c r="H164" s="146" t="b">
        <v>0</v>
      </c>
      <c r="I164" s="143" t="s">
        <v>391</v>
      </c>
      <c r="J164" s="143" t="s">
        <v>392</v>
      </c>
    </row>
    <row r="165" ht="14.25" hidden="1" customHeight="1" outlineLevel="1">
      <c r="A165" s="131" t="s">
        <v>50</v>
      </c>
      <c r="B165" s="132">
        <v>45331.0</v>
      </c>
      <c r="C165" s="143" t="s">
        <v>231</v>
      </c>
      <c r="D165" s="144">
        <v>1.0</v>
      </c>
      <c r="E165" s="145">
        <v>51.11</v>
      </c>
      <c r="F165" s="145">
        <v>51.11</v>
      </c>
      <c r="G165" s="145">
        <v>51.11</v>
      </c>
      <c r="H165" s="146" t="b">
        <v>0</v>
      </c>
      <c r="I165" s="143" t="s">
        <v>393</v>
      </c>
      <c r="J165" s="143" t="s">
        <v>85</v>
      </c>
    </row>
    <row r="166" ht="14.25" hidden="1" customHeight="1" outlineLevel="1">
      <c r="A166" s="131" t="s">
        <v>50</v>
      </c>
      <c r="B166" s="132">
        <v>45333.0</v>
      </c>
      <c r="C166" s="135" t="s">
        <v>61</v>
      </c>
      <c r="D166" s="136">
        <v>1.0</v>
      </c>
      <c r="E166" s="142">
        <v>200.0</v>
      </c>
      <c r="F166" s="142">
        <v>200.0</v>
      </c>
      <c r="G166" s="142">
        <v>200.0</v>
      </c>
      <c r="H166" s="139" t="b">
        <v>1</v>
      </c>
      <c r="I166" s="140" t="s">
        <v>143</v>
      </c>
      <c r="J166" s="140" t="s">
        <v>330</v>
      </c>
    </row>
    <row r="167" ht="14.25" hidden="1" customHeight="1" outlineLevel="1">
      <c r="A167" s="131" t="s">
        <v>50</v>
      </c>
      <c r="B167" s="132">
        <v>45336.0</v>
      </c>
      <c r="C167" s="135" t="s">
        <v>61</v>
      </c>
      <c r="D167" s="136">
        <v>1.0</v>
      </c>
      <c r="E167" s="142">
        <v>200.0</v>
      </c>
      <c r="F167" s="142">
        <v>200.0</v>
      </c>
      <c r="G167" s="142">
        <v>200.0</v>
      </c>
      <c r="H167" s="139" t="b">
        <v>1</v>
      </c>
      <c r="I167" s="140" t="s">
        <v>394</v>
      </c>
      <c r="J167" s="140" t="s">
        <v>395</v>
      </c>
    </row>
    <row r="168" ht="14.25" hidden="1" customHeight="1" outlineLevel="1">
      <c r="A168" s="131" t="s">
        <v>50</v>
      </c>
      <c r="B168" s="132">
        <v>45337.0</v>
      </c>
      <c r="C168" s="143" t="s">
        <v>97</v>
      </c>
      <c r="D168" s="144">
        <v>1.0</v>
      </c>
      <c r="E168" s="145">
        <v>296.6</v>
      </c>
      <c r="F168" s="145">
        <v>296.6</v>
      </c>
      <c r="G168" s="192">
        <v>296.6</v>
      </c>
      <c r="H168" s="146" t="b">
        <v>0</v>
      </c>
      <c r="I168" s="143"/>
      <c r="J168" s="143" t="s">
        <v>397</v>
      </c>
    </row>
    <row r="169" ht="14.25" hidden="1" customHeight="1" outlineLevel="1">
      <c r="A169" s="131" t="s">
        <v>50</v>
      </c>
      <c r="B169" s="132">
        <v>45337.0</v>
      </c>
      <c r="C169" s="143" t="s">
        <v>231</v>
      </c>
      <c r="D169" s="144">
        <v>1.0</v>
      </c>
      <c r="E169" s="145">
        <v>159.99</v>
      </c>
      <c r="F169" s="145">
        <v>159.99</v>
      </c>
      <c r="G169" s="145">
        <v>159.99</v>
      </c>
      <c r="H169" s="146" t="b">
        <v>0</v>
      </c>
      <c r="I169" s="143" t="s">
        <v>398</v>
      </c>
      <c r="J169" s="143" t="s">
        <v>399</v>
      </c>
    </row>
    <row r="170" ht="14.25" hidden="1" customHeight="1" outlineLevel="1">
      <c r="A170" s="131" t="s">
        <v>50</v>
      </c>
      <c r="B170" s="132">
        <v>45337.0</v>
      </c>
      <c r="C170" s="143" t="s">
        <v>75</v>
      </c>
      <c r="D170" s="144">
        <v>1.0</v>
      </c>
      <c r="E170" s="145">
        <v>105.0</v>
      </c>
      <c r="F170" s="145">
        <v>105.0</v>
      </c>
      <c r="G170" s="145">
        <v>105.0</v>
      </c>
      <c r="H170" s="146" t="b">
        <v>0</v>
      </c>
      <c r="I170" s="143" t="s">
        <v>400</v>
      </c>
      <c r="J170" s="143" t="s">
        <v>401</v>
      </c>
    </row>
    <row r="171" ht="14.25" hidden="1" customHeight="1" outlineLevel="1">
      <c r="A171" s="131" t="s">
        <v>50</v>
      </c>
      <c r="B171" s="132">
        <v>45338.0</v>
      </c>
      <c r="C171" s="135" t="s">
        <v>61</v>
      </c>
      <c r="D171" s="136">
        <v>1.0</v>
      </c>
      <c r="E171" s="142">
        <v>150.0</v>
      </c>
      <c r="F171" s="142">
        <v>150.0</v>
      </c>
      <c r="G171" s="142">
        <v>150.0</v>
      </c>
      <c r="H171" s="139" t="b">
        <v>1</v>
      </c>
      <c r="I171" s="140" t="s">
        <v>236</v>
      </c>
      <c r="J171" s="140" t="s">
        <v>384</v>
      </c>
    </row>
    <row r="172" ht="14.25" hidden="1" customHeight="1" outlineLevel="1">
      <c r="A172" s="131" t="s">
        <v>50</v>
      </c>
      <c r="B172" s="132">
        <v>45338.0</v>
      </c>
      <c r="C172" s="143" t="s">
        <v>231</v>
      </c>
      <c r="D172" s="144">
        <v>1.0</v>
      </c>
      <c r="E172" s="145">
        <v>20.14</v>
      </c>
      <c r="F172" s="145">
        <v>20.14</v>
      </c>
      <c r="G172" s="145">
        <v>20.14</v>
      </c>
      <c r="H172" s="146" t="b">
        <v>0</v>
      </c>
      <c r="I172" s="143" t="s">
        <v>403</v>
      </c>
      <c r="J172" s="143" t="s">
        <v>404</v>
      </c>
    </row>
    <row r="173" ht="14.25" hidden="1" customHeight="1" outlineLevel="1">
      <c r="A173" s="131" t="s">
        <v>50</v>
      </c>
      <c r="B173" s="132">
        <v>45340.0</v>
      </c>
      <c r="C173" s="143" t="s">
        <v>231</v>
      </c>
      <c r="D173" s="144">
        <v>1.0</v>
      </c>
      <c r="E173" s="145">
        <v>52.3</v>
      </c>
      <c r="F173" s="145">
        <v>52.3</v>
      </c>
      <c r="G173" s="145">
        <v>52.3</v>
      </c>
      <c r="H173" s="146" t="b">
        <v>0</v>
      </c>
      <c r="I173" s="143" t="s">
        <v>405</v>
      </c>
      <c r="J173" s="143" t="s">
        <v>406</v>
      </c>
    </row>
    <row r="174" ht="14.25" hidden="1" customHeight="1" outlineLevel="1">
      <c r="A174" s="131" t="s">
        <v>50</v>
      </c>
      <c r="B174" s="132">
        <v>45340.0</v>
      </c>
      <c r="C174" s="135" t="s">
        <v>61</v>
      </c>
      <c r="D174" s="136">
        <v>1.0</v>
      </c>
      <c r="E174" s="142">
        <v>200.0</v>
      </c>
      <c r="F174" s="142">
        <v>200.0</v>
      </c>
      <c r="G174" s="142">
        <v>200.0</v>
      </c>
      <c r="H174" s="139" t="b">
        <v>1</v>
      </c>
      <c r="I174" s="140" t="s">
        <v>282</v>
      </c>
      <c r="J174" s="140" t="s">
        <v>329</v>
      </c>
    </row>
    <row r="175" ht="14.25" hidden="1" customHeight="1" outlineLevel="1">
      <c r="A175" s="131" t="s">
        <v>50</v>
      </c>
      <c r="B175" s="132">
        <v>45341.0</v>
      </c>
      <c r="C175" s="143" t="s">
        <v>231</v>
      </c>
      <c r="D175" s="144">
        <v>1.0</v>
      </c>
      <c r="E175" s="145">
        <v>37.29</v>
      </c>
      <c r="F175" s="145">
        <v>37.29</v>
      </c>
      <c r="G175" s="145">
        <v>37.29</v>
      </c>
      <c r="H175" s="146" t="b">
        <v>0</v>
      </c>
      <c r="I175" s="143" t="s">
        <v>407</v>
      </c>
      <c r="J175" s="143" t="s">
        <v>408</v>
      </c>
    </row>
    <row r="176" ht="14.25" hidden="1" customHeight="1" outlineLevel="1">
      <c r="A176" s="131" t="s">
        <v>50</v>
      </c>
      <c r="B176" s="132">
        <v>45342.0</v>
      </c>
      <c r="C176" s="135" t="s">
        <v>61</v>
      </c>
      <c r="D176" s="136">
        <v>1.0</v>
      </c>
      <c r="E176" s="142">
        <v>150.0</v>
      </c>
      <c r="F176" s="142">
        <v>150.0</v>
      </c>
      <c r="G176" s="142">
        <v>150.0</v>
      </c>
      <c r="H176" s="139" t="b">
        <v>1</v>
      </c>
      <c r="I176" s="140" t="s">
        <v>236</v>
      </c>
      <c r="J176" s="140" t="s">
        <v>410</v>
      </c>
    </row>
    <row r="177" ht="14.25" hidden="1" customHeight="1" outlineLevel="1">
      <c r="A177" s="131" t="s">
        <v>50</v>
      </c>
      <c r="B177" s="132">
        <v>45345.0</v>
      </c>
      <c r="C177" s="135" t="s">
        <v>61</v>
      </c>
      <c r="D177" s="136">
        <v>1.0</v>
      </c>
      <c r="E177" s="142">
        <v>150.0</v>
      </c>
      <c r="F177" s="142">
        <v>150.0</v>
      </c>
      <c r="G177" s="142">
        <v>150.0</v>
      </c>
      <c r="H177" s="139" t="b">
        <v>1</v>
      </c>
      <c r="I177" s="140" t="s">
        <v>236</v>
      </c>
      <c r="J177" s="140" t="s">
        <v>384</v>
      </c>
    </row>
    <row r="178" ht="14.25" hidden="1" customHeight="1" outlineLevel="1">
      <c r="A178" s="131" t="s">
        <v>50</v>
      </c>
      <c r="B178" s="132">
        <v>45346.0</v>
      </c>
      <c r="C178" s="135" t="s">
        <v>61</v>
      </c>
      <c r="D178" s="136">
        <v>1.0</v>
      </c>
      <c r="E178" s="142">
        <v>150.0</v>
      </c>
      <c r="F178" s="142">
        <v>150.0</v>
      </c>
      <c r="G178" s="142">
        <v>150.0</v>
      </c>
      <c r="H178" s="139" t="b">
        <v>1</v>
      </c>
      <c r="I178" s="140" t="s">
        <v>296</v>
      </c>
      <c r="J178" s="140" t="s">
        <v>412</v>
      </c>
    </row>
    <row r="179" ht="14.25" hidden="1" customHeight="1" outlineLevel="1">
      <c r="A179" s="131" t="s">
        <v>50</v>
      </c>
      <c r="B179" s="132">
        <v>45347.0</v>
      </c>
      <c r="C179" s="135" t="s">
        <v>61</v>
      </c>
      <c r="D179" s="136">
        <v>1.0</v>
      </c>
      <c r="E179" s="142">
        <v>200.0</v>
      </c>
      <c r="F179" s="142">
        <v>200.0</v>
      </c>
      <c r="G179" s="142">
        <v>200.0</v>
      </c>
      <c r="H179" s="139" t="b">
        <v>1</v>
      </c>
      <c r="I179" s="140" t="s">
        <v>413</v>
      </c>
      <c r="J179" s="140" t="s">
        <v>330</v>
      </c>
    </row>
    <row r="180" ht="14.25" hidden="1" customHeight="1" outlineLevel="1">
      <c r="A180" s="131" t="s">
        <v>50</v>
      </c>
      <c r="B180" s="132">
        <v>45348.0</v>
      </c>
      <c r="C180" s="143" t="s">
        <v>55</v>
      </c>
      <c r="D180" s="144">
        <v>1.0</v>
      </c>
      <c r="E180" s="145">
        <v>5.3</v>
      </c>
      <c r="F180" s="145">
        <f t="shared" ref="F180:F182" si="14">E180*D180</f>
        <v>5.3</v>
      </c>
      <c r="G180" s="162">
        <f>F180+F181+F182</f>
        <v>141.8</v>
      </c>
      <c r="H180" s="193" t="b">
        <v>0</v>
      </c>
      <c r="I180" s="164" t="s">
        <v>254</v>
      </c>
      <c r="J180" s="143" t="s">
        <v>417</v>
      </c>
    </row>
    <row r="181" ht="14.25" hidden="1" customHeight="1" outlineLevel="1">
      <c r="A181" s="131" t="s">
        <v>50</v>
      </c>
      <c r="B181" s="132">
        <v>45348.0</v>
      </c>
      <c r="C181" s="143" t="s">
        <v>55</v>
      </c>
      <c r="D181" s="144">
        <v>3.0</v>
      </c>
      <c r="E181" s="145">
        <v>7.7</v>
      </c>
      <c r="F181" s="145">
        <f t="shared" si="14"/>
        <v>23.1</v>
      </c>
      <c r="G181" s="194"/>
      <c r="H181" s="194"/>
      <c r="I181" s="194"/>
      <c r="J181" s="143" t="s">
        <v>418</v>
      </c>
    </row>
    <row r="182" ht="14.25" hidden="1" customHeight="1" outlineLevel="1">
      <c r="A182" s="131" t="s">
        <v>50</v>
      </c>
      <c r="B182" s="132">
        <v>45348.0</v>
      </c>
      <c r="C182" s="143" t="s">
        <v>55</v>
      </c>
      <c r="D182" s="144">
        <v>6.0</v>
      </c>
      <c r="E182" s="145">
        <v>18.9</v>
      </c>
      <c r="F182" s="145">
        <f t="shared" si="14"/>
        <v>113.4</v>
      </c>
      <c r="G182" s="74"/>
      <c r="H182" s="74"/>
      <c r="I182" s="74"/>
      <c r="J182" s="143" t="s">
        <v>419</v>
      </c>
    </row>
    <row r="183" ht="14.25" hidden="1" customHeight="1" outlineLevel="1">
      <c r="A183" s="131" t="s">
        <v>50</v>
      </c>
      <c r="B183" s="132">
        <v>45348.0</v>
      </c>
      <c r="C183" s="41" t="s">
        <v>75</v>
      </c>
      <c r="D183" s="182">
        <v>2.0</v>
      </c>
      <c r="E183" s="183">
        <v>35.0</v>
      </c>
      <c r="F183" s="183">
        <f t="shared" ref="F183:F184" si="15">D183*E183</f>
        <v>70</v>
      </c>
      <c r="G183" s="196">
        <f>F183+F184</f>
        <v>140</v>
      </c>
      <c r="H183" s="198" t="b">
        <v>0</v>
      </c>
      <c r="I183" s="54" t="s">
        <v>368</v>
      </c>
      <c r="J183" s="41" t="s">
        <v>420</v>
      </c>
    </row>
    <row r="184" ht="14.25" hidden="1" customHeight="1" outlineLevel="1">
      <c r="A184" s="131" t="s">
        <v>50</v>
      </c>
      <c r="B184" s="132">
        <v>45348.0</v>
      </c>
      <c r="C184" s="41" t="s">
        <v>75</v>
      </c>
      <c r="D184" s="182">
        <v>2.0</v>
      </c>
      <c r="E184" s="183">
        <v>35.0</v>
      </c>
      <c r="F184" s="183">
        <f t="shared" si="15"/>
        <v>70</v>
      </c>
      <c r="G184" s="10"/>
      <c r="H184" s="10"/>
      <c r="I184" s="10"/>
      <c r="J184" s="41" t="s">
        <v>422</v>
      </c>
    </row>
    <row r="185" ht="14.25" hidden="1" customHeight="1" outlineLevel="1">
      <c r="A185" s="131" t="s">
        <v>50</v>
      </c>
      <c r="B185" s="132">
        <v>45349.0</v>
      </c>
      <c r="C185" s="135" t="s">
        <v>61</v>
      </c>
      <c r="D185" s="136">
        <v>1.0</v>
      </c>
      <c r="E185" s="142">
        <v>150.0</v>
      </c>
      <c r="F185" s="142">
        <v>150.0</v>
      </c>
      <c r="G185" s="142">
        <v>150.0</v>
      </c>
      <c r="H185" s="139" t="b">
        <v>1</v>
      </c>
      <c r="I185" s="140" t="s">
        <v>236</v>
      </c>
      <c r="J185" s="140" t="s">
        <v>410</v>
      </c>
    </row>
    <row r="186" ht="14.25" hidden="1" customHeight="1" outlineLevel="1">
      <c r="A186" s="131" t="s">
        <v>50</v>
      </c>
      <c r="B186" s="132">
        <v>45350.0</v>
      </c>
      <c r="C186" s="135" t="s">
        <v>61</v>
      </c>
      <c r="D186" s="136">
        <v>1.0</v>
      </c>
      <c r="E186" s="142">
        <v>3100.0</v>
      </c>
      <c r="F186" s="142">
        <v>3100.0</v>
      </c>
      <c r="G186" s="142">
        <v>3100.0</v>
      </c>
      <c r="H186" s="139" t="b">
        <v>1</v>
      </c>
      <c r="I186" s="140" t="s">
        <v>119</v>
      </c>
      <c r="J186" s="140" t="s">
        <v>423</v>
      </c>
    </row>
    <row r="187" ht="14.25" hidden="1" customHeight="1" outlineLevel="1">
      <c r="A187" s="131" t="s">
        <v>50</v>
      </c>
      <c r="B187" s="132">
        <v>45350.0</v>
      </c>
      <c r="C187" s="157" t="s">
        <v>188</v>
      </c>
      <c r="D187" s="143">
        <v>1.0</v>
      </c>
      <c r="E187" s="175">
        <v>0.0</v>
      </c>
      <c r="F187" s="175">
        <v>0.0</v>
      </c>
      <c r="G187" s="175">
        <v>0.0</v>
      </c>
      <c r="H187" s="177" t="b">
        <v>0</v>
      </c>
      <c r="I187" s="91" t="s">
        <v>190</v>
      </c>
      <c r="J187" s="91" t="s">
        <v>191</v>
      </c>
    </row>
    <row r="188" ht="14.25" hidden="1" customHeight="1" outlineLevel="1">
      <c r="A188" s="41"/>
      <c r="B188" s="132"/>
      <c r="C188" s="202"/>
      <c r="D188" s="144"/>
      <c r="E188" s="145"/>
      <c r="F188" s="145"/>
      <c r="G188" s="145"/>
      <c r="H188" s="177" t="b">
        <v>0</v>
      </c>
      <c r="I188" s="143"/>
      <c r="J188" s="143"/>
    </row>
    <row r="189" ht="14.25" hidden="1" customHeight="1" outlineLevel="1">
      <c r="A189" s="203"/>
      <c r="B189" s="202"/>
      <c r="C189" s="202"/>
      <c r="D189" s="204"/>
      <c r="E189" s="205"/>
      <c r="F189" s="205"/>
      <c r="G189" s="202"/>
      <c r="H189" s="177" t="b">
        <v>0</v>
      </c>
      <c r="I189" s="202"/>
      <c r="J189" s="202"/>
    </row>
    <row r="190" ht="14.25" customHeight="1">
      <c r="A190" s="180" t="s">
        <v>192</v>
      </c>
      <c r="B190" s="27"/>
      <c r="C190" s="27"/>
      <c r="D190" s="27"/>
      <c r="E190" s="28"/>
      <c r="F190" s="181">
        <f t="shared" ref="F190:G190" si="16">SUM(F151:F189)</f>
        <v>7973.87</v>
      </c>
      <c r="G190" s="181">
        <f t="shared" si="16"/>
        <v>7973.87</v>
      </c>
      <c r="H190" s="156"/>
      <c r="I190" s="107"/>
      <c r="J190" s="112"/>
    </row>
    <row r="191" ht="14.25" customHeight="1" collapsed="1">
      <c r="A191" s="21" t="s">
        <v>427</v>
      </c>
      <c r="B191" s="22"/>
      <c r="C191" s="22"/>
      <c r="D191" s="22"/>
      <c r="E191" s="22"/>
      <c r="F191" s="22"/>
      <c r="G191" s="22"/>
      <c r="H191" s="22"/>
      <c r="I191" s="22"/>
      <c r="J191" s="23"/>
    </row>
    <row r="192" ht="14.25" hidden="1" customHeight="1" outlineLevel="1">
      <c r="A192" s="131" t="s">
        <v>49</v>
      </c>
      <c r="B192" s="132">
        <v>45352.0</v>
      </c>
      <c r="C192" s="135" t="s">
        <v>61</v>
      </c>
      <c r="D192" s="136">
        <v>1.0</v>
      </c>
      <c r="E192" s="142">
        <v>150.0</v>
      </c>
      <c r="F192" s="137">
        <f t="shared" ref="F192:F193" si="17">D192*E192</f>
        <v>150</v>
      </c>
      <c r="G192" s="142">
        <f t="shared" ref="G192:G193" si="18">F192</f>
        <v>150</v>
      </c>
      <c r="H192" s="139" t="b">
        <v>1</v>
      </c>
      <c r="I192" s="140" t="s">
        <v>62</v>
      </c>
      <c r="J192" s="140" t="s">
        <v>372</v>
      </c>
    </row>
    <row r="193" ht="14.25" hidden="1" customHeight="1" outlineLevel="1">
      <c r="A193" s="131" t="s">
        <v>49</v>
      </c>
      <c r="B193" s="132">
        <v>45352.0</v>
      </c>
      <c r="C193" s="135" t="s">
        <v>61</v>
      </c>
      <c r="D193" s="136">
        <v>1.0</v>
      </c>
      <c r="E193" s="142">
        <v>150.0</v>
      </c>
      <c r="F193" s="137">
        <f t="shared" si="17"/>
        <v>150</v>
      </c>
      <c r="G193" s="142">
        <f t="shared" si="18"/>
        <v>150</v>
      </c>
      <c r="H193" s="139" t="b">
        <v>1</v>
      </c>
      <c r="I193" s="140" t="s">
        <v>296</v>
      </c>
      <c r="J193" s="140" t="s">
        <v>430</v>
      </c>
    </row>
    <row r="194" ht="14.25" hidden="1" customHeight="1" outlineLevel="1">
      <c r="A194" s="131" t="s">
        <v>49</v>
      </c>
      <c r="B194" s="132">
        <v>45352.0</v>
      </c>
      <c r="C194" s="143" t="s">
        <v>93</v>
      </c>
      <c r="D194" s="144">
        <v>1.0</v>
      </c>
      <c r="E194" s="145">
        <v>75.8</v>
      </c>
      <c r="F194" s="145">
        <v>75.8</v>
      </c>
      <c r="G194" s="145">
        <v>75.8</v>
      </c>
      <c r="H194" s="146" t="b">
        <v>0</v>
      </c>
      <c r="I194" s="143" t="s">
        <v>337</v>
      </c>
      <c r="J194" s="143" t="s">
        <v>431</v>
      </c>
    </row>
    <row r="195" ht="14.25" hidden="1" customHeight="1" outlineLevel="1">
      <c r="A195" s="131" t="s">
        <v>49</v>
      </c>
      <c r="B195" s="132">
        <v>45352.0</v>
      </c>
      <c r="C195" s="143" t="s">
        <v>112</v>
      </c>
      <c r="D195" s="144">
        <v>1.0</v>
      </c>
      <c r="E195" s="145">
        <v>30.78</v>
      </c>
      <c r="F195" s="189">
        <f t="shared" ref="F195:F208" si="19">D195*E195</f>
        <v>30.78</v>
      </c>
      <c r="G195" s="145">
        <f t="shared" ref="G195:G197" si="20">F195</f>
        <v>30.78</v>
      </c>
      <c r="H195" s="146" t="b">
        <v>0</v>
      </c>
      <c r="I195" s="143" t="s">
        <v>435</v>
      </c>
      <c r="J195" s="143"/>
    </row>
    <row r="196" ht="14.25" hidden="1" customHeight="1" outlineLevel="1">
      <c r="A196" s="131" t="s">
        <v>49</v>
      </c>
      <c r="B196" s="132">
        <v>45354.0</v>
      </c>
      <c r="C196" s="135" t="s">
        <v>61</v>
      </c>
      <c r="D196" s="136">
        <v>1.0</v>
      </c>
      <c r="E196" s="142">
        <v>200.0</v>
      </c>
      <c r="F196" s="137">
        <f t="shared" si="19"/>
        <v>200</v>
      </c>
      <c r="G196" s="142">
        <f t="shared" si="20"/>
        <v>200</v>
      </c>
      <c r="H196" s="139" t="b">
        <v>1</v>
      </c>
      <c r="I196" s="140" t="s">
        <v>413</v>
      </c>
      <c r="J196" s="140" t="s">
        <v>330</v>
      </c>
    </row>
    <row r="197" ht="14.25" hidden="1" customHeight="1" outlineLevel="1">
      <c r="A197" s="131" t="s">
        <v>49</v>
      </c>
      <c r="B197" s="132">
        <v>45356.0</v>
      </c>
      <c r="C197" s="135" t="s">
        <v>61</v>
      </c>
      <c r="D197" s="136">
        <v>1.0</v>
      </c>
      <c r="E197" s="142">
        <v>150.0</v>
      </c>
      <c r="F197" s="137">
        <f t="shared" si="19"/>
        <v>150</v>
      </c>
      <c r="G197" s="142">
        <f t="shared" si="20"/>
        <v>150</v>
      </c>
      <c r="H197" s="139" t="b">
        <v>1</v>
      </c>
      <c r="I197" s="140" t="s">
        <v>236</v>
      </c>
      <c r="J197" s="140" t="s">
        <v>410</v>
      </c>
    </row>
    <row r="198" ht="14.25" hidden="1" customHeight="1" outlineLevel="1">
      <c r="A198" s="131" t="s">
        <v>49</v>
      </c>
      <c r="B198" s="132">
        <v>45358.0</v>
      </c>
      <c r="C198" s="143" t="s">
        <v>116</v>
      </c>
      <c r="D198" s="144">
        <v>6.0</v>
      </c>
      <c r="E198" s="145">
        <v>6.8</v>
      </c>
      <c r="F198" s="189">
        <f t="shared" si="19"/>
        <v>40.8</v>
      </c>
      <c r="G198" s="162">
        <f>F198+F199+F200</f>
        <v>49.4</v>
      </c>
      <c r="H198" s="207" t="b">
        <v>0</v>
      </c>
      <c r="I198" s="164" t="s">
        <v>441</v>
      </c>
      <c r="J198" s="143" t="s">
        <v>442</v>
      </c>
    </row>
    <row r="199" ht="14.25" hidden="1" customHeight="1" outlineLevel="1">
      <c r="A199" s="131" t="s">
        <v>49</v>
      </c>
      <c r="B199" s="132">
        <v>45358.0</v>
      </c>
      <c r="C199" s="143" t="s">
        <v>116</v>
      </c>
      <c r="D199" s="144">
        <v>2.0</v>
      </c>
      <c r="E199" s="145">
        <v>2.5</v>
      </c>
      <c r="F199" s="189">
        <f t="shared" si="19"/>
        <v>5</v>
      </c>
      <c r="G199" s="194"/>
      <c r="H199" s="194"/>
      <c r="I199" s="194"/>
      <c r="J199" s="143" t="s">
        <v>444</v>
      </c>
    </row>
    <row r="200" ht="14.25" hidden="1" customHeight="1" outlineLevel="1">
      <c r="A200" s="131" t="s">
        <v>49</v>
      </c>
      <c r="B200" s="132">
        <v>45358.0</v>
      </c>
      <c r="C200" s="143" t="s">
        <v>116</v>
      </c>
      <c r="D200" s="144">
        <v>6.0</v>
      </c>
      <c r="E200" s="145">
        <v>0.6</v>
      </c>
      <c r="F200" s="189">
        <f t="shared" si="19"/>
        <v>3.6</v>
      </c>
      <c r="G200" s="74"/>
      <c r="H200" s="74"/>
      <c r="I200" s="74"/>
      <c r="J200" s="143" t="s">
        <v>445</v>
      </c>
    </row>
    <row r="201" ht="14.25" hidden="1" customHeight="1" outlineLevel="1">
      <c r="A201" s="131" t="s">
        <v>49</v>
      </c>
      <c r="B201" s="132">
        <v>45359.0</v>
      </c>
      <c r="C201" s="143" t="s">
        <v>231</v>
      </c>
      <c r="D201" s="144">
        <v>1.0</v>
      </c>
      <c r="E201" s="145">
        <v>150.0</v>
      </c>
      <c r="F201" s="189">
        <f t="shared" si="19"/>
        <v>150</v>
      </c>
      <c r="G201" s="145">
        <v>150.0</v>
      </c>
      <c r="H201" s="208" t="b">
        <v>0</v>
      </c>
      <c r="I201" s="143" t="s">
        <v>446</v>
      </c>
      <c r="J201" s="143" t="s">
        <v>447</v>
      </c>
    </row>
    <row r="202" ht="14.25" hidden="1" customHeight="1" outlineLevel="1">
      <c r="A202" s="131" t="s">
        <v>49</v>
      </c>
      <c r="B202" s="132">
        <v>45359.0</v>
      </c>
      <c r="C202" s="135" t="s">
        <v>61</v>
      </c>
      <c r="D202" s="136">
        <v>1.0</v>
      </c>
      <c r="E202" s="142">
        <v>150.0</v>
      </c>
      <c r="F202" s="137">
        <f t="shared" si="19"/>
        <v>150</v>
      </c>
      <c r="G202" s="142">
        <f t="shared" ref="G202:G204" si="21">F202</f>
        <v>150</v>
      </c>
      <c r="H202" s="139" t="b">
        <v>1</v>
      </c>
      <c r="I202" s="140" t="s">
        <v>236</v>
      </c>
      <c r="J202" s="140" t="s">
        <v>384</v>
      </c>
    </row>
    <row r="203" ht="14.25" hidden="1" customHeight="1" outlineLevel="1">
      <c r="A203" s="131" t="s">
        <v>49</v>
      </c>
      <c r="B203" s="132">
        <v>45361.0</v>
      </c>
      <c r="C203" s="135" t="s">
        <v>61</v>
      </c>
      <c r="D203" s="136">
        <v>1.0</v>
      </c>
      <c r="E203" s="142">
        <v>200.0</v>
      </c>
      <c r="F203" s="137">
        <f t="shared" si="19"/>
        <v>200</v>
      </c>
      <c r="G203" s="142">
        <f t="shared" si="21"/>
        <v>200</v>
      </c>
      <c r="H203" s="139" t="b">
        <v>1</v>
      </c>
      <c r="I203" s="140" t="s">
        <v>272</v>
      </c>
      <c r="J203" s="140" t="s">
        <v>329</v>
      </c>
    </row>
    <row r="204" ht="14.25" hidden="1" customHeight="1" outlineLevel="1">
      <c r="A204" s="131" t="s">
        <v>49</v>
      </c>
      <c r="B204" s="132">
        <v>45361.0</v>
      </c>
      <c r="C204" s="135" t="s">
        <v>61</v>
      </c>
      <c r="D204" s="136">
        <v>1.0</v>
      </c>
      <c r="E204" s="142">
        <v>200.0</v>
      </c>
      <c r="F204" s="137">
        <f t="shared" si="19"/>
        <v>200</v>
      </c>
      <c r="G204" s="142">
        <f t="shared" si="21"/>
        <v>200</v>
      </c>
      <c r="H204" s="139" t="b">
        <v>1</v>
      </c>
      <c r="I204" s="140" t="s">
        <v>448</v>
      </c>
      <c r="J204" s="140" t="s">
        <v>330</v>
      </c>
    </row>
    <row r="205" ht="14.25" hidden="1" customHeight="1" outlineLevel="1">
      <c r="A205" s="131" t="s">
        <v>49</v>
      </c>
      <c r="B205" s="132">
        <v>45362.0</v>
      </c>
      <c r="C205" s="143" t="s">
        <v>231</v>
      </c>
      <c r="D205" s="144">
        <v>1.0</v>
      </c>
      <c r="E205" s="145">
        <v>150.0</v>
      </c>
      <c r="F205" s="189">
        <f t="shared" si="19"/>
        <v>150</v>
      </c>
      <c r="G205" s="145">
        <v>150.0</v>
      </c>
      <c r="H205" s="208" t="b">
        <v>0</v>
      </c>
      <c r="I205" s="143" t="s">
        <v>449</v>
      </c>
      <c r="J205" s="143" t="s">
        <v>450</v>
      </c>
    </row>
    <row r="206" ht="14.25" hidden="1" customHeight="1" outlineLevel="1">
      <c r="A206" s="131" t="s">
        <v>49</v>
      </c>
      <c r="B206" s="132">
        <v>45363.0</v>
      </c>
      <c r="C206" s="135" t="s">
        <v>61</v>
      </c>
      <c r="D206" s="136">
        <v>1.0</v>
      </c>
      <c r="E206" s="142">
        <v>150.0</v>
      </c>
      <c r="F206" s="137">
        <f t="shared" si="19"/>
        <v>150</v>
      </c>
      <c r="G206" s="142">
        <f>F206</f>
        <v>150</v>
      </c>
      <c r="H206" s="139" t="b">
        <v>1</v>
      </c>
      <c r="I206" s="140" t="s">
        <v>236</v>
      </c>
      <c r="J206" s="140" t="s">
        <v>410</v>
      </c>
    </row>
    <row r="207" ht="14.25" hidden="1" customHeight="1" outlineLevel="1">
      <c r="A207" s="131" t="s">
        <v>49</v>
      </c>
      <c r="B207" s="132">
        <v>45364.0</v>
      </c>
      <c r="C207" s="143" t="s">
        <v>80</v>
      </c>
      <c r="D207" s="144">
        <v>1.0</v>
      </c>
      <c r="E207" s="145">
        <v>32.0</v>
      </c>
      <c r="F207" s="189">
        <f t="shared" si="19"/>
        <v>32</v>
      </c>
      <c r="G207" s="145">
        <v>32.0</v>
      </c>
      <c r="H207" s="208" t="b">
        <v>0</v>
      </c>
      <c r="I207" s="143" t="s">
        <v>451</v>
      </c>
      <c r="J207" s="143" t="s">
        <v>452</v>
      </c>
    </row>
    <row r="208" ht="14.25" hidden="1" customHeight="1" outlineLevel="1">
      <c r="A208" s="131" t="s">
        <v>49</v>
      </c>
      <c r="B208" s="132">
        <v>45366.0</v>
      </c>
      <c r="C208" s="135" t="s">
        <v>61</v>
      </c>
      <c r="D208" s="136">
        <v>1.0</v>
      </c>
      <c r="E208" s="142">
        <v>150.0</v>
      </c>
      <c r="F208" s="137">
        <f t="shared" si="19"/>
        <v>150</v>
      </c>
      <c r="G208" s="142">
        <f>F208</f>
        <v>150</v>
      </c>
      <c r="H208" s="139" t="b">
        <v>1</v>
      </c>
      <c r="I208" s="140" t="s">
        <v>236</v>
      </c>
      <c r="J208" s="140" t="s">
        <v>384</v>
      </c>
    </row>
    <row r="209" ht="14.25" hidden="1" customHeight="1" outlineLevel="1">
      <c r="A209" s="131" t="s">
        <v>49</v>
      </c>
      <c r="B209" s="132">
        <v>45366.0</v>
      </c>
      <c r="C209" s="143" t="s">
        <v>75</v>
      </c>
      <c r="D209" s="144">
        <v>1.0</v>
      </c>
      <c r="E209" s="145">
        <v>140.0</v>
      </c>
      <c r="F209" s="145">
        <v>140.0</v>
      </c>
      <c r="G209" s="145">
        <v>140.0</v>
      </c>
      <c r="H209" s="146" t="b">
        <v>0</v>
      </c>
      <c r="I209" s="143" t="s">
        <v>400</v>
      </c>
      <c r="J209" s="143" t="s">
        <v>453</v>
      </c>
    </row>
    <row r="210" ht="14.25" hidden="1" customHeight="1" outlineLevel="1">
      <c r="A210" s="131" t="s">
        <v>49</v>
      </c>
      <c r="B210" s="132">
        <v>45368.0</v>
      </c>
      <c r="C210" s="135" t="s">
        <v>61</v>
      </c>
      <c r="D210" s="136">
        <v>1.0</v>
      </c>
      <c r="E210" s="142">
        <v>200.0</v>
      </c>
      <c r="F210" s="137">
        <f t="shared" ref="F210:F211" si="22">D210*E210</f>
        <v>200</v>
      </c>
      <c r="G210" s="142">
        <f t="shared" ref="G210:G211" si="23">F210</f>
        <v>200</v>
      </c>
      <c r="H210" s="139" t="b">
        <v>1</v>
      </c>
      <c r="I210" s="140" t="s">
        <v>456</v>
      </c>
      <c r="J210" s="140" t="s">
        <v>329</v>
      </c>
    </row>
    <row r="211" ht="14.25" hidden="1" customHeight="1" outlineLevel="1">
      <c r="A211" s="131" t="s">
        <v>49</v>
      </c>
      <c r="B211" s="132">
        <v>45368.0</v>
      </c>
      <c r="C211" s="135" t="s">
        <v>61</v>
      </c>
      <c r="D211" s="136">
        <v>1.0</v>
      </c>
      <c r="E211" s="142">
        <v>200.0</v>
      </c>
      <c r="F211" s="137">
        <f t="shared" si="22"/>
        <v>200</v>
      </c>
      <c r="G211" s="142">
        <f t="shared" si="23"/>
        <v>200</v>
      </c>
      <c r="H211" s="139" t="b">
        <v>1</v>
      </c>
      <c r="I211" s="140" t="s">
        <v>413</v>
      </c>
      <c r="J211" s="140" t="s">
        <v>330</v>
      </c>
    </row>
    <row r="212" ht="14.25" hidden="1" customHeight="1" outlineLevel="1">
      <c r="A212" s="131" t="s">
        <v>49</v>
      </c>
      <c r="B212" s="132">
        <v>45369.0</v>
      </c>
      <c r="C212" s="143" t="s">
        <v>93</v>
      </c>
      <c r="D212" s="144">
        <v>1.0</v>
      </c>
      <c r="E212" s="145">
        <v>105.0</v>
      </c>
      <c r="F212" s="145">
        <v>105.0</v>
      </c>
      <c r="G212" s="145">
        <v>105.0</v>
      </c>
      <c r="H212" s="146" t="b">
        <v>0</v>
      </c>
      <c r="I212" s="143" t="s">
        <v>337</v>
      </c>
      <c r="J212" s="143" t="s">
        <v>459</v>
      </c>
    </row>
    <row r="213" ht="14.25" hidden="1" customHeight="1" outlineLevel="1">
      <c r="A213" s="131" t="s">
        <v>49</v>
      </c>
      <c r="B213" s="132">
        <v>45370.0</v>
      </c>
      <c r="C213" s="135" t="s">
        <v>61</v>
      </c>
      <c r="D213" s="136">
        <v>1.0</v>
      </c>
      <c r="E213" s="142">
        <v>150.0</v>
      </c>
      <c r="F213" s="137">
        <f t="shared" ref="F213:F214" si="24">D213*E213</f>
        <v>150</v>
      </c>
      <c r="G213" s="142">
        <f t="shared" ref="G213:G214" si="25">F213</f>
        <v>150</v>
      </c>
      <c r="H213" s="139" t="b">
        <v>1</v>
      </c>
      <c r="I213" s="140" t="s">
        <v>236</v>
      </c>
      <c r="J213" s="140" t="s">
        <v>410</v>
      </c>
    </row>
    <row r="214" ht="14.25" hidden="1" customHeight="1" outlineLevel="1">
      <c r="A214" s="131" t="s">
        <v>49</v>
      </c>
      <c r="B214" s="132">
        <v>45373.0</v>
      </c>
      <c r="C214" s="135" t="s">
        <v>61</v>
      </c>
      <c r="D214" s="136">
        <v>1.0</v>
      </c>
      <c r="E214" s="142">
        <v>150.0</v>
      </c>
      <c r="F214" s="137">
        <f t="shared" si="24"/>
        <v>150</v>
      </c>
      <c r="G214" s="142">
        <f t="shared" si="25"/>
        <v>150</v>
      </c>
      <c r="H214" s="139" t="b">
        <v>1</v>
      </c>
      <c r="I214" s="140" t="s">
        <v>236</v>
      </c>
      <c r="J214" s="140" t="s">
        <v>384</v>
      </c>
    </row>
    <row r="215" ht="14.25" hidden="1" customHeight="1" outlineLevel="1">
      <c r="A215" s="131" t="s">
        <v>49</v>
      </c>
      <c r="B215" s="132">
        <v>45373.0</v>
      </c>
      <c r="C215" s="143" t="s">
        <v>97</v>
      </c>
      <c r="D215" s="144">
        <v>1.0</v>
      </c>
      <c r="E215" s="145">
        <v>61.8</v>
      </c>
      <c r="F215" s="145">
        <v>61.8</v>
      </c>
      <c r="G215" s="145">
        <v>61.8</v>
      </c>
      <c r="H215" s="146" t="b">
        <v>0</v>
      </c>
      <c r="I215" s="143" t="s">
        <v>185</v>
      </c>
      <c r="J215" s="143" t="s">
        <v>460</v>
      </c>
    </row>
    <row r="216" ht="14.25" hidden="1" customHeight="1" outlineLevel="1">
      <c r="A216" s="131" t="s">
        <v>49</v>
      </c>
      <c r="B216" s="132">
        <v>45375.0</v>
      </c>
      <c r="C216" s="135" t="s">
        <v>61</v>
      </c>
      <c r="D216" s="136">
        <v>1.0</v>
      </c>
      <c r="E216" s="142">
        <v>200.0</v>
      </c>
      <c r="F216" s="137">
        <f t="shared" ref="F216:F218" si="26">D216*E216</f>
        <v>200</v>
      </c>
      <c r="G216" s="142">
        <f t="shared" ref="G216:G218" si="27">F216</f>
        <v>200</v>
      </c>
      <c r="H216" s="139" t="b">
        <v>1</v>
      </c>
      <c r="I216" s="140" t="s">
        <v>413</v>
      </c>
      <c r="J216" s="140" t="s">
        <v>329</v>
      </c>
    </row>
    <row r="217" ht="14.25" hidden="1" customHeight="1" outlineLevel="1">
      <c r="A217" s="131" t="s">
        <v>49</v>
      </c>
      <c r="B217" s="132">
        <v>45375.0</v>
      </c>
      <c r="C217" s="135" t="s">
        <v>61</v>
      </c>
      <c r="D217" s="136">
        <v>1.0</v>
      </c>
      <c r="E217" s="142">
        <v>200.0</v>
      </c>
      <c r="F217" s="137">
        <f t="shared" si="26"/>
        <v>200</v>
      </c>
      <c r="G217" s="142">
        <f t="shared" si="27"/>
        <v>200</v>
      </c>
      <c r="H217" s="139" t="b">
        <v>1</v>
      </c>
      <c r="I217" s="140" t="s">
        <v>413</v>
      </c>
      <c r="J217" s="140" t="s">
        <v>330</v>
      </c>
    </row>
    <row r="218" ht="14.25" hidden="1" customHeight="1" outlineLevel="1">
      <c r="A218" s="131" t="s">
        <v>49</v>
      </c>
      <c r="B218" s="132">
        <v>45377.0</v>
      </c>
      <c r="C218" s="135" t="s">
        <v>61</v>
      </c>
      <c r="D218" s="136">
        <v>1.0</v>
      </c>
      <c r="E218" s="142">
        <v>150.0</v>
      </c>
      <c r="F218" s="137">
        <f t="shared" si="26"/>
        <v>150</v>
      </c>
      <c r="G218" s="142">
        <f t="shared" si="27"/>
        <v>150</v>
      </c>
      <c r="H218" s="139" t="b">
        <v>1</v>
      </c>
      <c r="I218" s="140" t="s">
        <v>236</v>
      </c>
      <c r="J218" s="140" t="s">
        <v>410</v>
      </c>
    </row>
    <row r="219" ht="14.25" hidden="1" customHeight="1" outlineLevel="1">
      <c r="A219" s="131" t="s">
        <v>49</v>
      </c>
      <c r="B219" s="132">
        <v>45377.0</v>
      </c>
      <c r="C219" s="143" t="s">
        <v>248</v>
      </c>
      <c r="D219" s="144">
        <v>1.0</v>
      </c>
      <c r="E219" s="145">
        <v>600.0</v>
      </c>
      <c r="F219" s="145">
        <v>600.0</v>
      </c>
      <c r="G219" s="145">
        <v>600.0</v>
      </c>
      <c r="H219" s="146" t="b">
        <v>0</v>
      </c>
      <c r="I219" s="143" t="s">
        <v>462</v>
      </c>
      <c r="J219" s="143" t="s">
        <v>463</v>
      </c>
    </row>
    <row r="220" ht="14.25" hidden="1" customHeight="1" outlineLevel="1">
      <c r="A220" s="131" t="s">
        <v>49</v>
      </c>
      <c r="B220" s="132">
        <v>45377.0</v>
      </c>
      <c r="C220" s="143" t="s">
        <v>55</v>
      </c>
      <c r="D220" s="144">
        <v>1.0</v>
      </c>
      <c r="E220" s="145">
        <v>136.1</v>
      </c>
      <c r="F220" s="145">
        <v>136.1</v>
      </c>
      <c r="G220" s="145">
        <v>136.1</v>
      </c>
      <c r="H220" s="146" t="b">
        <v>0</v>
      </c>
      <c r="I220" s="143" t="s">
        <v>254</v>
      </c>
      <c r="J220" s="143" t="s">
        <v>464</v>
      </c>
    </row>
    <row r="221" ht="14.25" hidden="1" customHeight="1" outlineLevel="1">
      <c r="A221" s="131" t="s">
        <v>49</v>
      </c>
      <c r="B221" s="132">
        <v>45378.0</v>
      </c>
      <c r="C221" s="135" t="s">
        <v>61</v>
      </c>
      <c r="D221" s="136">
        <v>1.0</v>
      </c>
      <c r="E221" s="142">
        <v>2850.0</v>
      </c>
      <c r="F221" s="137">
        <f t="shared" ref="F221:F224" si="28">D221*E221</f>
        <v>2850</v>
      </c>
      <c r="G221" s="142">
        <f t="shared" ref="G221:G224" si="29">F221</f>
        <v>2850</v>
      </c>
      <c r="H221" s="139" t="b">
        <v>1</v>
      </c>
      <c r="I221" s="140" t="s">
        <v>119</v>
      </c>
      <c r="J221" s="140" t="s">
        <v>466</v>
      </c>
    </row>
    <row r="222" ht="14.25" hidden="1" customHeight="1" outlineLevel="1">
      <c r="A222" s="131" t="s">
        <v>49</v>
      </c>
      <c r="B222" s="132">
        <v>45378.0</v>
      </c>
      <c r="C222" s="135" t="s">
        <v>61</v>
      </c>
      <c r="D222" s="136">
        <v>1.0</v>
      </c>
      <c r="E222" s="142">
        <v>150.0</v>
      </c>
      <c r="F222" s="137">
        <f t="shared" si="28"/>
        <v>150</v>
      </c>
      <c r="G222" s="142">
        <f t="shared" si="29"/>
        <v>150</v>
      </c>
      <c r="H222" s="139" t="b">
        <v>1</v>
      </c>
      <c r="I222" s="140" t="s">
        <v>342</v>
      </c>
      <c r="J222" s="140" t="s">
        <v>467</v>
      </c>
    </row>
    <row r="223" ht="14.25" hidden="1" customHeight="1" outlineLevel="1">
      <c r="A223" s="131" t="s">
        <v>49</v>
      </c>
      <c r="B223" s="132">
        <v>45378.0</v>
      </c>
      <c r="C223" s="135" t="s">
        <v>61</v>
      </c>
      <c r="D223" s="136">
        <v>1.0</v>
      </c>
      <c r="E223" s="142">
        <v>150.0</v>
      </c>
      <c r="F223" s="137">
        <f t="shared" si="28"/>
        <v>150</v>
      </c>
      <c r="G223" s="142">
        <f t="shared" si="29"/>
        <v>150</v>
      </c>
      <c r="H223" s="139" t="b">
        <v>1</v>
      </c>
      <c r="I223" s="140" t="s">
        <v>469</v>
      </c>
      <c r="J223" s="140" t="s">
        <v>470</v>
      </c>
    </row>
    <row r="224" ht="14.25" hidden="1" customHeight="1" outlineLevel="1">
      <c r="A224" s="131" t="s">
        <v>49</v>
      </c>
      <c r="B224" s="132">
        <v>45379.0</v>
      </c>
      <c r="C224" s="135" t="s">
        <v>61</v>
      </c>
      <c r="D224" s="136">
        <v>1.0</v>
      </c>
      <c r="E224" s="142">
        <v>200.0</v>
      </c>
      <c r="F224" s="137">
        <f t="shared" si="28"/>
        <v>200</v>
      </c>
      <c r="G224" s="142">
        <f t="shared" si="29"/>
        <v>200</v>
      </c>
      <c r="H224" s="139" t="b">
        <v>1</v>
      </c>
      <c r="I224" s="140" t="s">
        <v>342</v>
      </c>
      <c r="J224" s="140" t="s">
        <v>471</v>
      </c>
    </row>
    <row r="225" ht="14.25" hidden="1" customHeight="1" outlineLevel="1">
      <c r="A225" s="131" t="s">
        <v>49</v>
      </c>
      <c r="B225" s="132">
        <v>45379.0</v>
      </c>
      <c r="C225" s="143" t="s">
        <v>171</v>
      </c>
      <c r="D225" s="144">
        <v>1.0</v>
      </c>
      <c r="E225" s="145">
        <v>238.45</v>
      </c>
      <c r="F225" s="145">
        <v>238.45</v>
      </c>
      <c r="G225" s="145">
        <v>238.45</v>
      </c>
      <c r="H225" s="208" t="b">
        <v>0</v>
      </c>
      <c r="I225" s="91" t="s">
        <v>172</v>
      </c>
      <c r="J225" s="91" t="s">
        <v>472</v>
      </c>
    </row>
    <row r="226" ht="14.25" hidden="1" customHeight="1" outlineLevel="1">
      <c r="A226" s="131" t="s">
        <v>49</v>
      </c>
      <c r="B226" s="132">
        <v>45379.0</v>
      </c>
      <c r="C226" s="143" t="s">
        <v>97</v>
      </c>
      <c r="D226" s="144">
        <v>1.0</v>
      </c>
      <c r="E226" s="145">
        <v>64.0</v>
      </c>
      <c r="F226" s="145">
        <v>64.0</v>
      </c>
      <c r="G226" s="145">
        <v>64.0</v>
      </c>
      <c r="H226" s="208" t="b">
        <v>0</v>
      </c>
      <c r="I226" s="143" t="s">
        <v>473</v>
      </c>
      <c r="J226" s="143" t="s">
        <v>474</v>
      </c>
    </row>
    <row r="227" ht="14.25" hidden="1" customHeight="1" outlineLevel="1">
      <c r="A227" s="131" t="s">
        <v>49</v>
      </c>
      <c r="B227" s="132">
        <v>45379.0</v>
      </c>
      <c r="C227" s="143" t="s">
        <v>97</v>
      </c>
      <c r="D227" s="144">
        <v>1.0</v>
      </c>
      <c r="E227" s="145">
        <v>13.06</v>
      </c>
      <c r="F227" s="145">
        <v>13.06</v>
      </c>
      <c r="G227" s="145">
        <v>13.06</v>
      </c>
      <c r="H227" s="208" t="b">
        <v>0</v>
      </c>
      <c r="I227" s="143" t="s">
        <v>475</v>
      </c>
      <c r="J227" s="143" t="s">
        <v>476</v>
      </c>
    </row>
    <row r="228" ht="14.25" hidden="1" customHeight="1" outlineLevel="1">
      <c r="A228" s="131" t="s">
        <v>49</v>
      </c>
      <c r="B228" s="132">
        <v>45379.0</v>
      </c>
      <c r="C228" s="143" t="s">
        <v>97</v>
      </c>
      <c r="D228" s="144">
        <v>1.0</v>
      </c>
      <c r="E228" s="145">
        <v>227.96</v>
      </c>
      <c r="F228" s="145">
        <v>227.96</v>
      </c>
      <c r="G228" s="145">
        <v>227.96</v>
      </c>
      <c r="H228" s="208" t="b">
        <v>0</v>
      </c>
      <c r="I228" s="143" t="s">
        <v>477</v>
      </c>
      <c r="J228" s="143" t="s">
        <v>478</v>
      </c>
    </row>
    <row r="229" ht="14.25" hidden="1" customHeight="1" outlineLevel="1">
      <c r="A229" s="131" t="s">
        <v>49</v>
      </c>
      <c r="B229" s="132">
        <v>45379.0</v>
      </c>
      <c r="C229" s="143" t="s">
        <v>97</v>
      </c>
      <c r="D229" s="144">
        <v>1.0</v>
      </c>
      <c r="E229" s="145">
        <v>19.99</v>
      </c>
      <c r="F229" s="145">
        <v>19.99</v>
      </c>
      <c r="G229" s="145">
        <v>19.99</v>
      </c>
      <c r="H229" s="208" t="b">
        <v>0</v>
      </c>
      <c r="I229" s="143" t="s">
        <v>479</v>
      </c>
      <c r="J229" s="143" t="s">
        <v>480</v>
      </c>
    </row>
    <row r="230" ht="14.25" hidden="1" customHeight="1" outlineLevel="1">
      <c r="A230" s="131" t="s">
        <v>49</v>
      </c>
      <c r="B230" s="132">
        <v>45379.0</v>
      </c>
      <c r="C230" s="143" t="s">
        <v>80</v>
      </c>
      <c r="D230" s="144">
        <v>1.0</v>
      </c>
      <c r="E230" s="145">
        <v>28.0</v>
      </c>
      <c r="F230" s="145">
        <v>28.0</v>
      </c>
      <c r="G230" s="145">
        <v>28.0</v>
      </c>
      <c r="H230" s="208" t="b">
        <v>0</v>
      </c>
      <c r="I230" s="143" t="s">
        <v>481</v>
      </c>
      <c r="J230" s="143" t="s">
        <v>452</v>
      </c>
    </row>
    <row r="231" ht="14.25" hidden="1" customHeight="1" outlineLevel="1">
      <c r="A231" s="131" t="s">
        <v>49</v>
      </c>
      <c r="B231" s="132">
        <v>45380.0</v>
      </c>
      <c r="C231" s="135" t="s">
        <v>61</v>
      </c>
      <c r="D231" s="136">
        <v>1.0</v>
      </c>
      <c r="E231" s="142">
        <v>200.0</v>
      </c>
      <c r="F231" s="137">
        <f t="shared" ref="F231:F233" si="30">D231*E231</f>
        <v>200</v>
      </c>
      <c r="G231" s="142">
        <v>200.0</v>
      </c>
      <c r="H231" s="139" t="b">
        <v>1</v>
      </c>
      <c r="I231" s="140" t="s">
        <v>342</v>
      </c>
      <c r="J231" s="140" t="s">
        <v>483</v>
      </c>
    </row>
    <row r="232" ht="14.25" hidden="1" customHeight="1" outlineLevel="1">
      <c r="A232" s="131" t="s">
        <v>49</v>
      </c>
      <c r="B232" s="132">
        <v>45380.0</v>
      </c>
      <c r="C232" s="143" t="s">
        <v>248</v>
      </c>
      <c r="D232" s="144">
        <v>1.0</v>
      </c>
      <c r="E232" s="145">
        <v>1096.0</v>
      </c>
      <c r="F232" s="189">
        <f t="shared" si="30"/>
        <v>1096</v>
      </c>
      <c r="G232" s="172">
        <v>1096.0</v>
      </c>
      <c r="H232" s="146" t="b">
        <v>0</v>
      </c>
      <c r="I232" s="143" t="s">
        <v>484</v>
      </c>
      <c r="J232" s="143" t="s">
        <v>485</v>
      </c>
    </row>
    <row r="233" ht="14.25" hidden="1" customHeight="1" outlineLevel="1">
      <c r="A233" s="131" t="s">
        <v>49</v>
      </c>
      <c r="B233" s="132">
        <v>45381.0</v>
      </c>
      <c r="C233" s="135" t="s">
        <v>61</v>
      </c>
      <c r="D233" s="136">
        <v>1.0</v>
      </c>
      <c r="E233" s="142">
        <v>200.0</v>
      </c>
      <c r="F233" s="137">
        <f t="shared" si="30"/>
        <v>200</v>
      </c>
      <c r="G233" s="142">
        <f>F233</f>
        <v>200</v>
      </c>
      <c r="H233" s="139" t="b">
        <v>1</v>
      </c>
      <c r="I233" s="140" t="s">
        <v>486</v>
      </c>
      <c r="J233" s="140" t="s">
        <v>487</v>
      </c>
    </row>
    <row r="234" ht="14.25" hidden="1" customHeight="1" outlineLevel="1">
      <c r="A234" s="131" t="s">
        <v>49</v>
      </c>
      <c r="B234" s="132">
        <v>45381.0</v>
      </c>
      <c r="C234" s="143" t="s">
        <v>171</v>
      </c>
      <c r="D234" s="144">
        <v>1.0</v>
      </c>
      <c r="E234" s="145">
        <v>133.0</v>
      </c>
      <c r="F234" s="145">
        <v>133.0</v>
      </c>
      <c r="G234" s="145">
        <v>133.0</v>
      </c>
      <c r="H234" s="208" t="b">
        <v>0</v>
      </c>
      <c r="I234" s="143" t="s">
        <v>172</v>
      </c>
      <c r="J234" s="143" t="s">
        <v>488</v>
      </c>
    </row>
    <row r="235" ht="14.25" hidden="1" customHeight="1" outlineLevel="1">
      <c r="A235" s="131" t="s">
        <v>49</v>
      </c>
      <c r="B235" s="132">
        <v>45382.0</v>
      </c>
      <c r="C235" s="135" t="s">
        <v>61</v>
      </c>
      <c r="D235" s="136">
        <v>1.0</v>
      </c>
      <c r="E235" s="142">
        <v>200.0</v>
      </c>
      <c r="F235" s="137">
        <f t="shared" ref="F235:F236" si="31">D235*E235</f>
        <v>200</v>
      </c>
      <c r="G235" s="142">
        <f t="shared" ref="G235:G236" si="32">F235</f>
        <v>200</v>
      </c>
      <c r="H235" s="139" t="b">
        <v>1</v>
      </c>
      <c r="I235" s="140" t="s">
        <v>490</v>
      </c>
      <c r="J235" s="140" t="s">
        <v>491</v>
      </c>
    </row>
    <row r="236" ht="14.25" hidden="1" customHeight="1" outlineLevel="1">
      <c r="A236" s="131" t="s">
        <v>49</v>
      </c>
      <c r="B236" s="132">
        <v>45382.0</v>
      </c>
      <c r="C236" s="135" t="s">
        <v>61</v>
      </c>
      <c r="D236" s="136">
        <v>1.0</v>
      </c>
      <c r="E236" s="142">
        <v>200.0</v>
      </c>
      <c r="F236" s="137">
        <f t="shared" si="31"/>
        <v>200</v>
      </c>
      <c r="G236" s="142">
        <f t="shared" si="32"/>
        <v>200</v>
      </c>
      <c r="H236" s="139" t="b">
        <v>1</v>
      </c>
      <c r="I236" s="140" t="s">
        <v>413</v>
      </c>
      <c r="J236" s="140" t="s">
        <v>493</v>
      </c>
    </row>
    <row r="237" ht="14.25" hidden="1" customHeight="1" outlineLevel="1">
      <c r="A237" s="131" t="s">
        <v>49</v>
      </c>
      <c r="B237" s="132">
        <v>45382.0</v>
      </c>
      <c r="C237" s="143" t="s">
        <v>188</v>
      </c>
      <c r="D237" s="144">
        <v>1.0</v>
      </c>
      <c r="E237" s="145">
        <v>1000.0</v>
      </c>
      <c r="F237" s="145">
        <v>1000.0</v>
      </c>
      <c r="G237" s="172">
        <v>1000.0</v>
      </c>
      <c r="H237" s="208" t="b">
        <v>0</v>
      </c>
      <c r="I237" s="143" t="s">
        <v>495</v>
      </c>
      <c r="J237" s="143" t="s">
        <v>496</v>
      </c>
    </row>
    <row r="238" ht="14.25" hidden="1" customHeight="1" outlineLevel="1">
      <c r="A238" s="41"/>
      <c r="B238" s="132"/>
      <c r="C238" s="143"/>
      <c r="D238" s="144"/>
      <c r="E238" s="145"/>
      <c r="F238" s="145"/>
      <c r="G238" s="145"/>
      <c r="H238" s="177" t="b">
        <v>0</v>
      </c>
      <c r="I238" s="143"/>
      <c r="J238" s="143"/>
    </row>
    <row r="239" ht="14.25" customHeight="1">
      <c r="A239" s="180" t="s">
        <v>192</v>
      </c>
      <c r="B239" s="27"/>
      <c r="C239" s="27"/>
      <c r="D239" s="27"/>
      <c r="E239" s="28"/>
      <c r="F239" s="181">
        <f t="shared" ref="F239:G239" si="33">SUM(F192:F238)</f>
        <v>11251.34</v>
      </c>
      <c r="G239" s="181">
        <f t="shared" si="33"/>
        <v>11251.34</v>
      </c>
      <c r="H239" s="156"/>
      <c r="I239" s="107"/>
      <c r="J239" s="112"/>
    </row>
    <row r="240" ht="14.25" customHeight="1" collapsed="1">
      <c r="A240" s="21" t="s">
        <v>499</v>
      </c>
      <c r="B240" s="22"/>
      <c r="C240" s="22"/>
      <c r="D240" s="22"/>
      <c r="E240" s="22"/>
      <c r="F240" s="22"/>
      <c r="G240" s="22"/>
      <c r="H240" s="22"/>
      <c r="I240" s="22"/>
      <c r="J240" s="23"/>
    </row>
    <row r="241" ht="14.25" hidden="1" customHeight="1" outlineLevel="1">
      <c r="A241" s="131" t="s">
        <v>48</v>
      </c>
      <c r="B241" s="132">
        <v>45383.0</v>
      </c>
      <c r="C241" s="143" t="s">
        <v>69</v>
      </c>
      <c r="D241" s="144">
        <v>2.0</v>
      </c>
      <c r="E241" s="145">
        <v>5.79</v>
      </c>
      <c r="F241" s="145">
        <f>D241*E241</f>
        <v>11.58</v>
      </c>
      <c r="G241" s="145">
        <v>11.58</v>
      </c>
      <c r="H241" s="146" t="b">
        <v>0</v>
      </c>
      <c r="I241" s="143" t="s">
        <v>500</v>
      </c>
      <c r="J241" s="143" t="s">
        <v>501</v>
      </c>
      <c r="K241" s="146" t="b">
        <v>1</v>
      </c>
      <c r="L241" s="146" t="b">
        <v>1</v>
      </c>
    </row>
    <row r="242" ht="14.25" hidden="1" customHeight="1" outlineLevel="1">
      <c r="A242" s="131" t="s">
        <v>48</v>
      </c>
      <c r="B242" s="132">
        <v>45384.0</v>
      </c>
      <c r="C242" s="143" t="s">
        <v>61</v>
      </c>
      <c r="D242" s="144">
        <v>1.0</v>
      </c>
      <c r="E242" s="145">
        <v>150.0</v>
      </c>
      <c r="F242" s="145">
        <v>150.0</v>
      </c>
      <c r="G242" s="145">
        <v>150.0</v>
      </c>
      <c r="H242" s="146" t="b">
        <v>1</v>
      </c>
      <c r="I242" s="143" t="s">
        <v>502</v>
      </c>
      <c r="J242" s="143" t="s">
        <v>503</v>
      </c>
      <c r="K242" s="146"/>
      <c r="L242" s="146" t="b">
        <v>0</v>
      </c>
    </row>
    <row r="243" ht="14.25" hidden="1" customHeight="1" outlineLevel="1">
      <c r="A243" s="131" t="s">
        <v>48</v>
      </c>
      <c r="B243" s="132">
        <v>45384.0</v>
      </c>
      <c r="C243" s="143" t="s">
        <v>75</v>
      </c>
      <c r="D243" s="144">
        <v>2.0</v>
      </c>
      <c r="E243" s="145">
        <v>35.0</v>
      </c>
      <c r="F243" s="145">
        <v>70.0</v>
      </c>
      <c r="G243" s="145">
        <v>70.0</v>
      </c>
      <c r="H243" s="146" t="b">
        <v>0</v>
      </c>
      <c r="I243" s="143" t="s">
        <v>400</v>
      </c>
      <c r="J243" s="143" t="s">
        <v>504</v>
      </c>
      <c r="K243" s="146"/>
      <c r="L243" s="146" t="b">
        <v>1</v>
      </c>
    </row>
    <row r="244" ht="14.25" hidden="1" customHeight="1" outlineLevel="1">
      <c r="A244" s="131" t="s">
        <v>48</v>
      </c>
      <c r="B244" s="132">
        <v>45387.0</v>
      </c>
      <c r="C244" s="143" t="s">
        <v>315</v>
      </c>
      <c r="D244" s="144">
        <v>1.0</v>
      </c>
      <c r="E244" s="145">
        <v>52.5</v>
      </c>
      <c r="F244" s="145">
        <v>52.5</v>
      </c>
      <c r="G244" s="162">
        <f>F244+F245</f>
        <v>76.5</v>
      </c>
      <c r="H244" s="193" t="b">
        <v>0</v>
      </c>
      <c r="I244" s="164" t="s">
        <v>225</v>
      </c>
      <c r="J244" s="143" t="s">
        <v>506</v>
      </c>
      <c r="K244" s="193" t="b">
        <v>1</v>
      </c>
      <c r="L244" s="193" t="b">
        <v>1</v>
      </c>
    </row>
    <row r="245" ht="14.25" hidden="1" customHeight="1" outlineLevel="1">
      <c r="A245" s="131" t="s">
        <v>48</v>
      </c>
      <c r="B245" s="132">
        <v>45387.0</v>
      </c>
      <c r="C245" s="143" t="s">
        <v>75</v>
      </c>
      <c r="D245" s="144">
        <v>1.0</v>
      </c>
      <c r="E245" s="145">
        <v>24.0</v>
      </c>
      <c r="F245" s="145">
        <v>24.0</v>
      </c>
      <c r="G245" s="74"/>
      <c r="H245" s="74"/>
      <c r="I245" s="74"/>
      <c r="J245" s="143" t="s">
        <v>509</v>
      </c>
      <c r="K245" s="74"/>
      <c r="L245" s="74"/>
    </row>
    <row r="246" ht="14.25" hidden="1" customHeight="1" outlineLevel="1">
      <c r="A246" s="131" t="s">
        <v>48</v>
      </c>
      <c r="B246" s="132">
        <v>45387.0</v>
      </c>
      <c r="C246" s="143" t="s">
        <v>61</v>
      </c>
      <c r="D246" s="144">
        <v>1.0</v>
      </c>
      <c r="E246" s="145">
        <v>150.0</v>
      </c>
      <c r="F246" s="145">
        <v>150.0</v>
      </c>
      <c r="G246" s="145">
        <v>150.0</v>
      </c>
      <c r="H246" s="146" t="b">
        <v>1</v>
      </c>
      <c r="I246" s="143" t="s">
        <v>236</v>
      </c>
      <c r="J246" s="143" t="s">
        <v>510</v>
      </c>
      <c r="K246" s="146"/>
      <c r="L246" s="146" t="b">
        <v>0</v>
      </c>
    </row>
    <row r="247" hidden="1" outlineLevel="1">
      <c r="A247" s="131" t="s">
        <v>48</v>
      </c>
      <c r="B247" s="132">
        <v>45387.0</v>
      </c>
      <c r="C247" s="143" t="s">
        <v>61</v>
      </c>
      <c r="D247" s="144">
        <v>1.0</v>
      </c>
      <c r="E247" s="145">
        <v>150.0</v>
      </c>
      <c r="F247" s="145">
        <v>150.0</v>
      </c>
      <c r="G247" s="145">
        <v>150.0</v>
      </c>
      <c r="H247" s="146" t="b">
        <v>1</v>
      </c>
      <c r="I247" s="143" t="s">
        <v>456</v>
      </c>
      <c r="J247" s="143" t="s">
        <v>510</v>
      </c>
      <c r="K247" s="146"/>
      <c r="L247" s="146" t="b">
        <v>0</v>
      </c>
      <c r="M247" s="217"/>
      <c r="N247" s="217"/>
      <c r="O247" s="217"/>
      <c r="P247" s="217"/>
      <c r="Q247" s="217"/>
      <c r="R247" s="217"/>
      <c r="S247" s="217"/>
      <c r="T247" s="217"/>
      <c r="U247" s="217"/>
      <c r="V247" s="217"/>
      <c r="W247" s="217"/>
      <c r="X247" s="217"/>
      <c r="Y247" s="217"/>
      <c r="Z247" s="217"/>
      <c r="AA247" s="217"/>
      <c r="AB247" s="217"/>
      <c r="AC247" s="217"/>
      <c r="AD247" s="217"/>
    </row>
    <row r="248" hidden="1" outlineLevel="1">
      <c r="A248" s="220" t="s">
        <v>48</v>
      </c>
      <c r="B248" s="221">
        <v>45388.0</v>
      </c>
      <c r="C248" s="222" t="s">
        <v>61</v>
      </c>
      <c r="D248" s="223">
        <v>1.0</v>
      </c>
      <c r="E248" s="145">
        <v>150.0</v>
      </c>
      <c r="F248" s="145">
        <v>150.0</v>
      </c>
      <c r="G248" s="145">
        <v>150.0</v>
      </c>
      <c r="H248" s="224" t="b">
        <v>1</v>
      </c>
      <c r="I248" s="140" t="s">
        <v>296</v>
      </c>
      <c r="J248" s="140" t="s">
        <v>511</v>
      </c>
      <c r="K248" s="146"/>
      <c r="L248" s="146" t="b">
        <v>0</v>
      </c>
      <c r="M248" s="217"/>
      <c r="N248" s="217"/>
      <c r="O248" s="217"/>
      <c r="P248" s="217"/>
      <c r="Q248" s="217"/>
      <c r="R248" s="217"/>
      <c r="S248" s="217"/>
      <c r="T248" s="217"/>
      <c r="U248" s="217"/>
      <c r="V248" s="217"/>
      <c r="W248" s="217"/>
      <c r="X248" s="217"/>
      <c r="Y248" s="217"/>
      <c r="Z248" s="217"/>
      <c r="AA248" s="217"/>
      <c r="AB248" s="217"/>
      <c r="AC248" s="217"/>
      <c r="AD248" s="217"/>
    </row>
    <row r="249" ht="14.25" hidden="1" customHeight="1" outlineLevel="1">
      <c r="A249" s="220" t="s">
        <v>48</v>
      </c>
      <c r="B249" s="221">
        <v>45388.0</v>
      </c>
      <c r="C249" s="143" t="s">
        <v>171</v>
      </c>
      <c r="D249" s="225">
        <v>1.0</v>
      </c>
      <c r="E249" s="145">
        <v>326.71</v>
      </c>
      <c r="F249" s="145">
        <v>326.71</v>
      </c>
      <c r="G249" s="145">
        <v>326.71</v>
      </c>
      <c r="H249" s="146" t="b">
        <v>0</v>
      </c>
      <c r="I249" s="143" t="s">
        <v>172</v>
      </c>
      <c r="J249" s="143" t="s">
        <v>512</v>
      </c>
      <c r="K249" s="146" t="b">
        <v>1</v>
      </c>
      <c r="L249" s="146" t="b">
        <v>1</v>
      </c>
    </row>
    <row r="250" ht="14.25" hidden="1" customHeight="1" outlineLevel="1">
      <c r="A250" s="131" t="s">
        <v>48</v>
      </c>
      <c r="B250" s="132">
        <v>45389.0</v>
      </c>
      <c r="C250" s="143" t="s">
        <v>61</v>
      </c>
      <c r="D250" s="144">
        <v>1.0</v>
      </c>
      <c r="E250" s="145">
        <v>200.0</v>
      </c>
      <c r="F250" s="145">
        <v>200.0</v>
      </c>
      <c r="G250" s="145">
        <v>200.0</v>
      </c>
      <c r="H250" s="146" t="b">
        <v>1</v>
      </c>
      <c r="I250" s="143" t="s">
        <v>490</v>
      </c>
      <c r="J250" s="143" t="s">
        <v>513</v>
      </c>
      <c r="K250" s="146"/>
      <c r="L250" s="146" t="b">
        <v>0</v>
      </c>
    </row>
    <row r="251" ht="14.25" hidden="1" customHeight="1" outlineLevel="1">
      <c r="A251" s="131" t="s">
        <v>48</v>
      </c>
      <c r="B251" s="132">
        <v>45389.0</v>
      </c>
      <c r="C251" s="143" t="s">
        <v>61</v>
      </c>
      <c r="D251" s="144">
        <v>1.0</v>
      </c>
      <c r="E251" s="145">
        <v>200.0</v>
      </c>
      <c r="F251" s="145">
        <v>200.0</v>
      </c>
      <c r="G251" s="145">
        <v>200.0</v>
      </c>
      <c r="H251" s="146" t="b">
        <v>1</v>
      </c>
      <c r="I251" s="143" t="s">
        <v>342</v>
      </c>
      <c r="J251" s="143" t="s">
        <v>514</v>
      </c>
      <c r="K251" s="146"/>
      <c r="L251" s="146" t="b">
        <v>0</v>
      </c>
    </row>
    <row r="252" ht="14.25" hidden="1" customHeight="1" outlineLevel="1">
      <c r="A252" s="131" t="s">
        <v>48</v>
      </c>
      <c r="B252" s="132">
        <v>45391.0</v>
      </c>
      <c r="C252" s="143" t="s">
        <v>61</v>
      </c>
      <c r="D252" s="144">
        <v>1.0</v>
      </c>
      <c r="E252" s="145">
        <v>150.0</v>
      </c>
      <c r="F252" s="145">
        <v>150.0</v>
      </c>
      <c r="G252" s="145">
        <v>150.0</v>
      </c>
      <c r="H252" s="146" t="b">
        <v>1</v>
      </c>
      <c r="I252" s="143" t="s">
        <v>502</v>
      </c>
      <c r="J252" s="143" t="s">
        <v>503</v>
      </c>
      <c r="K252" s="146"/>
      <c r="L252" s="146" t="b">
        <v>0</v>
      </c>
    </row>
    <row r="253" ht="14.25" hidden="1" customHeight="1" outlineLevel="1">
      <c r="A253" s="131" t="s">
        <v>48</v>
      </c>
      <c r="B253" s="132">
        <v>45392.0</v>
      </c>
      <c r="C253" s="143" t="s">
        <v>75</v>
      </c>
      <c r="D253" s="144">
        <v>1.0</v>
      </c>
      <c r="E253" s="145">
        <v>140.0</v>
      </c>
      <c r="F253" s="145">
        <v>140.0</v>
      </c>
      <c r="G253" s="145">
        <v>140.0</v>
      </c>
      <c r="H253" s="146" t="b">
        <v>0</v>
      </c>
      <c r="I253" s="143" t="s">
        <v>400</v>
      </c>
      <c r="J253" s="143" t="s">
        <v>515</v>
      </c>
      <c r="K253" s="146"/>
      <c r="L253" s="146" t="b">
        <v>1</v>
      </c>
    </row>
    <row r="254" ht="14.25" hidden="1" customHeight="1" outlineLevel="1">
      <c r="A254" s="131" t="s">
        <v>48</v>
      </c>
      <c r="B254" s="132">
        <v>45392.0</v>
      </c>
      <c r="C254" s="143" t="s">
        <v>93</v>
      </c>
      <c r="D254" s="144">
        <v>1.0</v>
      </c>
      <c r="E254" s="145">
        <v>185.0</v>
      </c>
      <c r="F254" s="145">
        <v>185.0</v>
      </c>
      <c r="G254" s="145">
        <v>185.0</v>
      </c>
      <c r="H254" s="146" t="b">
        <v>0</v>
      </c>
      <c r="I254" s="143" t="s">
        <v>337</v>
      </c>
      <c r="J254" s="143" t="s">
        <v>517</v>
      </c>
      <c r="K254" s="146" t="b">
        <v>1</v>
      </c>
      <c r="L254" s="146" t="b">
        <v>1</v>
      </c>
    </row>
    <row r="255" ht="14.25" hidden="1" customHeight="1" outlineLevel="1">
      <c r="A255" s="228" t="s">
        <v>48</v>
      </c>
      <c r="B255" s="229">
        <v>45392.0</v>
      </c>
      <c r="C255" s="157" t="s">
        <v>116</v>
      </c>
      <c r="D255" s="230">
        <v>6.0</v>
      </c>
      <c r="E255" s="231">
        <v>6.8</v>
      </c>
      <c r="F255" s="232">
        <f t="shared" ref="F255:F259" si="34">D255*E255</f>
        <v>40.8</v>
      </c>
      <c r="G255" s="233">
        <f>SUM(F255:F259)</f>
        <v>94.7</v>
      </c>
      <c r="H255" s="234" t="b">
        <v>0</v>
      </c>
      <c r="I255" s="164" t="s">
        <v>520</v>
      </c>
      <c r="J255" s="157" t="s">
        <v>521</v>
      </c>
      <c r="K255" s="193" t="b">
        <v>1</v>
      </c>
      <c r="L255" s="193" t="b">
        <v>1</v>
      </c>
    </row>
    <row r="256" ht="14.25" hidden="1" customHeight="1" outlineLevel="1">
      <c r="A256" s="228" t="s">
        <v>48</v>
      </c>
      <c r="B256" s="229">
        <v>45392.0</v>
      </c>
      <c r="C256" s="157" t="s">
        <v>231</v>
      </c>
      <c r="D256" s="230">
        <v>2.0</v>
      </c>
      <c r="E256" s="231">
        <v>18.7</v>
      </c>
      <c r="F256" s="232">
        <f t="shared" si="34"/>
        <v>37.4</v>
      </c>
      <c r="G256" s="194"/>
      <c r="H256" s="194"/>
      <c r="I256" s="194"/>
      <c r="J256" s="157" t="s">
        <v>522</v>
      </c>
      <c r="K256" s="194"/>
      <c r="L256" s="194"/>
    </row>
    <row r="257" ht="14.25" hidden="1" customHeight="1" outlineLevel="1">
      <c r="A257" s="228" t="s">
        <v>48</v>
      </c>
      <c r="B257" s="229">
        <v>45392.0</v>
      </c>
      <c r="C257" s="157" t="s">
        <v>231</v>
      </c>
      <c r="D257" s="230">
        <v>1.0</v>
      </c>
      <c r="E257" s="231">
        <v>1.5</v>
      </c>
      <c r="F257" s="232">
        <f t="shared" si="34"/>
        <v>1.5</v>
      </c>
      <c r="G257" s="194"/>
      <c r="H257" s="194"/>
      <c r="I257" s="194"/>
      <c r="J257" s="157" t="s">
        <v>523</v>
      </c>
      <c r="K257" s="194"/>
      <c r="L257" s="194"/>
    </row>
    <row r="258" ht="14.25" hidden="1" customHeight="1" outlineLevel="1">
      <c r="A258" s="228" t="s">
        <v>48</v>
      </c>
      <c r="B258" s="229">
        <v>45392.0</v>
      </c>
      <c r="C258" s="157" t="s">
        <v>231</v>
      </c>
      <c r="D258" s="230">
        <v>1.0</v>
      </c>
      <c r="E258" s="231">
        <v>11.0</v>
      </c>
      <c r="F258" s="232">
        <f t="shared" si="34"/>
        <v>11</v>
      </c>
      <c r="G258" s="194"/>
      <c r="H258" s="194"/>
      <c r="I258" s="194"/>
      <c r="J258" s="157" t="s">
        <v>524</v>
      </c>
      <c r="K258" s="194"/>
      <c r="L258" s="194"/>
    </row>
    <row r="259" ht="14.25" hidden="1" customHeight="1" outlineLevel="1">
      <c r="A259" s="131" t="s">
        <v>48</v>
      </c>
      <c r="B259" s="229">
        <v>45392.0</v>
      </c>
      <c r="C259" s="157" t="s">
        <v>231</v>
      </c>
      <c r="D259" s="230">
        <v>2.0</v>
      </c>
      <c r="E259" s="231">
        <v>2.0</v>
      </c>
      <c r="F259" s="232">
        <f t="shared" si="34"/>
        <v>4</v>
      </c>
      <c r="G259" s="74"/>
      <c r="H259" s="74"/>
      <c r="I259" s="74"/>
      <c r="J259" s="143" t="s">
        <v>525</v>
      </c>
      <c r="K259" s="74"/>
      <c r="L259" s="74"/>
    </row>
    <row r="260" ht="14.25" hidden="1" customHeight="1" outlineLevel="1">
      <c r="A260" s="131" t="s">
        <v>48</v>
      </c>
      <c r="B260" s="132">
        <v>45393.0</v>
      </c>
      <c r="C260" s="143" t="s">
        <v>231</v>
      </c>
      <c r="D260" s="144">
        <v>1.0</v>
      </c>
      <c r="E260" s="145">
        <v>13.5</v>
      </c>
      <c r="F260" s="145">
        <v>13.5</v>
      </c>
      <c r="G260" s="145">
        <v>13.5</v>
      </c>
      <c r="H260" s="146" t="b">
        <v>0</v>
      </c>
      <c r="I260" s="143" t="s">
        <v>59</v>
      </c>
      <c r="J260" s="143" t="s">
        <v>526</v>
      </c>
      <c r="K260" s="146" t="b">
        <v>1</v>
      </c>
      <c r="L260" s="146" t="b">
        <v>1</v>
      </c>
    </row>
    <row r="261" ht="14.25" hidden="1" customHeight="1" outlineLevel="1">
      <c r="A261" s="131" t="s">
        <v>48</v>
      </c>
      <c r="B261" s="132">
        <v>45394.0</v>
      </c>
      <c r="C261" s="143" t="s">
        <v>61</v>
      </c>
      <c r="D261" s="144">
        <v>1.0</v>
      </c>
      <c r="E261" s="145">
        <v>150.0</v>
      </c>
      <c r="F261" s="145">
        <v>150.0</v>
      </c>
      <c r="G261" s="145">
        <v>150.0</v>
      </c>
      <c r="H261" s="146" t="b">
        <v>1</v>
      </c>
      <c r="I261" s="143" t="s">
        <v>236</v>
      </c>
      <c r="J261" s="143" t="s">
        <v>527</v>
      </c>
      <c r="K261" s="146"/>
      <c r="L261" s="146" t="b">
        <v>1</v>
      </c>
    </row>
    <row r="262" ht="14.25" hidden="1" customHeight="1" outlineLevel="1">
      <c r="A262" s="131" t="s">
        <v>48</v>
      </c>
      <c r="B262" s="132">
        <v>45394.0</v>
      </c>
      <c r="C262" s="143" t="s">
        <v>80</v>
      </c>
      <c r="D262" s="144">
        <v>1.0</v>
      </c>
      <c r="E262" s="145">
        <v>14.0</v>
      </c>
      <c r="F262" s="145">
        <v>28.0</v>
      </c>
      <c r="G262" s="145">
        <v>28.0</v>
      </c>
      <c r="H262" s="146" t="b">
        <v>0</v>
      </c>
      <c r="I262" s="143" t="s">
        <v>481</v>
      </c>
      <c r="J262" s="143" t="s">
        <v>452</v>
      </c>
      <c r="K262" s="146" t="b">
        <v>1</v>
      </c>
      <c r="L262" s="146" t="b">
        <v>1</v>
      </c>
    </row>
    <row r="263" ht="14.25" hidden="1" customHeight="1" outlineLevel="1">
      <c r="A263" s="131" t="s">
        <v>48</v>
      </c>
      <c r="B263" s="132">
        <v>45396.0</v>
      </c>
      <c r="C263" s="143" t="s">
        <v>61</v>
      </c>
      <c r="D263" s="144">
        <v>1.0</v>
      </c>
      <c r="E263" s="145">
        <v>200.0</v>
      </c>
      <c r="F263" s="145">
        <v>200.0</v>
      </c>
      <c r="G263" s="145">
        <v>200.0</v>
      </c>
      <c r="H263" s="146" t="b">
        <v>1</v>
      </c>
      <c r="I263" s="143" t="s">
        <v>490</v>
      </c>
      <c r="J263" s="143" t="s">
        <v>513</v>
      </c>
      <c r="K263" s="146"/>
      <c r="L263" s="146" t="b">
        <v>1</v>
      </c>
    </row>
    <row r="264" ht="14.25" hidden="1" customHeight="1" outlineLevel="1">
      <c r="A264" s="131" t="s">
        <v>48</v>
      </c>
      <c r="B264" s="132">
        <v>45398.0</v>
      </c>
      <c r="C264" s="143" t="s">
        <v>61</v>
      </c>
      <c r="D264" s="144">
        <v>1.0</v>
      </c>
      <c r="E264" s="145">
        <v>150.0</v>
      </c>
      <c r="F264" s="145">
        <v>150.0</v>
      </c>
      <c r="G264" s="145">
        <v>150.0</v>
      </c>
      <c r="H264" s="146" t="b">
        <v>1</v>
      </c>
      <c r="I264" s="143" t="s">
        <v>236</v>
      </c>
      <c r="J264" s="143" t="s">
        <v>503</v>
      </c>
      <c r="K264" s="146"/>
      <c r="L264" s="146" t="b">
        <v>1</v>
      </c>
    </row>
    <row r="265" ht="14.25" hidden="1" customHeight="1" outlineLevel="1">
      <c r="A265" s="131" t="s">
        <v>48</v>
      </c>
      <c r="B265" s="132">
        <v>45398.0</v>
      </c>
      <c r="C265" s="143" t="s">
        <v>112</v>
      </c>
      <c r="D265" s="144">
        <v>1.0</v>
      </c>
      <c r="E265" s="145">
        <v>26.47</v>
      </c>
      <c r="F265" s="145">
        <v>26.47</v>
      </c>
      <c r="G265" s="145">
        <v>26.47</v>
      </c>
      <c r="H265" s="146" t="b">
        <v>0</v>
      </c>
      <c r="I265" s="143" t="s">
        <v>117</v>
      </c>
      <c r="J265" s="143" t="s">
        <v>529</v>
      </c>
      <c r="K265" s="146" t="b">
        <v>1</v>
      </c>
      <c r="L265" s="146" t="b">
        <v>1</v>
      </c>
    </row>
    <row r="266" ht="14.25" hidden="1" customHeight="1" outlineLevel="1">
      <c r="A266" s="131" t="s">
        <v>48</v>
      </c>
      <c r="B266" s="132">
        <v>45398.0</v>
      </c>
      <c r="C266" s="143" t="s">
        <v>171</v>
      </c>
      <c r="D266" s="144">
        <v>1.0</v>
      </c>
      <c r="E266" s="145">
        <v>320.9</v>
      </c>
      <c r="F266" s="145">
        <v>320.9</v>
      </c>
      <c r="G266" s="145">
        <v>320.9</v>
      </c>
      <c r="H266" s="146" t="b">
        <v>0</v>
      </c>
      <c r="I266" s="143" t="s">
        <v>531</v>
      </c>
      <c r="J266" s="143" t="s">
        <v>532</v>
      </c>
      <c r="K266" s="146" t="b">
        <v>1</v>
      </c>
      <c r="L266" s="146" t="b">
        <v>1</v>
      </c>
    </row>
    <row r="267" ht="14.25" hidden="1" customHeight="1" outlineLevel="1">
      <c r="A267" s="131" t="s">
        <v>48</v>
      </c>
      <c r="B267" s="132">
        <v>45399.0</v>
      </c>
      <c r="C267" s="143" t="s">
        <v>171</v>
      </c>
      <c r="D267" s="144">
        <v>1.0</v>
      </c>
      <c r="E267" s="145">
        <v>40.0</v>
      </c>
      <c r="F267" s="145">
        <v>40.0</v>
      </c>
      <c r="G267" s="145">
        <v>40.0</v>
      </c>
      <c r="H267" s="146" t="b">
        <v>0</v>
      </c>
      <c r="I267" s="143" t="s">
        <v>531</v>
      </c>
      <c r="J267" s="143" t="s">
        <v>534</v>
      </c>
      <c r="K267" s="146"/>
      <c r="L267" s="146" t="b">
        <v>1</v>
      </c>
    </row>
    <row r="268" ht="14.25" hidden="1" customHeight="1" outlineLevel="1">
      <c r="A268" s="131" t="s">
        <v>48</v>
      </c>
      <c r="B268" s="132">
        <v>45401.0</v>
      </c>
      <c r="C268" s="143" t="s">
        <v>61</v>
      </c>
      <c r="D268" s="144">
        <v>1.0</v>
      </c>
      <c r="E268" s="145">
        <v>150.0</v>
      </c>
      <c r="F268" s="145">
        <v>150.0</v>
      </c>
      <c r="G268" s="145">
        <v>150.0</v>
      </c>
      <c r="H268" s="146" t="b">
        <v>1</v>
      </c>
      <c r="I268" s="143" t="s">
        <v>236</v>
      </c>
      <c r="J268" s="143" t="s">
        <v>535</v>
      </c>
      <c r="K268" s="146"/>
      <c r="L268" s="146" t="b">
        <v>1</v>
      </c>
    </row>
    <row r="269" ht="14.25" hidden="1" customHeight="1" outlineLevel="1">
      <c r="A269" s="131" t="s">
        <v>48</v>
      </c>
      <c r="B269" s="132">
        <v>45402.0</v>
      </c>
      <c r="C269" s="143" t="s">
        <v>171</v>
      </c>
      <c r="D269" s="144">
        <v>1.0</v>
      </c>
      <c r="E269" s="145">
        <v>148.0</v>
      </c>
      <c r="F269" s="145">
        <v>148.0</v>
      </c>
      <c r="G269" s="145">
        <v>148.0</v>
      </c>
      <c r="H269" s="146" t="b">
        <v>0</v>
      </c>
      <c r="I269" s="143" t="s">
        <v>536</v>
      </c>
      <c r="J269" s="143" t="s">
        <v>537</v>
      </c>
      <c r="K269" s="146" t="b">
        <v>1</v>
      </c>
      <c r="L269" s="146" t="b">
        <v>1</v>
      </c>
    </row>
    <row r="270" ht="14.25" hidden="1" customHeight="1" outlineLevel="1">
      <c r="A270" s="131" t="s">
        <v>48</v>
      </c>
      <c r="B270" s="132">
        <v>45402.0</v>
      </c>
      <c r="C270" s="143" t="s">
        <v>171</v>
      </c>
      <c r="D270" s="144">
        <v>1.0</v>
      </c>
      <c r="E270" s="145">
        <v>160.0</v>
      </c>
      <c r="F270" s="145">
        <v>160.0</v>
      </c>
      <c r="G270" s="145">
        <v>160.0</v>
      </c>
      <c r="H270" s="146" t="b">
        <v>0</v>
      </c>
      <c r="I270" s="143" t="s">
        <v>538</v>
      </c>
      <c r="J270" s="143" t="s">
        <v>539</v>
      </c>
      <c r="K270" s="146" t="b">
        <v>1</v>
      </c>
      <c r="L270" s="146" t="b">
        <v>1</v>
      </c>
    </row>
    <row r="271" ht="14.25" hidden="1" customHeight="1" outlineLevel="1">
      <c r="A271" s="131" t="s">
        <v>48</v>
      </c>
      <c r="B271" s="132">
        <v>45402.0</v>
      </c>
      <c r="C271" s="143" t="s">
        <v>97</v>
      </c>
      <c r="D271" s="144">
        <v>1.0</v>
      </c>
      <c r="E271" s="145">
        <v>14.0</v>
      </c>
      <c r="F271" s="145">
        <v>14.0</v>
      </c>
      <c r="G271" s="236">
        <v>14.0</v>
      </c>
      <c r="H271" s="146" t="b">
        <v>0</v>
      </c>
      <c r="I271" s="143" t="s">
        <v>388</v>
      </c>
      <c r="J271" s="143" t="s">
        <v>540</v>
      </c>
      <c r="K271" s="146" t="b">
        <v>0</v>
      </c>
      <c r="L271" s="146" t="b">
        <v>0</v>
      </c>
    </row>
    <row r="272" ht="14.25" hidden="1" customHeight="1" outlineLevel="1">
      <c r="A272" s="131" t="s">
        <v>48</v>
      </c>
      <c r="B272" s="132">
        <v>45403.0</v>
      </c>
      <c r="C272" s="143" t="s">
        <v>61</v>
      </c>
      <c r="D272" s="144">
        <v>1.0</v>
      </c>
      <c r="E272" s="145">
        <v>200.0</v>
      </c>
      <c r="F272" s="145">
        <v>200.0</v>
      </c>
      <c r="G272" s="145">
        <v>200.0</v>
      </c>
      <c r="H272" s="146" t="b">
        <v>1</v>
      </c>
      <c r="I272" s="143" t="s">
        <v>490</v>
      </c>
      <c r="J272" s="143" t="s">
        <v>513</v>
      </c>
      <c r="K272" s="146"/>
      <c r="L272" s="146" t="b">
        <v>1</v>
      </c>
    </row>
    <row r="273" ht="14.25" hidden="1" customHeight="1" outlineLevel="1">
      <c r="A273" s="131" t="s">
        <v>48</v>
      </c>
      <c r="B273" s="132">
        <v>45403.0</v>
      </c>
      <c r="C273" s="143" t="s">
        <v>61</v>
      </c>
      <c r="D273" s="144">
        <v>1.0</v>
      </c>
      <c r="E273" s="145">
        <v>200.0</v>
      </c>
      <c r="F273" s="145">
        <v>200.0</v>
      </c>
      <c r="G273" s="145">
        <v>200.0</v>
      </c>
      <c r="H273" s="146" t="b">
        <v>1</v>
      </c>
      <c r="I273" s="143" t="s">
        <v>236</v>
      </c>
      <c r="J273" s="143" t="s">
        <v>514</v>
      </c>
      <c r="K273" s="146"/>
      <c r="L273" s="146" t="b">
        <v>1</v>
      </c>
    </row>
    <row r="274" ht="14.25" hidden="1" customHeight="1" outlineLevel="1">
      <c r="A274" s="131" t="s">
        <v>48</v>
      </c>
      <c r="B274" s="132">
        <v>45404.0</v>
      </c>
      <c r="C274" s="143" t="s">
        <v>61</v>
      </c>
      <c r="D274" s="144">
        <v>1.0</v>
      </c>
      <c r="E274" s="145">
        <v>150.0</v>
      </c>
      <c r="F274" s="145">
        <v>150.0</v>
      </c>
      <c r="G274" s="172">
        <v>150.0</v>
      </c>
      <c r="H274" s="146" t="b">
        <v>1</v>
      </c>
      <c r="I274" s="143" t="s">
        <v>542</v>
      </c>
      <c r="J274" s="143" t="s">
        <v>544</v>
      </c>
      <c r="K274" s="146"/>
      <c r="L274" s="146" t="b">
        <v>1</v>
      </c>
    </row>
    <row r="275" ht="14.25" hidden="1" customHeight="1" outlineLevel="1">
      <c r="A275" s="131" t="s">
        <v>48</v>
      </c>
      <c r="B275" s="132">
        <v>45405.0</v>
      </c>
      <c r="C275" s="143" t="s">
        <v>61</v>
      </c>
      <c r="D275" s="144">
        <v>1.0</v>
      </c>
      <c r="E275" s="145">
        <v>150.0</v>
      </c>
      <c r="F275" s="145">
        <v>150.0</v>
      </c>
      <c r="G275" s="145">
        <v>150.0</v>
      </c>
      <c r="H275" s="146" t="b">
        <v>1</v>
      </c>
      <c r="I275" s="143" t="s">
        <v>236</v>
      </c>
      <c r="J275" s="143" t="s">
        <v>503</v>
      </c>
      <c r="K275" s="146"/>
      <c r="L275" s="146" t="b">
        <v>1</v>
      </c>
    </row>
    <row r="276" ht="14.25" hidden="1" customHeight="1" outlineLevel="1">
      <c r="A276" s="131" t="s">
        <v>48</v>
      </c>
      <c r="B276" s="132">
        <v>45408.0</v>
      </c>
      <c r="C276" s="143" t="s">
        <v>61</v>
      </c>
      <c r="D276" s="144">
        <v>1.0</v>
      </c>
      <c r="E276" s="145">
        <v>150.0</v>
      </c>
      <c r="F276" s="145">
        <v>150.0</v>
      </c>
      <c r="G276" s="145">
        <v>150.0</v>
      </c>
      <c r="H276" s="146" t="b">
        <v>1</v>
      </c>
      <c r="I276" s="143" t="s">
        <v>236</v>
      </c>
      <c r="J276" s="143" t="s">
        <v>527</v>
      </c>
      <c r="K276" s="146"/>
      <c r="L276" s="146" t="b">
        <v>1</v>
      </c>
    </row>
    <row r="277" ht="14.25" hidden="1" customHeight="1" outlineLevel="1">
      <c r="A277" s="131" t="s">
        <v>48</v>
      </c>
      <c r="B277" s="132">
        <v>45408.0</v>
      </c>
      <c r="C277" s="143" t="s">
        <v>93</v>
      </c>
      <c r="D277" s="144">
        <v>1.0</v>
      </c>
      <c r="E277" s="145">
        <v>280.0</v>
      </c>
      <c r="F277" s="145">
        <v>280.0</v>
      </c>
      <c r="G277" s="145">
        <v>280.0</v>
      </c>
      <c r="H277" s="146" t="b">
        <v>0</v>
      </c>
      <c r="I277" s="143" t="s">
        <v>337</v>
      </c>
      <c r="J277" s="143"/>
      <c r="K277" s="146" t="b">
        <v>1</v>
      </c>
      <c r="L277" s="146" t="b">
        <v>1</v>
      </c>
    </row>
    <row r="278" ht="14.25" hidden="1" customHeight="1" outlineLevel="1">
      <c r="A278" s="131" t="s">
        <v>48</v>
      </c>
      <c r="B278" s="132">
        <v>45409.0</v>
      </c>
      <c r="C278" s="143" t="s">
        <v>75</v>
      </c>
      <c r="D278" s="144">
        <v>3.0</v>
      </c>
      <c r="E278" s="145">
        <v>35.0</v>
      </c>
      <c r="F278" s="145">
        <v>105.0</v>
      </c>
      <c r="G278" s="145">
        <v>105.0</v>
      </c>
      <c r="H278" s="146" t="b">
        <v>0</v>
      </c>
      <c r="I278" s="143" t="s">
        <v>400</v>
      </c>
      <c r="J278" s="143" t="s">
        <v>546</v>
      </c>
      <c r="K278" s="146"/>
      <c r="L278" s="146" t="b">
        <v>1</v>
      </c>
    </row>
    <row r="279" ht="14.25" hidden="1" customHeight="1" outlineLevel="1">
      <c r="A279" s="131" t="s">
        <v>48</v>
      </c>
      <c r="B279" s="132">
        <v>45409.0</v>
      </c>
      <c r="C279" s="143" t="s">
        <v>231</v>
      </c>
      <c r="D279" s="144">
        <v>1.0</v>
      </c>
      <c r="E279" s="145">
        <v>43.78</v>
      </c>
      <c r="F279" s="145">
        <v>43.78</v>
      </c>
      <c r="G279" s="145">
        <v>43.78</v>
      </c>
      <c r="H279" s="146" t="b">
        <v>0</v>
      </c>
      <c r="I279" s="143" t="s">
        <v>393</v>
      </c>
      <c r="J279" s="143" t="s">
        <v>547</v>
      </c>
      <c r="K279" s="146" t="b">
        <v>1</v>
      </c>
      <c r="L279" s="146" t="b">
        <v>1</v>
      </c>
    </row>
    <row r="280" ht="14.25" hidden="1" customHeight="1" outlineLevel="1">
      <c r="A280" s="131" t="s">
        <v>48</v>
      </c>
      <c r="B280" s="132">
        <v>45409.0</v>
      </c>
      <c r="C280" s="143" t="s">
        <v>231</v>
      </c>
      <c r="D280" s="144">
        <v>1.0</v>
      </c>
      <c r="E280" s="145">
        <v>360.0</v>
      </c>
      <c r="F280" s="145">
        <v>360.0</v>
      </c>
      <c r="G280" s="145">
        <v>360.0</v>
      </c>
      <c r="H280" s="146" t="b">
        <v>0</v>
      </c>
      <c r="I280" s="143" t="s">
        <v>538</v>
      </c>
      <c r="J280" s="143" t="s">
        <v>549</v>
      </c>
      <c r="K280" s="146" t="b">
        <v>1</v>
      </c>
      <c r="L280" s="146" t="b">
        <v>1</v>
      </c>
    </row>
    <row r="281" ht="14.25" hidden="1" customHeight="1" outlineLevel="1">
      <c r="A281" s="131" t="s">
        <v>48</v>
      </c>
      <c r="B281" s="132">
        <v>45410.0</v>
      </c>
      <c r="C281" s="143" t="s">
        <v>61</v>
      </c>
      <c r="D281" s="144">
        <v>1.0</v>
      </c>
      <c r="E281" s="145">
        <v>200.0</v>
      </c>
      <c r="F281" s="145">
        <v>200.0</v>
      </c>
      <c r="G281" s="145">
        <v>200.0</v>
      </c>
      <c r="H281" s="146" t="b">
        <v>1</v>
      </c>
      <c r="I281" s="143" t="s">
        <v>490</v>
      </c>
      <c r="J281" s="143" t="s">
        <v>513</v>
      </c>
      <c r="K281" s="146"/>
      <c r="L281" s="146" t="b">
        <v>1</v>
      </c>
    </row>
    <row r="282" ht="14.25" hidden="1" customHeight="1" outlineLevel="1">
      <c r="A282" s="131" t="s">
        <v>48</v>
      </c>
      <c r="B282" s="132">
        <v>45410.0</v>
      </c>
      <c r="C282" s="143" t="s">
        <v>61</v>
      </c>
      <c r="D282" s="144">
        <v>1.0</v>
      </c>
      <c r="E282" s="145">
        <v>200.0</v>
      </c>
      <c r="F282" s="145">
        <v>200.0</v>
      </c>
      <c r="G282" s="145">
        <v>200.0</v>
      </c>
      <c r="H282" s="146" t="b">
        <v>1</v>
      </c>
      <c r="I282" s="143" t="s">
        <v>236</v>
      </c>
      <c r="J282" s="143" t="s">
        <v>551</v>
      </c>
      <c r="K282" s="146"/>
      <c r="L282" s="146" t="b">
        <v>1</v>
      </c>
    </row>
    <row r="283" ht="14.25" hidden="1" customHeight="1" outlineLevel="1">
      <c r="A283" s="131" t="s">
        <v>48</v>
      </c>
      <c r="B283" s="132">
        <v>45411.0</v>
      </c>
      <c r="C283" s="143" t="s">
        <v>61</v>
      </c>
      <c r="D283" s="144">
        <v>1.0</v>
      </c>
      <c r="E283" s="145">
        <v>150.0</v>
      </c>
      <c r="F283" s="145">
        <v>150.0</v>
      </c>
      <c r="G283" s="145">
        <v>150.0</v>
      </c>
      <c r="H283" s="146" t="b">
        <v>1</v>
      </c>
      <c r="I283" s="143" t="s">
        <v>342</v>
      </c>
      <c r="J283" s="143" t="s">
        <v>552</v>
      </c>
      <c r="K283" s="146"/>
      <c r="L283" s="146" t="b">
        <v>1</v>
      </c>
    </row>
    <row r="284" ht="14.25" hidden="1" customHeight="1" outlineLevel="1">
      <c r="A284" s="131" t="s">
        <v>48</v>
      </c>
      <c r="B284" s="132">
        <v>45411.0</v>
      </c>
      <c r="C284" s="143" t="s">
        <v>61</v>
      </c>
      <c r="D284" s="144">
        <v>1.0</v>
      </c>
      <c r="E284" s="145">
        <v>3850.0</v>
      </c>
      <c r="F284" s="145">
        <v>3850.0</v>
      </c>
      <c r="G284" s="145">
        <v>3850.0</v>
      </c>
      <c r="H284" s="146" t="b">
        <v>1</v>
      </c>
      <c r="I284" s="143" t="s">
        <v>119</v>
      </c>
      <c r="J284" s="143" t="s">
        <v>553</v>
      </c>
      <c r="K284" s="146"/>
      <c r="L284" s="146" t="b">
        <v>1</v>
      </c>
    </row>
    <row r="285" ht="14.25" hidden="1" customHeight="1" outlineLevel="1">
      <c r="A285" s="131" t="s">
        <v>48</v>
      </c>
      <c r="B285" s="132">
        <v>45411.0</v>
      </c>
      <c r="C285" s="143" t="s">
        <v>80</v>
      </c>
      <c r="D285" s="144">
        <v>2.0</v>
      </c>
      <c r="E285" s="145">
        <v>14.0</v>
      </c>
      <c r="F285" s="145">
        <f>D285*E285</f>
        <v>28</v>
      </c>
      <c r="G285" s="145">
        <f>F285</f>
        <v>28</v>
      </c>
      <c r="H285" s="146" t="b">
        <v>0</v>
      </c>
      <c r="I285" s="143" t="s">
        <v>481</v>
      </c>
      <c r="J285" s="143" t="s">
        <v>557</v>
      </c>
      <c r="K285" s="146" t="b">
        <v>1</v>
      </c>
      <c r="L285" s="146" t="b">
        <v>1</v>
      </c>
    </row>
    <row r="286" ht="14.25" hidden="1" customHeight="1" outlineLevel="1">
      <c r="A286" s="131" t="s">
        <v>48</v>
      </c>
      <c r="B286" s="132">
        <v>45411.0</v>
      </c>
      <c r="C286" s="143" t="s">
        <v>97</v>
      </c>
      <c r="D286" s="144">
        <v>1.0</v>
      </c>
      <c r="E286" s="145">
        <v>30.0</v>
      </c>
      <c r="F286" s="145">
        <v>30.0</v>
      </c>
      <c r="G286" s="145">
        <v>30.0</v>
      </c>
      <c r="H286" s="146" t="b">
        <v>0</v>
      </c>
      <c r="I286" s="143" t="s">
        <v>558</v>
      </c>
      <c r="J286" s="143" t="s">
        <v>559</v>
      </c>
      <c r="K286" s="146"/>
      <c r="L286" s="146" t="b">
        <v>1</v>
      </c>
    </row>
    <row r="287" ht="14.25" hidden="1" customHeight="1" outlineLevel="1">
      <c r="A287" s="131" t="s">
        <v>48</v>
      </c>
      <c r="B287" s="132">
        <v>45412.0</v>
      </c>
      <c r="C287" s="143" t="s">
        <v>61</v>
      </c>
      <c r="D287" s="144">
        <v>1.0</v>
      </c>
      <c r="E287" s="145">
        <v>150.0</v>
      </c>
      <c r="F287" s="145">
        <v>150.0</v>
      </c>
      <c r="G287" s="145">
        <v>150.0</v>
      </c>
      <c r="H287" s="146" t="b">
        <v>1</v>
      </c>
      <c r="I287" s="143" t="s">
        <v>236</v>
      </c>
      <c r="J287" s="143" t="s">
        <v>503</v>
      </c>
      <c r="K287" s="146"/>
      <c r="L287" s="146" t="b">
        <v>0</v>
      </c>
    </row>
    <row r="288" ht="14.25" customHeight="1">
      <c r="A288" s="180" t="s">
        <v>192</v>
      </c>
      <c r="B288" s="27"/>
      <c r="C288" s="27"/>
      <c r="D288" s="27"/>
      <c r="E288" s="28"/>
      <c r="F288" s="181">
        <f t="shared" ref="F288:G288" si="35">SUM(F241:F287)</f>
        <v>9702.14</v>
      </c>
      <c r="G288" s="181">
        <f t="shared" si="35"/>
        <v>9702.14</v>
      </c>
      <c r="H288" s="156"/>
      <c r="I288" s="107"/>
      <c r="J288" s="112"/>
    </row>
    <row r="289" ht="14.25" customHeight="1" collapsed="1">
      <c r="A289" s="21" t="s">
        <v>564</v>
      </c>
      <c r="B289" s="22"/>
      <c r="C289" s="22"/>
      <c r="D289" s="22"/>
      <c r="E289" s="22"/>
      <c r="F289" s="22"/>
      <c r="G289" s="22"/>
      <c r="H289" s="22"/>
      <c r="I289" s="22"/>
      <c r="J289" s="23"/>
      <c r="K289" s="238"/>
      <c r="L289" s="238"/>
    </row>
    <row r="290" ht="14.25" hidden="1" customHeight="1" outlineLevel="1">
      <c r="A290" s="131" t="s">
        <v>47</v>
      </c>
      <c r="B290" s="132">
        <v>45414.0</v>
      </c>
      <c r="C290" s="41" t="s">
        <v>315</v>
      </c>
      <c r="D290" s="182">
        <v>2.0</v>
      </c>
      <c r="E290" s="183">
        <v>45.99</v>
      </c>
      <c r="F290" s="183">
        <f t="shared" ref="F290:F297" si="36">D290*E290</f>
        <v>91.98</v>
      </c>
      <c r="G290" s="183">
        <f>F290</f>
        <v>91.98</v>
      </c>
      <c r="H290" s="8" t="b">
        <v>0</v>
      </c>
      <c r="I290" s="41" t="s">
        <v>570</v>
      </c>
      <c r="J290" s="41" t="s">
        <v>333</v>
      </c>
      <c r="K290" s="8" t="b">
        <v>1</v>
      </c>
      <c r="L290" s="8" t="b">
        <v>1</v>
      </c>
    </row>
    <row r="291" ht="14.25" hidden="1" customHeight="1" outlineLevel="1">
      <c r="A291" s="131" t="s">
        <v>47</v>
      </c>
      <c r="B291" s="132">
        <v>45414.0</v>
      </c>
      <c r="C291" s="41" t="s">
        <v>55</v>
      </c>
      <c r="D291" s="182">
        <v>8.0</v>
      </c>
      <c r="E291" s="183">
        <v>18.9</v>
      </c>
      <c r="F291" s="183">
        <f t="shared" si="36"/>
        <v>151.2</v>
      </c>
      <c r="G291" s="196">
        <f>F291+F292</f>
        <v>271.4</v>
      </c>
      <c r="H291" s="239" t="b">
        <v>0</v>
      </c>
      <c r="I291" s="54" t="s">
        <v>254</v>
      </c>
      <c r="J291" s="41" t="s">
        <v>571</v>
      </c>
      <c r="K291" s="239" t="b">
        <v>1</v>
      </c>
      <c r="L291" s="239" t="b">
        <v>1</v>
      </c>
    </row>
    <row r="292" ht="14.25" hidden="1" customHeight="1" outlineLevel="1">
      <c r="A292" s="131" t="s">
        <v>47</v>
      </c>
      <c r="B292" s="132">
        <v>45414.0</v>
      </c>
      <c r="C292" s="41" t="s">
        <v>55</v>
      </c>
      <c r="D292" s="182">
        <v>2.0</v>
      </c>
      <c r="E292" s="183">
        <v>60.1</v>
      </c>
      <c r="F292" s="183">
        <f t="shared" si="36"/>
        <v>120.2</v>
      </c>
      <c r="G292" s="10"/>
      <c r="H292" s="10"/>
      <c r="I292" s="10"/>
      <c r="J292" s="41" t="s">
        <v>572</v>
      </c>
      <c r="K292" s="10"/>
      <c r="L292" s="10"/>
    </row>
    <row r="293" ht="14.25" hidden="1" customHeight="1" outlineLevel="1">
      <c r="A293" s="131" t="s">
        <v>47</v>
      </c>
      <c r="B293" s="132">
        <v>45414.0</v>
      </c>
      <c r="C293" s="41" t="s">
        <v>112</v>
      </c>
      <c r="D293" s="182">
        <v>3.0</v>
      </c>
      <c r="E293" s="183">
        <v>3.0</v>
      </c>
      <c r="F293" s="183">
        <f t="shared" si="36"/>
        <v>9</v>
      </c>
      <c r="G293" s="196">
        <f>F293+F294+F295</f>
        <v>33.4</v>
      </c>
      <c r="H293" s="239" t="b">
        <v>0</v>
      </c>
      <c r="I293" s="54" t="s">
        <v>574</v>
      </c>
      <c r="J293" s="41" t="s">
        <v>575</v>
      </c>
      <c r="K293" s="239" t="b">
        <v>1</v>
      </c>
      <c r="L293" s="239" t="b">
        <v>1</v>
      </c>
    </row>
    <row r="294" ht="14.25" hidden="1" customHeight="1" outlineLevel="1">
      <c r="A294" s="131" t="s">
        <v>47</v>
      </c>
      <c r="B294" s="132">
        <v>45414.0</v>
      </c>
      <c r="C294" s="41" t="s">
        <v>112</v>
      </c>
      <c r="D294" s="182">
        <v>2.0</v>
      </c>
      <c r="E294" s="183">
        <v>7.2</v>
      </c>
      <c r="F294" s="183">
        <f t="shared" si="36"/>
        <v>14.4</v>
      </c>
      <c r="G294" s="58"/>
      <c r="H294" s="58"/>
      <c r="I294" s="58"/>
      <c r="J294" s="41" t="s">
        <v>576</v>
      </c>
      <c r="K294" s="58"/>
      <c r="L294" s="58"/>
    </row>
    <row r="295" ht="14.25" hidden="1" customHeight="1" outlineLevel="1">
      <c r="A295" s="131" t="s">
        <v>47</v>
      </c>
      <c r="B295" s="132">
        <v>45414.0</v>
      </c>
      <c r="C295" s="41" t="s">
        <v>97</v>
      </c>
      <c r="D295" s="182">
        <v>1.0</v>
      </c>
      <c r="E295" s="183">
        <v>10.0</v>
      </c>
      <c r="F295" s="183">
        <f t="shared" si="36"/>
        <v>10</v>
      </c>
      <c r="G295" s="10"/>
      <c r="H295" s="10"/>
      <c r="I295" s="10"/>
      <c r="J295" s="143" t="s">
        <v>578</v>
      </c>
      <c r="K295" s="10"/>
      <c r="L295" s="10"/>
    </row>
    <row r="296" ht="14.25" hidden="1" customHeight="1" outlineLevel="1">
      <c r="A296" s="131" t="s">
        <v>47</v>
      </c>
      <c r="B296" s="132">
        <v>45414.0</v>
      </c>
      <c r="C296" s="41" t="s">
        <v>75</v>
      </c>
      <c r="D296" s="182">
        <v>1.0</v>
      </c>
      <c r="E296" s="183">
        <v>24.0</v>
      </c>
      <c r="F296" s="183">
        <f t="shared" si="36"/>
        <v>24</v>
      </c>
      <c r="G296" s="196">
        <f>F296+F297</f>
        <v>48</v>
      </c>
      <c r="H296" s="239" t="b">
        <v>0</v>
      </c>
      <c r="I296" s="54" t="s">
        <v>155</v>
      </c>
      <c r="J296" s="41" t="s">
        <v>581</v>
      </c>
      <c r="K296" s="239" t="b">
        <v>1</v>
      </c>
      <c r="L296" s="239" t="b">
        <v>1</v>
      </c>
    </row>
    <row r="297" ht="14.25" hidden="1" customHeight="1" outlineLevel="1">
      <c r="A297" s="131" t="s">
        <v>47</v>
      </c>
      <c r="B297" s="132">
        <v>45414.0</v>
      </c>
      <c r="C297" s="41" t="s">
        <v>75</v>
      </c>
      <c r="D297" s="182">
        <v>1.0</v>
      </c>
      <c r="E297" s="183">
        <v>24.0</v>
      </c>
      <c r="F297" s="183">
        <f t="shared" si="36"/>
        <v>24</v>
      </c>
      <c r="G297" s="10"/>
      <c r="H297" s="10"/>
      <c r="I297" s="10"/>
      <c r="J297" s="41" t="s">
        <v>583</v>
      </c>
      <c r="K297" s="10"/>
      <c r="L297" s="10"/>
    </row>
    <row r="298" ht="14.25" hidden="1" customHeight="1" outlineLevel="1">
      <c r="A298" s="131" t="s">
        <v>47</v>
      </c>
      <c r="B298" s="132">
        <v>45415.0</v>
      </c>
      <c r="C298" s="143" t="s">
        <v>171</v>
      </c>
      <c r="D298" s="144">
        <v>1.0</v>
      </c>
      <c r="E298" s="145">
        <v>209.0</v>
      </c>
      <c r="F298" s="145">
        <v>209.0</v>
      </c>
      <c r="G298" s="145">
        <v>209.0</v>
      </c>
      <c r="H298" s="146" t="b">
        <v>0</v>
      </c>
      <c r="I298" s="143" t="s">
        <v>172</v>
      </c>
      <c r="J298" s="143" t="s">
        <v>585</v>
      </c>
      <c r="K298" s="8" t="b">
        <v>1</v>
      </c>
      <c r="L298" s="8" t="b">
        <v>1</v>
      </c>
    </row>
    <row r="299" ht="14.25" hidden="1" customHeight="1" outlineLevel="1">
      <c r="A299" s="131" t="s">
        <v>47</v>
      </c>
      <c r="B299" s="132">
        <v>45415.0</v>
      </c>
      <c r="C299" s="143" t="s">
        <v>61</v>
      </c>
      <c r="D299" s="144">
        <v>1.0</v>
      </c>
      <c r="E299" s="145">
        <v>150.0</v>
      </c>
      <c r="F299" s="145">
        <v>150.0</v>
      </c>
      <c r="G299" s="145">
        <v>150.0</v>
      </c>
      <c r="H299" s="146" t="b">
        <v>1</v>
      </c>
      <c r="I299" s="143" t="s">
        <v>236</v>
      </c>
      <c r="J299" s="143" t="s">
        <v>527</v>
      </c>
      <c r="K299" s="8"/>
      <c r="L299" s="8" t="b">
        <v>1</v>
      </c>
    </row>
    <row r="300" ht="14.25" hidden="1" customHeight="1" outlineLevel="1">
      <c r="A300" s="131" t="s">
        <v>47</v>
      </c>
      <c r="B300" s="132">
        <v>45415.0</v>
      </c>
      <c r="C300" s="143" t="s">
        <v>61</v>
      </c>
      <c r="D300" s="144">
        <v>1.0</v>
      </c>
      <c r="E300" s="145">
        <v>150.0</v>
      </c>
      <c r="F300" s="145">
        <v>150.0</v>
      </c>
      <c r="G300" s="145">
        <v>150.0</v>
      </c>
      <c r="H300" s="146" t="b">
        <v>1</v>
      </c>
      <c r="I300" s="143" t="s">
        <v>490</v>
      </c>
      <c r="J300" s="143" t="s">
        <v>587</v>
      </c>
      <c r="K300" s="8"/>
      <c r="L300" s="8" t="b">
        <v>1</v>
      </c>
    </row>
    <row r="301" ht="14.25" hidden="1" customHeight="1" outlineLevel="1">
      <c r="A301" s="131" t="s">
        <v>47</v>
      </c>
      <c r="B301" s="132">
        <v>45417.0</v>
      </c>
      <c r="C301" s="143" t="s">
        <v>61</v>
      </c>
      <c r="D301" s="144">
        <v>1.0</v>
      </c>
      <c r="E301" s="145">
        <v>200.0</v>
      </c>
      <c r="F301" s="145">
        <v>200.0</v>
      </c>
      <c r="G301" s="145">
        <v>200.0</v>
      </c>
      <c r="H301" s="146" t="b">
        <v>1</v>
      </c>
      <c r="I301" s="143" t="s">
        <v>490</v>
      </c>
      <c r="J301" s="143" t="s">
        <v>513</v>
      </c>
      <c r="K301" s="8"/>
      <c r="L301" s="8" t="b">
        <v>1</v>
      </c>
    </row>
    <row r="302" ht="14.25" hidden="1" customHeight="1" outlineLevel="1">
      <c r="A302" s="131" t="s">
        <v>47</v>
      </c>
      <c r="B302" s="132">
        <v>45417.0</v>
      </c>
      <c r="C302" s="143" t="s">
        <v>61</v>
      </c>
      <c r="D302" s="144">
        <v>1.0</v>
      </c>
      <c r="E302" s="145">
        <v>200.0</v>
      </c>
      <c r="F302" s="145">
        <v>200.0</v>
      </c>
      <c r="G302" s="145">
        <v>200.0</v>
      </c>
      <c r="H302" s="146" t="b">
        <v>1</v>
      </c>
      <c r="I302" s="143" t="s">
        <v>342</v>
      </c>
      <c r="J302" s="143" t="s">
        <v>514</v>
      </c>
      <c r="K302" s="8"/>
      <c r="L302" s="8" t="b">
        <v>1</v>
      </c>
    </row>
    <row r="303" ht="14.25" hidden="1" customHeight="1" outlineLevel="1">
      <c r="A303" s="131" t="s">
        <v>47</v>
      </c>
      <c r="B303" s="132">
        <v>45419.0</v>
      </c>
      <c r="C303" s="143" t="s">
        <v>61</v>
      </c>
      <c r="D303" s="144">
        <v>1.0</v>
      </c>
      <c r="E303" s="145">
        <v>150.0</v>
      </c>
      <c r="F303" s="145">
        <v>150.0</v>
      </c>
      <c r="G303" s="145">
        <v>150.0</v>
      </c>
      <c r="H303" s="146" t="b">
        <v>1</v>
      </c>
      <c r="I303" s="143" t="s">
        <v>236</v>
      </c>
      <c r="J303" s="143" t="s">
        <v>503</v>
      </c>
      <c r="K303" s="8"/>
      <c r="L303" s="8" t="b">
        <v>1</v>
      </c>
    </row>
    <row r="304" ht="14.25" hidden="1" customHeight="1" outlineLevel="1">
      <c r="A304" s="131" t="s">
        <v>47</v>
      </c>
      <c r="B304" s="132">
        <v>45420.0</v>
      </c>
      <c r="C304" s="41" t="s">
        <v>231</v>
      </c>
      <c r="D304" s="182">
        <v>1.0</v>
      </c>
      <c r="E304" s="183">
        <v>17.1</v>
      </c>
      <c r="F304" s="183">
        <f t="shared" ref="F304:F305" si="37">D304*E304</f>
        <v>17.1</v>
      </c>
      <c r="G304" s="145">
        <v>17.1</v>
      </c>
      <c r="H304" s="146" t="b">
        <v>0</v>
      </c>
      <c r="I304" s="143" t="s">
        <v>405</v>
      </c>
      <c r="J304" s="143" t="s">
        <v>590</v>
      </c>
      <c r="K304" s="8" t="b">
        <v>1</v>
      </c>
      <c r="L304" s="8" t="b">
        <v>1</v>
      </c>
    </row>
    <row r="305" ht="14.25" hidden="1" customHeight="1" outlineLevel="1">
      <c r="A305" s="131" t="s">
        <v>47</v>
      </c>
      <c r="B305" s="132">
        <v>45421.0</v>
      </c>
      <c r="C305" s="41" t="s">
        <v>97</v>
      </c>
      <c r="D305" s="182">
        <v>1.0</v>
      </c>
      <c r="E305" s="183">
        <v>7.0</v>
      </c>
      <c r="F305" s="183">
        <f t="shared" si="37"/>
        <v>7</v>
      </c>
      <c r="G305" s="145">
        <v>7.0</v>
      </c>
      <c r="H305" s="146" t="b">
        <v>0</v>
      </c>
      <c r="I305" s="143" t="s">
        <v>98</v>
      </c>
      <c r="J305" s="143" t="s">
        <v>592</v>
      </c>
      <c r="K305" s="8" t="b">
        <v>0</v>
      </c>
      <c r="L305" s="8" t="b">
        <v>1</v>
      </c>
    </row>
    <row r="306" ht="14.25" hidden="1" customHeight="1" outlineLevel="1">
      <c r="A306" s="131" t="s">
        <v>47</v>
      </c>
      <c r="B306" s="132">
        <v>45422.0</v>
      </c>
      <c r="C306" s="143" t="s">
        <v>61</v>
      </c>
      <c r="D306" s="144">
        <v>1.0</v>
      </c>
      <c r="E306" s="145">
        <v>150.0</v>
      </c>
      <c r="F306" s="145">
        <v>150.0</v>
      </c>
      <c r="G306" s="145">
        <v>150.0</v>
      </c>
      <c r="H306" s="146" t="b">
        <v>1</v>
      </c>
      <c r="I306" s="143" t="s">
        <v>296</v>
      </c>
      <c r="J306" s="143" t="s">
        <v>527</v>
      </c>
      <c r="K306" s="8"/>
      <c r="L306" s="8" t="b">
        <v>1</v>
      </c>
    </row>
    <row r="307" ht="14.25" hidden="1" customHeight="1" outlineLevel="1">
      <c r="A307" s="131" t="s">
        <v>47</v>
      </c>
      <c r="B307" s="132">
        <v>45422.0</v>
      </c>
      <c r="C307" s="143" t="s">
        <v>171</v>
      </c>
      <c r="D307" s="144">
        <v>1.0</v>
      </c>
      <c r="E307" s="145">
        <v>133.0</v>
      </c>
      <c r="F307" s="145">
        <v>133.0</v>
      </c>
      <c r="G307" s="236">
        <v>133.0</v>
      </c>
      <c r="H307" s="146" t="b">
        <v>0</v>
      </c>
      <c r="I307" s="143" t="s">
        <v>594</v>
      </c>
      <c r="J307" s="143" t="s">
        <v>595</v>
      </c>
      <c r="K307" s="8" t="b">
        <v>1</v>
      </c>
      <c r="L307" s="8" t="b">
        <v>0</v>
      </c>
    </row>
    <row r="308" ht="14.25" hidden="1" customHeight="1" outlineLevel="1">
      <c r="A308" s="131" t="s">
        <v>47</v>
      </c>
      <c r="B308" s="132">
        <v>45424.0</v>
      </c>
      <c r="C308" s="143" t="s">
        <v>61</v>
      </c>
      <c r="D308" s="144">
        <v>1.0</v>
      </c>
      <c r="E308" s="145">
        <v>200.0</v>
      </c>
      <c r="F308" s="145">
        <v>200.0</v>
      </c>
      <c r="G308" s="145">
        <v>200.0</v>
      </c>
      <c r="H308" s="146" t="b">
        <v>1</v>
      </c>
      <c r="I308" s="143" t="s">
        <v>490</v>
      </c>
      <c r="J308" s="143" t="s">
        <v>513</v>
      </c>
      <c r="K308" s="8"/>
      <c r="L308" s="8" t="b">
        <v>1</v>
      </c>
    </row>
    <row r="309" ht="14.25" hidden="1" customHeight="1" outlineLevel="1">
      <c r="A309" s="131" t="s">
        <v>47</v>
      </c>
      <c r="B309" s="132">
        <v>45424.0</v>
      </c>
      <c r="C309" s="143" t="s">
        <v>61</v>
      </c>
      <c r="D309" s="144">
        <v>1.0</v>
      </c>
      <c r="E309" s="145">
        <v>200.0</v>
      </c>
      <c r="F309" s="145">
        <v>200.0</v>
      </c>
      <c r="G309" s="145">
        <v>200.0</v>
      </c>
      <c r="H309" s="146" t="b">
        <v>1</v>
      </c>
      <c r="I309" s="143" t="s">
        <v>355</v>
      </c>
      <c r="J309" s="143" t="s">
        <v>597</v>
      </c>
      <c r="K309" s="8"/>
      <c r="L309" s="8" t="b">
        <v>1</v>
      </c>
    </row>
    <row r="310" ht="14.25" hidden="1" customHeight="1" outlineLevel="1">
      <c r="A310" s="131" t="s">
        <v>47</v>
      </c>
      <c r="B310" s="132">
        <v>45426.0</v>
      </c>
      <c r="C310" s="143" t="s">
        <v>61</v>
      </c>
      <c r="D310" s="144">
        <v>1.0</v>
      </c>
      <c r="E310" s="145">
        <v>150.0</v>
      </c>
      <c r="F310" s="145">
        <v>150.0</v>
      </c>
      <c r="G310" s="145">
        <v>150.0</v>
      </c>
      <c r="H310" s="146" t="b">
        <v>1</v>
      </c>
      <c r="I310" s="143" t="s">
        <v>236</v>
      </c>
      <c r="J310" s="143" t="s">
        <v>503</v>
      </c>
      <c r="K310" s="8"/>
      <c r="L310" s="8" t="b">
        <v>1</v>
      </c>
    </row>
    <row r="311" ht="14.25" hidden="1" customHeight="1" outlineLevel="1">
      <c r="A311" s="131" t="s">
        <v>47</v>
      </c>
      <c r="B311" s="132">
        <v>45425.0</v>
      </c>
      <c r="C311" s="143" t="s">
        <v>75</v>
      </c>
      <c r="D311" s="144">
        <v>3.0</v>
      </c>
      <c r="E311" s="145">
        <v>35.0</v>
      </c>
      <c r="F311" s="145">
        <f>D311*E311</f>
        <v>105</v>
      </c>
      <c r="G311" s="145">
        <f>F311</f>
        <v>105</v>
      </c>
      <c r="H311" s="146" t="b">
        <v>0</v>
      </c>
      <c r="I311" s="143" t="s">
        <v>599</v>
      </c>
      <c r="J311" s="143" t="s">
        <v>600</v>
      </c>
      <c r="K311" s="8" t="b">
        <v>0</v>
      </c>
      <c r="L311" s="8" t="b">
        <v>1</v>
      </c>
    </row>
    <row r="312" ht="14.25" hidden="1" customHeight="1" outlineLevel="1">
      <c r="A312" s="131" t="s">
        <v>47</v>
      </c>
      <c r="B312" s="132">
        <v>45427.0</v>
      </c>
      <c r="C312" s="143" t="s">
        <v>112</v>
      </c>
      <c r="D312" s="144">
        <v>1.0</v>
      </c>
      <c r="E312" s="145">
        <v>15.99</v>
      </c>
      <c r="F312" s="145">
        <v>15.99</v>
      </c>
      <c r="G312" s="162">
        <f>SUM(F312:F316)</f>
        <v>72.85</v>
      </c>
      <c r="H312" s="193" t="b">
        <v>0</v>
      </c>
      <c r="I312" s="164" t="s">
        <v>117</v>
      </c>
      <c r="J312" s="143" t="s">
        <v>602</v>
      </c>
      <c r="K312" s="239" t="b">
        <v>1</v>
      </c>
      <c r="L312" s="239" t="b">
        <v>1</v>
      </c>
    </row>
    <row r="313" ht="14.25" hidden="1" customHeight="1" outlineLevel="1">
      <c r="A313" s="131" t="s">
        <v>47</v>
      </c>
      <c r="B313" s="132">
        <v>45427.0</v>
      </c>
      <c r="C313" s="143" t="s">
        <v>112</v>
      </c>
      <c r="D313" s="144">
        <v>1.0</v>
      </c>
      <c r="E313" s="145">
        <v>14.99</v>
      </c>
      <c r="F313" s="145">
        <v>14.99</v>
      </c>
      <c r="G313" s="194"/>
      <c r="H313" s="194"/>
      <c r="I313" s="194"/>
      <c r="J313" s="143" t="s">
        <v>602</v>
      </c>
      <c r="K313" s="58"/>
      <c r="L313" s="58"/>
    </row>
    <row r="314" ht="14.25" hidden="1" customHeight="1" outlineLevel="1">
      <c r="A314" s="131" t="s">
        <v>47</v>
      </c>
      <c r="B314" s="132">
        <v>45427.0</v>
      </c>
      <c r="C314" s="143" t="s">
        <v>112</v>
      </c>
      <c r="D314" s="144">
        <v>1.0</v>
      </c>
      <c r="E314" s="145">
        <v>9.99</v>
      </c>
      <c r="F314" s="145">
        <f t="shared" ref="F314:F317" si="38">D314*E314</f>
        <v>9.99</v>
      </c>
      <c r="G314" s="194"/>
      <c r="H314" s="194"/>
      <c r="I314" s="194"/>
      <c r="J314" s="143" t="s">
        <v>603</v>
      </c>
      <c r="K314" s="58"/>
      <c r="L314" s="58"/>
    </row>
    <row r="315" ht="14.25" hidden="1" customHeight="1" outlineLevel="1">
      <c r="A315" s="131" t="s">
        <v>47</v>
      </c>
      <c r="B315" s="132">
        <v>45427.0</v>
      </c>
      <c r="C315" s="143" t="s">
        <v>112</v>
      </c>
      <c r="D315" s="144">
        <v>1.0</v>
      </c>
      <c r="E315" s="145">
        <v>19.89</v>
      </c>
      <c r="F315" s="145">
        <f t="shared" si="38"/>
        <v>19.89</v>
      </c>
      <c r="G315" s="194"/>
      <c r="H315" s="194"/>
      <c r="I315" s="194"/>
      <c r="J315" s="143" t="s">
        <v>604</v>
      </c>
      <c r="K315" s="58"/>
      <c r="L315" s="58"/>
    </row>
    <row r="316" ht="14.25" hidden="1" customHeight="1" outlineLevel="1">
      <c r="A316" s="131" t="s">
        <v>47</v>
      </c>
      <c r="B316" s="132">
        <v>45427.0</v>
      </c>
      <c r="C316" s="143" t="s">
        <v>112</v>
      </c>
      <c r="D316" s="144">
        <v>1.0</v>
      </c>
      <c r="E316" s="145">
        <v>11.99</v>
      </c>
      <c r="F316" s="145">
        <f t="shared" si="38"/>
        <v>11.99</v>
      </c>
      <c r="G316" s="74"/>
      <c r="H316" s="74"/>
      <c r="I316" s="74"/>
      <c r="J316" s="143" t="s">
        <v>606</v>
      </c>
      <c r="K316" s="10"/>
      <c r="L316" s="10"/>
    </row>
    <row r="317" ht="14.25" hidden="1" customHeight="1" outlineLevel="1">
      <c r="A317" s="131" t="s">
        <v>47</v>
      </c>
      <c r="B317" s="132">
        <v>45428.0</v>
      </c>
      <c r="C317" s="143" t="s">
        <v>80</v>
      </c>
      <c r="D317" s="144">
        <v>2.0</v>
      </c>
      <c r="E317" s="145">
        <v>14.0</v>
      </c>
      <c r="F317" s="145">
        <f t="shared" si="38"/>
        <v>28</v>
      </c>
      <c r="G317" s="145">
        <f>F317</f>
        <v>28</v>
      </c>
      <c r="H317" s="146" t="b">
        <v>0</v>
      </c>
      <c r="I317" s="143" t="s">
        <v>608</v>
      </c>
      <c r="J317" s="143" t="s">
        <v>609</v>
      </c>
      <c r="K317" s="8" t="b">
        <v>1</v>
      </c>
      <c r="L317" s="8" t="b">
        <v>1</v>
      </c>
    </row>
    <row r="318" ht="14.25" hidden="1" customHeight="1" outlineLevel="1">
      <c r="A318" s="131" t="s">
        <v>47</v>
      </c>
      <c r="B318" s="132">
        <v>45429.0</v>
      </c>
      <c r="C318" s="143" t="s">
        <v>61</v>
      </c>
      <c r="D318" s="144">
        <v>1.0</v>
      </c>
      <c r="E318" s="145">
        <v>150.0</v>
      </c>
      <c r="F318" s="145">
        <v>150.0</v>
      </c>
      <c r="G318" s="145">
        <v>150.0</v>
      </c>
      <c r="H318" s="146" t="b">
        <v>1</v>
      </c>
      <c r="I318" s="143" t="s">
        <v>236</v>
      </c>
      <c r="J318" s="143" t="s">
        <v>527</v>
      </c>
      <c r="K318" s="8"/>
      <c r="L318" s="8" t="b">
        <v>1</v>
      </c>
    </row>
    <row r="319" ht="14.25" hidden="1" customHeight="1" outlineLevel="1">
      <c r="A319" s="131" t="s">
        <v>47</v>
      </c>
      <c r="B319" s="132">
        <v>45429.0</v>
      </c>
      <c r="C319" s="143" t="s">
        <v>159</v>
      </c>
      <c r="D319" s="144">
        <v>1.0</v>
      </c>
      <c r="E319" s="145">
        <v>28.4</v>
      </c>
      <c r="F319" s="145">
        <f t="shared" ref="F319:F320" si="39">D319*E319</f>
        <v>28.4</v>
      </c>
      <c r="G319" s="145">
        <f t="shared" ref="G319:G320" si="40">F319</f>
        <v>28.4</v>
      </c>
      <c r="H319" s="146" t="b">
        <v>0</v>
      </c>
      <c r="I319" s="143" t="s">
        <v>612</v>
      </c>
      <c r="J319" s="143" t="s">
        <v>613</v>
      </c>
      <c r="K319" s="8" t="b">
        <v>1</v>
      </c>
      <c r="L319" s="8" t="b">
        <v>1</v>
      </c>
    </row>
    <row r="320" ht="14.25" hidden="1" customHeight="1" outlineLevel="1">
      <c r="A320" s="131" t="s">
        <v>47</v>
      </c>
      <c r="B320" s="132">
        <v>45429.0</v>
      </c>
      <c r="C320" s="143" t="s">
        <v>55</v>
      </c>
      <c r="D320" s="144">
        <v>2.0</v>
      </c>
      <c r="E320" s="145">
        <v>19.75</v>
      </c>
      <c r="F320" s="145">
        <f t="shared" si="39"/>
        <v>39.5</v>
      </c>
      <c r="G320" s="145">
        <f t="shared" si="40"/>
        <v>39.5</v>
      </c>
      <c r="H320" s="146" t="b">
        <v>0</v>
      </c>
      <c r="I320" s="143" t="s">
        <v>614</v>
      </c>
      <c r="J320" s="143" t="s">
        <v>615</v>
      </c>
      <c r="K320" s="8" t="b">
        <v>1</v>
      </c>
      <c r="L320" s="8" t="b">
        <v>1</v>
      </c>
    </row>
    <row r="321" ht="14.25" hidden="1" customHeight="1" outlineLevel="1">
      <c r="A321" s="131" t="s">
        <v>47</v>
      </c>
      <c r="B321" s="132">
        <v>45429.0</v>
      </c>
      <c r="C321" s="143" t="s">
        <v>171</v>
      </c>
      <c r="D321" s="144">
        <v>1.0</v>
      </c>
      <c r="E321" s="145">
        <v>176.7</v>
      </c>
      <c r="F321" s="145">
        <f t="shared" ref="F321:G321" si="41">E321</f>
        <v>176.7</v>
      </c>
      <c r="G321" s="145">
        <f t="shared" si="41"/>
        <v>176.7</v>
      </c>
      <c r="H321" s="146" t="b">
        <v>0</v>
      </c>
      <c r="I321" s="143" t="s">
        <v>172</v>
      </c>
      <c r="J321" s="143" t="s">
        <v>618</v>
      </c>
      <c r="K321" s="8" t="b">
        <v>1</v>
      </c>
      <c r="L321" s="8" t="b">
        <v>1</v>
      </c>
    </row>
    <row r="322" ht="14.25" hidden="1" customHeight="1" outlineLevel="1">
      <c r="A322" s="131" t="s">
        <v>47</v>
      </c>
      <c r="B322" s="132">
        <v>45430.0</v>
      </c>
      <c r="C322" s="143" t="s">
        <v>171</v>
      </c>
      <c r="D322" s="144">
        <v>1.0</v>
      </c>
      <c r="E322" s="145">
        <v>74.1</v>
      </c>
      <c r="F322" s="145">
        <f>D322*E322</f>
        <v>74.1</v>
      </c>
      <c r="G322" s="145">
        <f>F322</f>
        <v>74.1</v>
      </c>
      <c r="H322" s="146" t="b">
        <v>0</v>
      </c>
      <c r="I322" s="143" t="s">
        <v>172</v>
      </c>
      <c r="J322" s="143" t="s">
        <v>621</v>
      </c>
      <c r="K322" s="8" t="b">
        <v>1</v>
      </c>
      <c r="L322" s="8" t="b">
        <v>1</v>
      </c>
    </row>
    <row r="323" ht="14.25" hidden="1" customHeight="1" outlineLevel="1">
      <c r="A323" s="131" t="s">
        <v>47</v>
      </c>
      <c r="B323" s="132">
        <v>45430.0</v>
      </c>
      <c r="C323" s="143" t="s">
        <v>61</v>
      </c>
      <c r="D323" s="144">
        <v>1.0</v>
      </c>
      <c r="E323" s="145">
        <v>200.0</v>
      </c>
      <c r="F323" s="145">
        <v>200.0</v>
      </c>
      <c r="G323" s="145">
        <v>200.0</v>
      </c>
      <c r="H323" s="146" t="b">
        <v>1</v>
      </c>
      <c r="I323" s="143" t="s">
        <v>355</v>
      </c>
      <c r="J323" s="143" t="s">
        <v>622</v>
      </c>
      <c r="K323" s="8"/>
      <c r="L323" s="8" t="b">
        <v>1</v>
      </c>
    </row>
    <row r="324" ht="14.25" hidden="1" customHeight="1" outlineLevel="1">
      <c r="A324" s="131" t="s">
        <v>47</v>
      </c>
      <c r="B324" s="132">
        <v>45431.0</v>
      </c>
      <c r="C324" s="143" t="s">
        <v>61</v>
      </c>
      <c r="D324" s="144">
        <v>1.0</v>
      </c>
      <c r="E324" s="145">
        <v>200.0</v>
      </c>
      <c r="F324" s="145">
        <v>200.0</v>
      </c>
      <c r="G324" s="145">
        <v>200.0</v>
      </c>
      <c r="H324" s="146" t="b">
        <v>1</v>
      </c>
      <c r="I324" s="143" t="s">
        <v>490</v>
      </c>
      <c r="J324" s="143" t="s">
        <v>513</v>
      </c>
      <c r="K324" s="8"/>
      <c r="L324" s="8" t="b">
        <v>1</v>
      </c>
    </row>
    <row r="325" ht="14.25" hidden="1" customHeight="1" outlineLevel="1">
      <c r="A325" s="131" t="s">
        <v>47</v>
      </c>
      <c r="B325" s="132">
        <v>45431.0</v>
      </c>
      <c r="C325" s="143" t="s">
        <v>61</v>
      </c>
      <c r="D325" s="144">
        <v>1.0</v>
      </c>
      <c r="E325" s="145">
        <v>200.0</v>
      </c>
      <c r="F325" s="145">
        <v>200.0</v>
      </c>
      <c r="G325" s="145">
        <v>200.0</v>
      </c>
      <c r="H325" s="146" t="b">
        <v>1</v>
      </c>
      <c r="I325" s="143" t="s">
        <v>355</v>
      </c>
      <c r="J325" s="143" t="s">
        <v>597</v>
      </c>
      <c r="K325" s="8"/>
      <c r="L325" s="8" t="b">
        <v>1</v>
      </c>
    </row>
    <row r="326" ht="14.25" hidden="1" customHeight="1" outlineLevel="1">
      <c r="A326" s="131" t="s">
        <v>47</v>
      </c>
      <c r="B326" s="132">
        <v>45433.0</v>
      </c>
      <c r="C326" s="143" t="s">
        <v>61</v>
      </c>
      <c r="D326" s="144">
        <v>1.0</v>
      </c>
      <c r="E326" s="145">
        <v>150.0</v>
      </c>
      <c r="F326" s="145">
        <v>150.0</v>
      </c>
      <c r="G326" s="145">
        <v>150.0</v>
      </c>
      <c r="H326" s="146" t="b">
        <v>1</v>
      </c>
      <c r="I326" s="143" t="s">
        <v>236</v>
      </c>
      <c r="J326" s="143" t="s">
        <v>503</v>
      </c>
      <c r="K326" s="8"/>
      <c r="L326" s="8" t="b">
        <v>1</v>
      </c>
    </row>
    <row r="327" ht="14.25" hidden="1" customHeight="1" outlineLevel="1">
      <c r="A327" s="131" t="s">
        <v>47</v>
      </c>
      <c r="B327" s="132">
        <v>45435.0</v>
      </c>
      <c r="C327" s="143" t="s">
        <v>93</v>
      </c>
      <c r="D327" s="144">
        <v>1.0</v>
      </c>
      <c r="E327" s="145">
        <v>204.5</v>
      </c>
      <c r="F327" s="145">
        <v>204.5</v>
      </c>
      <c r="G327" s="145">
        <v>204.5</v>
      </c>
      <c r="H327" s="146" t="b">
        <v>0</v>
      </c>
      <c r="I327" s="143" t="s">
        <v>337</v>
      </c>
      <c r="J327" s="143" t="s">
        <v>624</v>
      </c>
      <c r="K327" s="8" t="b">
        <v>1</v>
      </c>
      <c r="L327" s="8" t="b">
        <v>1</v>
      </c>
    </row>
    <row r="328" ht="14.25" hidden="1" customHeight="1" outlineLevel="1">
      <c r="A328" s="131" t="s">
        <v>47</v>
      </c>
      <c r="B328" s="132">
        <v>45413.0</v>
      </c>
      <c r="C328" s="143" t="s">
        <v>171</v>
      </c>
      <c r="D328" s="144">
        <v>1.0</v>
      </c>
      <c r="E328" s="145">
        <v>140.0</v>
      </c>
      <c r="F328" s="145">
        <v>140.0</v>
      </c>
      <c r="G328" s="172">
        <v>140.0</v>
      </c>
      <c r="H328" s="146" t="b">
        <v>0</v>
      </c>
      <c r="I328" s="143" t="s">
        <v>625</v>
      </c>
      <c r="J328" s="143" t="s">
        <v>627</v>
      </c>
      <c r="K328" s="8" t="b">
        <v>0</v>
      </c>
      <c r="L328" s="8" t="b">
        <v>0</v>
      </c>
    </row>
    <row r="329" ht="14.25" hidden="1" customHeight="1" outlineLevel="1">
      <c r="A329" s="131" t="s">
        <v>47</v>
      </c>
      <c r="B329" s="132">
        <v>45435.0</v>
      </c>
      <c r="C329" s="143" t="s">
        <v>97</v>
      </c>
      <c r="D329" s="144">
        <v>1.0</v>
      </c>
      <c r="E329" s="145">
        <v>85.0</v>
      </c>
      <c r="F329" s="145">
        <v>85.0</v>
      </c>
      <c r="G329" s="145">
        <v>85.0</v>
      </c>
      <c r="H329" s="146" t="b">
        <v>0</v>
      </c>
      <c r="I329" s="143" t="s">
        <v>628</v>
      </c>
      <c r="J329" s="143" t="s">
        <v>629</v>
      </c>
      <c r="K329" s="8" t="b">
        <v>1</v>
      </c>
      <c r="L329" s="8" t="b">
        <v>1</v>
      </c>
      <c r="M329" s="2" t="b">
        <v>1</v>
      </c>
    </row>
    <row r="330" ht="14.25" hidden="1" customHeight="1" outlineLevel="1">
      <c r="A330" s="131" t="s">
        <v>47</v>
      </c>
      <c r="B330" s="132">
        <v>45435.0</v>
      </c>
      <c r="C330" s="143" t="s">
        <v>97</v>
      </c>
      <c r="D330" s="144">
        <v>1.0</v>
      </c>
      <c r="E330" s="145">
        <v>5.0</v>
      </c>
      <c r="F330" s="145">
        <v>5.0</v>
      </c>
      <c r="G330" s="145">
        <v>5.0</v>
      </c>
      <c r="H330" s="146" t="b">
        <v>0</v>
      </c>
      <c r="I330" s="143" t="s">
        <v>632</v>
      </c>
      <c r="J330" s="143" t="s">
        <v>633</v>
      </c>
      <c r="K330" s="8" t="b">
        <v>1</v>
      </c>
      <c r="L330" s="8" t="b">
        <v>1</v>
      </c>
      <c r="M330" s="8" t="b">
        <v>1</v>
      </c>
    </row>
    <row r="331" ht="14.25" hidden="1" customHeight="1" outlineLevel="1">
      <c r="A331" s="131" t="s">
        <v>47</v>
      </c>
      <c r="B331" s="132">
        <v>45436.0</v>
      </c>
      <c r="C331" s="143" t="s">
        <v>97</v>
      </c>
      <c r="D331" s="144">
        <v>1.0</v>
      </c>
      <c r="E331" s="145">
        <v>29.0</v>
      </c>
      <c r="F331" s="145">
        <v>29.0</v>
      </c>
      <c r="G331" s="162">
        <f>F331+F332</f>
        <v>88</v>
      </c>
      <c r="H331" s="193" t="b">
        <v>0</v>
      </c>
      <c r="I331" s="164" t="s">
        <v>634</v>
      </c>
      <c r="J331" s="143" t="s">
        <v>635</v>
      </c>
      <c r="K331" s="239" t="b">
        <v>1</v>
      </c>
      <c r="L331" s="239" t="b">
        <v>1</v>
      </c>
      <c r="M331" s="8" t="b">
        <v>1</v>
      </c>
    </row>
    <row r="332" ht="14.25" hidden="1" customHeight="1" outlineLevel="1">
      <c r="A332" s="131" t="s">
        <v>47</v>
      </c>
      <c r="B332" s="132">
        <v>45436.0</v>
      </c>
      <c r="C332" s="143" t="s">
        <v>231</v>
      </c>
      <c r="D332" s="144">
        <v>1.0</v>
      </c>
      <c r="E332" s="145">
        <v>59.0</v>
      </c>
      <c r="F332" s="145">
        <v>59.0</v>
      </c>
      <c r="G332" s="74"/>
      <c r="H332" s="74"/>
      <c r="I332" s="74"/>
      <c r="J332" s="143" t="s">
        <v>636</v>
      </c>
      <c r="K332" s="10"/>
      <c r="L332" s="10"/>
      <c r="M332" s="8" t="b">
        <v>0</v>
      </c>
    </row>
    <row r="333" ht="14.25" hidden="1" customHeight="1" outlineLevel="1">
      <c r="A333" s="131" t="s">
        <v>47</v>
      </c>
      <c r="B333" s="132">
        <v>45437.0</v>
      </c>
      <c r="C333" s="143" t="s">
        <v>171</v>
      </c>
      <c r="D333" s="144">
        <v>1.0</v>
      </c>
      <c r="E333" s="145">
        <v>241.3</v>
      </c>
      <c r="F333" s="145">
        <v>241.3</v>
      </c>
      <c r="G333" s="145">
        <v>241.3</v>
      </c>
      <c r="H333" s="146" t="b">
        <v>0</v>
      </c>
      <c r="I333" s="143" t="s">
        <v>172</v>
      </c>
      <c r="J333" s="143" t="s">
        <v>638</v>
      </c>
      <c r="K333" s="8" t="b">
        <v>1</v>
      </c>
      <c r="L333" s="8" t="b">
        <v>1</v>
      </c>
    </row>
    <row r="334" ht="14.25" hidden="1" customHeight="1" outlineLevel="1">
      <c r="A334" s="131" t="s">
        <v>47</v>
      </c>
      <c r="B334" s="132">
        <v>45436.0</v>
      </c>
      <c r="C334" s="143" t="s">
        <v>61</v>
      </c>
      <c r="D334" s="144">
        <v>1.0</v>
      </c>
      <c r="E334" s="145">
        <v>150.0</v>
      </c>
      <c r="F334" s="145">
        <v>150.0</v>
      </c>
      <c r="G334" s="145">
        <v>150.0</v>
      </c>
      <c r="H334" s="146" t="b">
        <v>1</v>
      </c>
      <c r="I334" s="143" t="s">
        <v>236</v>
      </c>
      <c r="J334" s="143" t="s">
        <v>527</v>
      </c>
      <c r="K334" s="8" t="b">
        <v>0</v>
      </c>
      <c r="L334" s="8" t="b">
        <v>1</v>
      </c>
    </row>
    <row r="335" ht="14.25" hidden="1" customHeight="1" outlineLevel="1">
      <c r="A335" s="131" t="s">
        <v>47</v>
      </c>
      <c r="B335" s="132">
        <v>45438.0</v>
      </c>
      <c r="C335" s="143" t="s">
        <v>61</v>
      </c>
      <c r="D335" s="144">
        <v>1.0</v>
      </c>
      <c r="E335" s="145">
        <v>200.0</v>
      </c>
      <c r="F335" s="145">
        <v>200.0</v>
      </c>
      <c r="G335" s="145">
        <v>200.0</v>
      </c>
      <c r="H335" s="146" t="b">
        <v>1</v>
      </c>
      <c r="I335" s="143" t="s">
        <v>619</v>
      </c>
      <c r="J335" s="143" t="s">
        <v>513</v>
      </c>
      <c r="K335" s="8"/>
      <c r="L335" s="8" t="b">
        <v>1</v>
      </c>
    </row>
    <row r="336" ht="14.25" hidden="1" customHeight="1" outlineLevel="1">
      <c r="A336" s="131" t="s">
        <v>47</v>
      </c>
      <c r="B336" s="132">
        <v>45439.0</v>
      </c>
      <c r="C336" s="143" t="s">
        <v>97</v>
      </c>
      <c r="D336" s="144">
        <v>3.0</v>
      </c>
      <c r="E336" s="145">
        <v>4.5</v>
      </c>
      <c r="F336" s="145">
        <f t="shared" ref="F336:F343" si="42">D336*E336</f>
        <v>13.5</v>
      </c>
      <c r="G336" s="162">
        <f>SUM(F336:F339)</f>
        <v>37.5</v>
      </c>
      <c r="H336" s="193" t="b">
        <v>0</v>
      </c>
      <c r="I336" s="164" t="s">
        <v>632</v>
      </c>
      <c r="J336" s="143" t="s">
        <v>639</v>
      </c>
      <c r="K336" s="239" t="b">
        <v>1</v>
      </c>
      <c r="L336" s="239" t="b">
        <v>1</v>
      </c>
      <c r="M336" s="8" t="b">
        <v>1</v>
      </c>
    </row>
    <row r="337" ht="14.25" hidden="1" customHeight="1" outlineLevel="1">
      <c r="A337" s="41" t="s">
        <v>641</v>
      </c>
      <c r="B337" s="132">
        <v>45439.0</v>
      </c>
      <c r="C337" s="143" t="s">
        <v>97</v>
      </c>
      <c r="D337" s="144">
        <v>1.0</v>
      </c>
      <c r="E337" s="145">
        <v>5.0</v>
      </c>
      <c r="F337" s="145">
        <f t="shared" si="42"/>
        <v>5</v>
      </c>
      <c r="G337" s="194"/>
      <c r="H337" s="194"/>
      <c r="I337" s="194"/>
      <c r="J337" s="143" t="s">
        <v>642</v>
      </c>
      <c r="K337" s="58"/>
      <c r="L337" s="58"/>
      <c r="M337" s="8" t="b">
        <v>1</v>
      </c>
    </row>
    <row r="338" ht="14.25" hidden="1" customHeight="1" outlineLevel="1">
      <c r="A338" s="131" t="s">
        <v>47</v>
      </c>
      <c r="B338" s="132">
        <v>45439.0</v>
      </c>
      <c r="C338" s="143" t="s">
        <v>97</v>
      </c>
      <c r="D338" s="144">
        <v>1.0</v>
      </c>
      <c r="E338" s="145">
        <v>13.5</v>
      </c>
      <c r="F338" s="145">
        <f t="shared" si="42"/>
        <v>13.5</v>
      </c>
      <c r="G338" s="194"/>
      <c r="H338" s="194"/>
      <c r="I338" s="194"/>
      <c r="J338" s="143" t="s">
        <v>644</v>
      </c>
      <c r="K338" s="58"/>
      <c r="L338" s="58"/>
      <c r="M338" s="8" t="b">
        <v>1</v>
      </c>
    </row>
    <row r="339" ht="14.25" hidden="1" customHeight="1" outlineLevel="1">
      <c r="A339" s="131" t="s">
        <v>47</v>
      </c>
      <c r="B339" s="132">
        <v>45439.0</v>
      </c>
      <c r="C339" s="143" t="s">
        <v>97</v>
      </c>
      <c r="D339" s="144">
        <v>1.0</v>
      </c>
      <c r="E339" s="145">
        <v>5.5</v>
      </c>
      <c r="F339" s="145">
        <f t="shared" si="42"/>
        <v>5.5</v>
      </c>
      <c r="G339" s="74"/>
      <c r="H339" s="74"/>
      <c r="I339" s="74"/>
      <c r="J339" s="143" t="s">
        <v>645</v>
      </c>
      <c r="K339" s="10"/>
      <c r="L339" s="10"/>
      <c r="M339" s="8" t="b">
        <v>1</v>
      </c>
    </row>
    <row r="340" ht="14.25" hidden="1" customHeight="1" outlineLevel="1">
      <c r="A340" s="131" t="s">
        <v>47</v>
      </c>
      <c r="B340" s="132">
        <v>45439.0</v>
      </c>
      <c r="C340" s="143" t="s">
        <v>97</v>
      </c>
      <c r="D340" s="144">
        <v>10.0</v>
      </c>
      <c r="E340" s="145">
        <v>3.6</v>
      </c>
      <c r="F340" s="145">
        <f t="shared" si="42"/>
        <v>36</v>
      </c>
      <c r="G340" s="145">
        <f t="shared" ref="G340:G341" si="43">F340</f>
        <v>36</v>
      </c>
      <c r="H340" s="146" t="b">
        <v>0</v>
      </c>
      <c r="I340" s="143" t="s">
        <v>646</v>
      </c>
      <c r="J340" s="143" t="s">
        <v>647</v>
      </c>
      <c r="K340" s="8" t="b">
        <v>1</v>
      </c>
      <c r="L340" s="8" t="b">
        <v>1</v>
      </c>
      <c r="M340" s="8" t="b">
        <v>1</v>
      </c>
    </row>
    <row r="341" ht="14.25" hidden="1" customHeight="1" outlineLevel="1">
      <c r="A341" s="131" t="s">
        <v>47</v>
      </c>
      <c r="B341" s="132">
        <v>45439.0</v>
      </c>
      <c r="C341" s="143" t="s">
        <v>97</v>
      </c>
      <c r="D341" s="144">
        <v>7.0</v>
      </c>
      <c r="E341" s="145">
        <v>5.0</v>
      </c>
      <c r="F341" s="145">
        <f t="shared" si="42"/>
        <v>35</v>
      </c>
      <c r="G341" s="145">
        <f t="shared" si="43"/>
        <v>35</v>
      </c>
      <c r="H341" s="146" t="b">
        <v>0</v>
      </c>
      <c r="I341" s="143" t="s">
        <v>648</v>
      </c>
      <c r="J341" s="143" t="s">
        <v>649</v>
      </c>
      <c r="K341" s="8" t="b">
        <v>1</v>
      </c>
      <c r="L341" s="8" t="b">
        <v>1</v>
      </c>
      <c r="M341" s="8" t="b">
        <v>1</v>
      </c>
    </row>
    <row r="342" ht="14.25" hidden="1" customHeight="1" outlineLevel="1">
      <c r="A342" s="131" t="s">
        <v>47</v>
      </c>
      <c r="B342" s="132">
        <v>45439.0</v>
      </c>
      <c r="C342" s="143" t="s">
        <v>97</v>
      </c>
      <c r="D342" s="144">
        <v>2.0</v>
      </c>
      <c r="E342" s="145">
        <v>9.53</v>
      </c>
      <c r="F342" s="145">
        <f t="shared" si="42"/>
        <v>19.06</v>
      </c>
      <c r="G342" s="162">
        <f>SUM(F342:F343)</f>
        <v>41.49</v>
      </c>
      <c r="H342" s="193" t="b">
        <v>0</v>
      </c>
      <c r="I342" s="143" t="s">
        <v>393</v>
      </c>
      <c r="J342" s="143" t="s">
        <v>651</v>
      </c>
      <c r="K342" s="8" t="b">
        <v>1</v>
      </c>
      <c r="L342" s="8" t="b">
        <v>1</v>
      </c>
      <c r="M342" s="8" t="b">
        <v>1</v>
      </c>
    </row>
    <row r="343" ht="14.25" hidden="1" customHeight="1" outlineLevel="1">
      <c r="A343" s="131" t="s">
        <v>47</v>
      </c>
      <c r="B343" s="132">
        <v>45439.0</v>
      </c>
      <c r="C343" s="143" t="s">
        <v>97</v>
      </c>
      <c r="D343" s="144">
        <v>1.0</v>
      </c>
      <c r="E343" s="145">
        <v>22.43</v>
      </c>
      <c r="F343" s="145">
        <f t="shared" si="42"/>
        <v>22.43</v>
      </c>
      <c r="G343" s="74"/>
      <c r="H343" s="74"/>
      <c r="I343" s="143" t="s">
        <v>393</v>
      </c>
      <c r="J343" s="143" t="s">
        <v>652</v>
      </c>
      <c r="K343" s="8" t="b">
        <v>1</v>
      </c>
      <c r="L343" s="8" t="b">
        <v>1</v>
      </c>
      <c r="M343" s="8" t="b">
        <v>1</v>
      </c>
    </row>
    <row r="344" ht="14.25" hidden="1" customHeight="1" outlineLevel="1">
      <c r="A344" s="131" t="s">
        <v>47</v>
      </c>
      <c r="B344" s="132">
        <v>45440.0</v>
      </c>
      <c r="C344" s="143" t="s">
        <v>61</v>
      </c>
      <c r="D344" s="144">
        <v>1.0</v>
      </c>
      <c r="E344" s="145">
        <v>150.0</v>
      </c>
      <c r="F344" s="145">
        <v>150.0</v>
      </c>
      <c r="G344" s="145">
        <v>150.0</v>
      </c>
      <c r="H344" s="146" t="b">
        <v>1</v>
      </c>
      <c r="I344" s="143" t="s">
        <v>236</v>
      </c>
      <c r="J344" s="143" t="s">
        <v>503</v>
      </c>
      <c r="K344" s="8" t="b">
        <v>0</v>
      </c>
      <c r="L344" s="8" t="b">
        <v>1</v>
      </c>
    </row>
    <row r="345" ht="14.25" hidden="1" customHeight="1" outlineLevel="1">
      <c r="A345" s="131" t="s">
        <v>47</v>
      </c>
      <c r="B345" s="132">
        <v>45440.0</v>
      </c>
      <c r="C345" s="143" t="s">
        <v>97</v>
      </c>
      <c r="D345" s="144">
        <v>1.0</v>
      </c>
      <c r="E345" s="145">
        <v>38.1</v>
      </c>
      <c r="F345" s="145">
        <v>38.1</v>
      </c>
      <c r="G345" s="145">
        <v>38.1</v>
      </c>
      <c r="H345" s="146" t="b">
        <v>0</v>
      </c>
      <c r="I345" s="143" t="s">
        <v>405</v>
      </c>
      <c r="J345" s="143" t="s">
        <v>653</v>
      </c>
      <c r="K345" s="8" t="b">
        <v>1</v>
      </c>
      <c r="L345" s="8" t="b">
        <v>1</v>
      </c>
      <c r="M345" s="8" t="b">
        <v>1</v>
      </c>
    </row>
    <row r="346" ht="14.25" hidden="1" customHeight="1" outlineLevel="1">
      <c r="A346" s="131" t="s">
        <v>47</v>
      </c>
      <c r="B346" s="132">
        <v>45441.0</v>
      </c>
      <c r="C346" s="143" t="s">
        <v>171</v>
      </c>
      <c r="D346" s="144">
        <v>1.0</v>
      </c>
      <c r="E346" s="145">
        <v>136.8</v>
      </c>
      <c r="F346" s="145">
        <v>136.8</v>
      </c>
      <c r="G346" s="145">
        <v>136.8</v>
      </c>
      <c r="H346" s="146" t="b">
        <v>0</v>
      </c>
      <c r="I346" s="143" t="s">
        <v>172</v>
      </c>
      <c r="J346" s="143" t="s">
        <v>585</v>
      </c>
      <c r="K346" s="8" t="b">
        <v>1</v>
      </c>
      <c r="L346" s="8" t="b">
        <v>1</v>
      </c>
    </row>
    <row r="347" ht="14.25" hidden="1" customHeight="1" outlineLevel="1">
      <c r="A347" s="131" t="s">
        <v>47</v>
      </c>
      <c r="B347" s="132">
        <v>45441.0</v>
      </c>
      <c r="C347" s="143" t="s">
        <v>61</v>
      </c>
      <c r="D347" s="144">
        <v>1.0</v>
      </c>
      <c r="E347" s="145">
        <v>4100.0</v>
      </c>
      <c r="F347" s="145">
        <v>4100.0</v>
      </c>
      <c r="G347" s="145">
        <v>4100.0</v>
      </c>
      <c r="H347" s="146" t="b">
        <v>1</v>
      </c>
      <c r="I347" s="143" t="s">
        <v>119</v>
      </c>
      <c r="J347" s="143" t="s">
        <v>655</v>
      </c>
      <c r="K347" s="8" t="b">
        <v>0</v>
      </c>
      <c r="L347" s="8" t="b">
        <v>1</v>
      </c>
    </row>
    <row r="348" ht="14.25" hidden="1" customHeight="1" outlineLevel="1">
      <c r="A348" s="131" t="s">
        <v>47</v>
      </c>
      <c r="B348" s="132">
        <v>45442.0</v>
      </c>
      <c r="C348" s="143" t="s">
        <v>61</v>
      </c>
      <c r="D348" s="144">
        <v>1.0</v>
      </c>
      <c r="E348" s="145">
        <v>200.0</v>
      </c>
      <c r="F348" s="145">
        <v>200.0</v>
      </c>
      <c r="G348" s="145">
        <v>200.0</v>
      </c>
      <c r="H348" s="146" t="b">
        <v>1</v>
      </c>
      <c r="I348" s="143" t="s">
        <v>265</v>
      </c>
      <c r="J348" s="143" t="s">
        <v>657</v>
      </c>
      <c r="K348" s="8" t="b">
        <v>0</v>
      </c>
      <c r="L348" s="8" t="b">
        <v>1</v>
      </c>
    </row>
    <row r="349" ht="14.25" hidden="1" customHeight="1" outlineLevel="1">
      <c r="A349" s="131" t="s">
        <v>47</v>
      </c>
      <c r="B349" s="132">
        <v>45443.0</v>
      </c>
      <c r="C349" s="143" t="s">
        <v>61</v>
      </c>
      <c r="D349" s="144">
        <v>1.0</v>
      </c>
      <c r="E349" s="145">
        <v>150.0</v>
      </c>
      <c r="F349" s="145">
        <v>150.0</v>
      </c>
      <c r="G349" s="145">
        <v>150.0</v>
      </c>
      <c r="H349" s="146" t="b">
        <v>1</v>
      </c>
      <c r="I349" s="143" t="s">
        <v>236</v>
      </c>
      <c r="J349" s="143" t="s">
        <v>527</v>
      </c>
      <c r="K349" s="8" t="b">
        <v>0</v>
      </c>
      <c r="L349" s="8" t="b">
        <v>1</v>
      </c>
    </row>
    <row r="350" ht="14.25" hidden="1" customHeight="1" outlineLevel="1">
      <c r="A350" s="131" t="s">
        <v>47</v>
      </c>
      <c r="B350" s="132">
        <v>45413.0</v>
      </c>
      <c r="C350" s="143"/>
      <c r="D350" s="144"/>
      <c r="E350" s="145"/>
      <c r="F350" s="145"/>
      <c r="G350" s="145"/>
      <c r="H350" s="146" t="b">
        <v>0</v>
      </c>
      <c r="I350" s="143"/>
      <c r="J350" s="143"/>
      <c r="K350" s="8" t="b">
        <v>0</v>
      </c>
      <c r="L350" s="8" t="b">
        <v>0</v>
      </c>
    </row>
    <row r="351" ht="14.25" hidden="1" customHeight="1" outlineLevel="1">
      <c r="A351" s="131" t="s">
        <v>47</v>
      </c>
      <c r="B351" s="132">
        <v>45413.0</v>
      </c>
      <c r="C351" s="143"/>
      <c r="D351" s="144"/>
      <c r="E351" s="145"/>
      <c r="F351" s="145"/>
      <c r="G351" s="145"/>
      <c r="H351" s="146" t="b">
        <v>0</v>
      </c>
      <c r="I351" s="143"/>
      <c r="J351" s="143"/>
      <c r="K351" s="8" t="b">
        <v>0</v>
      </c>
      <c r="L351" s="8" t="b">
        <v>0</v>
      </c>
    </row>
    <row r="352" ht="14.25" hidden="1" customHeight="1" outlineLevel="1">
      <c r="A352" s="131" t="s">
        <v>47</v>
      </c>
      <c r="B352" s="132">
        <v>45413.0</v>
      </c>
      <c r="C352" s="143"/>
      <c r="D352" s="144"/>
      <c r="E352" s="145"/>
      <c r="F352" s="145"/>
      <c r="G352" s="145"/>
      <c r="H352" s="146" t="b">
        <v>0</v>
      </c>
      <c r="I352" s="143"/>
      <c r="J352" s="143"/>
      <c r="K352" s="8" t="b">
        <v>0</v>
      </c>
      <c r="L352" s="8" t="b">
        <v>0</v>
      </c>
    </row>
    <row r="353" ht="14.25" hidden="1" customHeight="1" outlineLevel="1">
      <c r="A353" s="131" t="s">
        <v>47</v>
      </c>
      <c r="B353" s="132">
        <v>45413.0</v>
      </c>
      <c r="C353" s="143"/>
      <c r="D353" s="144"/>
      <c r="E353" s="145"/>
      <c r="F353" s="145"/>
      <c r="G353" s="145"/>
      <c r="H353" s="146" t="b">
        <v>0</v>
      </c>
      <c r="I353" s="143"/>
      <c r="J353" s="143"/>
      <c r="K353" s="8" t="b">
        <v>0</v>
      </c>
      <c r="L353" s="8" t="b">
        <v>0</v>
      </c>
    </row>
    <row r="354" ht="14.25" hidden="1" customHeight="1" outlineLevel="1">
      <c r="A354" s="131" t="s">
        <v>47</v>
      </c>
      <c r="B354" s="132">
        <v>45413.0</v>
      </c>
      <c r="C354" s="143"/>
      <c r="D354" s="144"/>
      <c r="E354" s="145"/>
      <c r="F354" s="145"/>
      <c r="G354" s="145"/>
      <c r="H354" s="146" t="b">
        <v>0</v>
      </c>
      <c r="I354" s="143"/>
      <c r="J354" s="143"/>
      <c r="K354" s="8" t="b">
        <v>0</v>
      </c>
      <c r="L354" s="8" t="b">
        <v>0</v>
      </c>
    </row>
    <row r="355" ht="14.25" hidden="1" customHeight="1" outlineLevel="1">
      <c r="A355" s="131" t="s">
        <v>47</v>
      </c>
      <c r="B355" s="132">
        <v>45413.0</v>
      </c>
      <c r="C355" s="143"/>
      <c r="D355" s="144"/>
      <c r="E355" s="145"/>
      <c r="F355" s="145"/>
      <c r="G355" s="145"/>
      <c r="H355" s="146" t="b">
        <v>0</v>
      </c>
      <c r="I355" s="143"/>
      <c r="J355" s="143"/>
      <c r="K355" s="8" t="b">
        <v>0</v>
      </c>
      <c r="L355" s="8" t="b">
        <v>0</v>
      </c>
    </row>
    <row r="356" ht="14.25" hidden="1" customHeight="1" outlineLevel="1">
      <c r="A356" s="131" t="s">
        <v>47</v>
      </c>
      <c r="B356" s="132">
        <v>45413.0</v>
      </c>
      <c r="C356" s="143"/>
      <c r="D356" s="144"/>
      <c r="E356" s="145"/>
      <c r="F356" s="145"/>
      <c r="G356" s="145"/>
      <c r="H356" s="146" t="b">
        <v>0</v>
      </c>
      <c r="I356" s="143"/>
      <c r="J356" s="143"/>
      <c r="K356" s="8" t="b">
        <v>0</v>
      </c>
      <c r="L356" s="8" t="b">
        <v>0</v>
      </c>
    </row>
    <row r="357" ht="14.25" customHeight="1">
      <c r="A357" s="180" t="s">
        <v>192</v>
      </c>
      <c r="B357" s="27"/>
      <c r="C357" s="27"/>
      <c r="D357" s="27"/>
      <c r="E357" s="28"/>
      <c r="F357" s="181">
        <f t="shared" ref="F357:G357" si="44">SUM(F290:F356)</f>
        <v>9824.12</v>
      </c>
      <c r="G357" s="181">
        <f t="shared" si="44"/>
        <v>9824.12</v>
      </c>
      <c r="H357" s="156"/>
      <c r="I357" s="107"/>
      <c r="J357" s="112"/>
    </row>
    <row r="358" ht="14.25" customHeight="1" collapsed="1">
      <c r="A358" s="245" t="s">
        <v>637</v>
      </c>
      <c r="B358" s="246"/>
      <c r="C358" s="246"/>
      <c r="D358" s="246"/>
      <c r="E358" s="246"/>
      <c r="F358" s="246"/>
      <c r="G358" s="246"/>
      <c r="H358" s="246"/>
      <c r="I358" s="246"/>
      <c r="J358" s="247"/>
      <c r="K358" s="238"/>
      <c r="L358" s="238"/>
    </row>
    <row r="359" ht="14.25" hidden="1" customHeight="1" outlineLevel="1">
      <c r="A359" s="131" t="s">
        <v>46</v>
      </c>
      <c r="B359" s="132">
        <v>45444.0</v>
      </c>
      <c r="C359" s="41" t="s">
        <v>75</v>
      </c>
      <c r="D359" s="182">
        <v>3.0</v>
      </c>
      <c r="E359" s="183">
        <v>35.0</v>
      </c>
      <c r="F359" s="183">
        <f t="shared" ref="F359:F364" si="45">D359*E359</f>
        <v>105</v>
      </c>
      <c r="G359" s="196">
        <f>F359+F360</f>
        <v>175</v>
      </c>
      <c r="H359" s="239" t="b">
        <v>0</v>
      </c>
      <c r="I359" s="54" t="s">
        <v>599</v>
      </c>
      <c r="J359" s="41" t="s">
        <v>661</v>
      </c>
      <c r="K359" s="239" t="b">
        <v>0</v>
      </c>
      <c r="L359" s="239" t="b">
        <v>1</v>
      </c>
    </row>
    <row r="360" ht="14.25" hidden="1" customHeight="1" outlineLevel="1">
      <c r="A360" s="131" t="s">
        <v>46</v>
      </c>
      <c r="B360" s="132">
        <v>45444.0</v>
      </c>
      <c r="C360" s="41" t="s">
        <v>75</v>
      </c>
      <c r="D360" s="182">
        <v>2.0</v>
      </c>
      <c r="E360" s="183">
        <v>35.0</v>
      </c>
      <c r="F360" s="183">
        <f t="shared" si="45"/>
        <v>70</v>
      </c>
      <c r="G360" s="10"/>
      <c r="H360" s="10"/>
      <c r="I360" s="10"/>
      <c r="J360" s="41" t="s">
        <v>663</v>
      </c>
      <c r="K360" s="10"/>
      <c r="L360" s="10"/>
    </row>
    <row r="361" ht="14.25" hidden="1" customHeight="1" outlineLevel="1">
      <c r="A361" s="131" t="s">
        <v>46</v>
      </c>
      <c r="B361" s="132">
        <v>45444.0</v>
      </c>
      <c r="C361" s="41" t="s">
        <v>75</v>
      </c>
      <c r="D361" s="182">
        <v>1.0</v>
      </c>
      <c r="E361" s="183">
        <v>24.0</v>
      </c>
      <c r="F361" s="183">
        <f t="shared" si="45"/>
        <v>24</v>
      </c>
      <c r="G361" s="196">
        <f>F361+F362</f>
        <v>51.3</v>
      </c>
      <c r="H361" s="239" t="b">
        <v>0</v>
      </c>
      <c r="I361" s="54" t="s">
        <v>225</v>
      </c>
      <c r="J361" s="41" t="s">
        <v>665</v>
      </c>
      <c r="K361" s="239" t="b">
        <v>1</v>
      </c>
      <c r="L361" s="239" t="b">
        <v>1</v>
      </c>
    </row>
    <row r="362" ht="14.25" hidden="1" customHeight="1" outlineLevel="1">
      <c r="A362" s="131" t="s">
        <v>46</v>
      </c>
      <c r="B362" s="132">
        <v>45444.0</v>
      </c>
      <c r="C362" s="41" t="s">
        <v>75</v>
      </c>
      <c r="D362" s="182">
        <v>3.0</v>
      </c>
      <c r="E362" s="183">
        <v>9.1</v>
      </c>
      <c r="F362" s="183">
        <f t="shared" si="45"/>
        <v>27.3</v>
      </c>
      <c r="G362" s="10"/>
      <c r="H362" s="10"/>
      <c r="I362" s="10"/>
      <c r="J362" s="41" t="s">
        <v>668</v>
      </c>
      <c r="K362" s="10"/>
      <c r="L362" s="10"/>
    </row>
    <row r="363" ht="14.25" hidden="1" customHeight="1" outlineLevel="1">
      <c r="A363" s="251" t="s">
        <v>46</v>
      </c>
      <c r="B363" s="253">
        <v>45445.0</v>
      </c>
      <c r="C363" s="30" t="s">
        <v>61</v>
      </c>
      <c r="D363" s="255">
        <v>1.0</v>
      </c>
      <c r="E363" s="256">
        <v>200.0</v>
      </c>
      <c r="F363" s="256">
        <f t="shared" si="45"/>
        <v>200</v>
      </c>
      <c r="G363" s="256">
        <f t="shared" ref="G363:G364" si="46">F363</f>
        <v>200</v>
      </c>
      <c r="H363" s="258" t="b">
        <v>1</v>
      </c>
      <c r="I363" s="30" t="s">
        <v>490</v>
      </c>
      <c r="J363" s="30" t="s">
        <v>513</v>
      </c>
      <c r="K363" s="258" t="b">
        <v>0</v>
      </c>
      <c r="L363" s="258" t="b">
        <v>1</v>
      </c>
    </row>
    <row r="364" ht="14.25" hidden="1" customHeight="1" outlineLevel="1">
      <c r="A364" s="131" t="s">
        <v>46</v>
      </c>
      <c r="B364" s="132">
        <v>45445.0</v>
      </c>
      <c r="C364" s="41" t="s">
        <v>61</v>
      </c>
      <c r="D364" s="182">
        <v>1.0</v>
      </c>
      <c r="E364" s="183">
        <v>200.0</v>
      </c>
      <c r="F364" s="183">
        <f t="shared" si="45"/>
        <v>200</v>
      </c>
      <c r="G364" s="183">
        <f t="shared" si="46"/>
        <v>200</v>
      </c>
      <c r="H364" s="8" t="b">
        <v>1</v>
      </c>
      <c r="I364" s="41" t="s">
        <v>342</v>
      </c>
      <c r="J364" s="41" t="s">
        <v>514</v>
      </c>
      <c r="K364" s="8" t="b">
        <v>0</v>
      </c>
      <c r="L364" s="8" t="b">
        <v>1</v>
      </c>
    </row>
    <row r="365" ht="14.25" hidden="1" customHeight="1" outlineLevel="1">
      <c r="A365" s="131" t="s">
        <v>46</v>
      </c>
      <c r="B365" s="132">
        <v>45446.0</v>
      </c>
      <c r="C365" s="41" t="s">
        <v>93</v>
      </c>
      <c r="D365" s="182">
        <v>1.0</v>
      </c>
      <c r="E365" s="183">
        <v>59.0</v>
      </c>
      <c r="F365" s="183">
        <v>59.0</v>
      </c>
      <c r="G365" s="183">
        <v>59.0</v>
      </c>
      <c r="H365" s="8" t="b">
        <v>0</v>
      </c>
      <c r="I365" s="143" t="s">
        <v>337</v>
      </c>
      <c r="J365" s="41" t="s">
        <v>672</v>
      </c>
      <c r="K365" s="8" t="b">
        <v>1</v>
      </c>
      <c r="L365" s="8" t="b">
        <v>1</v>
      </c>
    </row>
    <row r="366" ht="14.25" hidden="1" customHeight="1" outlineLevel="1">
      <c r="A366" s="131" t="s">
        <v>46</v>
      </c>
      <c r="B366" s="132">
        <v>45448.0</v>
      </c>
      <c r="C366" s="41" t="s">
        <v>80</v>
      </c>
      <c r="D366" s="182">
        <v>2.0</v>
      </c>
      <c r="E366" s="183">
        <v>14.0</v>
      </c>
      <c r="F366" s="183">
        <v>28.0</v>
      </c>
      <c r="G366" s="183">
        <v>28.0</v>
      </c>
      <c r="H366" s="8" t="b">
        <v>0</v>
      </c>
      <c r="I366" s="143" t="s">
        <v>608</v>
      </c>
      <c r="J366" s="143" t="s">
        <v>609</v>
      </c>
      <c r="K366" s="8" t="b">
        <v>1</v>
      </c>
      <c r="L366" s="8" t="b">
        <v>1</v>
      </c>
    </row>
    <row r="367" ht="14.25" hidden="1" customHeight="1" outlineLevel="1">
      <c r="A367" s="131" t="s">
        <v>46</v>
      </c>
      <c r="B367" s="132">
        <v>45448.0</v>
      </c>
      <c r="C367" s="41" t="s">
        <v>93</v>
      </c>
      <c r="D367" s="182">
        <v>1.0</v>
      </c>
      <c r="E367" s="183">
        <v>305.0</v>
      </c>
      <c r="F367" s="183">
        <v>305.0</v>
      </c>
      <c r="G367" s="183">
        <v>305.0</v>
      </c>
      <c r="H367" s="8" t="b">
        <v>0</v>
      </c>
      <c r="I367" s="143" t="s">
        <v>337</v>
      </c>
      <c r="J367" s="41" t="s">
        <v>672</v>
      </c>
      <c r="K367" s="8" t="b">
        <v>1</v>
      </c>
      <c r="L367" s="8" t="b">
        <v>1</v>
      </c>
    </row>
    <row r="368" ht="14.25" hidden="1" customHeight="1" outlineLevel="1">
      <c r="A368" s="131" t="s">
        <v>46</v>
      </c>
      <c r="B368" s="132">
        <v>45447.0</v>
      </c>
      <c r="C368" s="41" t="s">
        <v>61</v>
      </c>
      <c r="D368" s="182">
        <v>1.0</v>
      </c>
      <c r="E368" s="183">
        <v>150.0</v>
      </c>
      <c r="F368" s="183">
        <v>150.0</v>
      </c>
      <c r="G368" s="183">
        <v>150.0</v>
      </c>
      <c r="H368" s="8" t="b">
        <v>1</v>
      </c>
      <c r="I368" s="41" t="s">
        <v>236</v>
      </c>
      <c r="J368" s="41" t="s">
        <v>503</v>
      </c>
      <c r="K368" s="8" t="b">
        <v>0</v>
      </c>
      <c r="L368" s="8" t="b">
        <v>1</v>
      </c>
    </row>
    <row r="369" ht="14.25" hidden="1" customHeight="1" outlineLevel="1">
      <c r="A369" s="131" t="s">
        <v>46</v>
      </c>
      <c r="B369" s="132">
        <v>45448.0</v>
      </c>
      <c r="C369" s="41" t="s">
        <v>112</v>
      </c>
      <c r="D369" s="182">
        <v>1.0</v>
      </c>
      <c r="E369" s="183">
        <v>2.89</v>
      </c>
      <c r="F369" s="183">
        <f t="shared" ref="F369:F370" si="47">D369*E369</f>
        <v>2.89</v>
      </c>
      <c r="G369" s="196">
        <f>SUM(F369:F370)</f>
        <v>12.87</v>
      </c>
      <c r="H369" s="239" t="b">
        <v>0</v>
      </c>
      <c r="I369" s="54" t="s">
        <v>386</v>
      </c>
      <c r="J369" s="41" t="s">
        <v>676</v>
      </c>
      <c r="K369" s="239" t="b">
        <v>1</v>
      </c>
      <c r="L369" s="239" t="b">
        <v>1</v>
      </c>
    </row>
    <row r="370" ht="14.25" hidden="1" customHeight="1" outlineLevel="1">
      <c r="A370" s="131" t="s">
        <v>46</v>
      </c>
      <c r="B370" s="132">
        <v>45448.0</v>
      </c>
      <c r="C370" s="41" t="s">
        <v>112</v>
      </c>
      <c r="D370" s="182">
        <v>2.0</v>
      </c>
      <c r="E370" s="183">
        <v>4.99</v>
      </c>
      <c r="F370" s="183">
        <f t="shared" si="47"/>
        <v>9.98</v>
      </c>
      <c r="G370" s="10"/>
      <c r="H370" s="10"/>
      <c r="I370" s="10"/>
      <c r="J370" s="41" t="s">
        <v>69</v>
      </c>
      <c r="K370" s="10"/>
      <c r="L370" s="10"/>
    </row>
    <row r="371" ht="14.25" hidden="1" customHeight="1" outlineLevel="1">
      <c r="A371" s="131" t="s">
        <v>46</v>
      </c>
      <c r="B371" s="132">
        <v>45450.0</v>
      </c>
      <c r="C371" s="41" t="s">
        <v>61</v>
      </c>
      <c r="D371" s="182">
        <v>1.0</v>
      </c>
      <c r="E371" s="183">
        <v>150.0</v>
      </c>
      <c r="F371" s="183">
        <v>150.0</v>
      </c>
      <c r="G371" s="183">
        <v>150.0</v>
      </c>
      <c r="H371" s="8" t="b">
        <v>1</v>
      </c>
      <c r="I371" s="41" t="s">
        <v>236</v>
      </c>
      <c r="J371" s="41" t="s">
        <v>527</v>
      </c>
      <c r="K371" s="8" t="b">
        <v>0</v>
      </c>
      <c r="L371" s="8" t="b">
        <v>1</v>
      </c>
    </row>
    <row r="372" ht="14.25" hidden="1" customHeight="1" outlineLevel="1">
      <c r="A372" s="251" t="s">
        <v>46</v>
      </c>
      <c r="B372" s="253">
        <v>45452.0</v>
      </c>
      <c r="C372" s="30" t="s">
        <v>61</v>
      </c>
      <c r="D372" s="255">
        <v>1.0</v>
      </c>
      <c r="E372" s="256">
        <v>550.0</v>
      </c>
      <c r="F372" s="256">
        <v>550.0</v>
      </c>
      <c r="G372" s="256">
        <v>550.0</v>
      </c>
      <c r="H372" s="258" t="b">
        <v>1</v>
      </c>
      <c r="I372" s="41" t="s">
        <v>656</v>
      </c>
      <c r="J372" s="30" t="s">
        <v>678</v>
      </c>
      <c r="K372" s="258" t="b">
        <v>0</v>
      </c>
      <c r="L372" s="258" t="b">
        <v>1</v>
      </c>
    </row>
    <row r="373" ht="14.25" hidden="1" customHeight="1" outlineLevel="1">
      <c r="A373" s="131" t="s">
        <v>46</v>
      </c>
      <c r="B373" s="253">
        <v>45452.0</v>
      </c>
      <c r="C373" s="41" t="s">
        <v>61</v>
      </c>
      <c r="D373" s="182">
        <v>1.0</v>
      </c>
      <c r="E373" s="183">
        <v>200.0</v>
      </c>
      <c r="F373" s="183">
        <f t="shared" ref="F373:F375" si="48">D373*E373</f>
        <v>200</v>
      </c>
      <c r="G373" s="183">
        <f t="shared" ref="G373:G375" si="49">F373</f>
        <v>200</v>
      </c>
      <c r="H373" s="8" t="b">
        <v>1</v>
      </c>
      <c r="I373" s="41" t="s">
        <v>413</v>
      </c>
      <c r="J373" s="41" t="s">
        <v>514</v>
      </c>
      <c r="K373" s="8" t="b">
        <v>0</v>
      </c>
      <c r="L373" s="8" t="b">
        <v>1</v>
      </c>
    </row>
    <row r="374" ht="14.25" hidden="1" customHeight="1" outlineLevel="1">
      <c r="A374" s="131" t="s">
        <v>46</v>
      </c>
      <c r="B374" s="253">
        <v>45453.0</v>
      </c>
      <c r="C374" s="41" t="s">
        <v>680</v>
      </c>
      <c r="D374" s="182">
        <v>1.0</v>
      </c>
      <c r="E374" s="183">
        <v>20.29</v>
      </c>
      <c r="F374" s="183">
        <f t="shared" si="48"/>
        <v>20.29</v>
      </c>
      <c r="G374" s="183">
        <f t="shared" si="49"/>
        <v>20.29</v>
      </c>
      <c r="H374" s="8" t="b">
        <v>0</v>
      </c>
      <c r="I374" s="41" t="s">
        <v>681</v>
      </c>
      <c r="J374" s="41" t="s">
        <v>682</v>
      </c>
      <c r="K374" s="8" t="b">
        <v>1</v>
      </c>
      <c r="L374" s="8" t="b">
        <v>1</v>
      </c>
    </row>
    <row r="375" ht="14.25" hidden="1" customHeight="1" outlineLevel="1">
      <c r="A375" s="131" t="s">
        <v>46</v>
      </c>
      <c r="B375" s="253">
        <v>45453.0</v>
      </c>
      <c r="C375" s="41" t="s">
        <v>315</v>
      </c>
      <c r="D375" s="182">
        <v>3.0</v>
      </c>
      <c r="E375" s="183">
        <v>45.99</v>
      </c>
      <c r="F375" s="183">
        <f t="shared" si="48"/>
        <v>137.97</v>
      </c>
      <c r="G375" s="183">
        <f t="shared" si="49"/>
        <v>137.97</v>
      </c>
      <c r="H375" s="8" t="b">
        <v>0</v>
      </c>
      <c r="I375" s="41" t="s">
        <v>570</v>
      </c>
      <c r="J375" s="41" t="s">
        <v>333</v>
      </c>
      <c r="K375" s="8" t="b">
        <v>1</v>
      </c>
      <c r="L375" s="8" t="b">
        <v>1</v>
      </c>
    </row>
    <row r="376" ht="14.25" hidden="1" customHeight="1" outlineLevel="1">
      <c r="A376" s="131" t="s">
        <v>46</v>
      </c>
      <c r="B376" s="253">
        <v>45453.0</v>
      </c>
      <c r="C376" s="41" t="s">
        <v>97</v>
      </c>
      <c r="D376" s="182">
        <v>1.0</v>
      </c>
      <c r="E376" s="183">
        <v>201.25</v>
      </c>
      <c r="F376" s="183">
        <f t="shared" ref="F376:G376" si="50">E376</f>
        <v>201.25</v>
      </c>
      <c r="G376" s="183">
        <f t="shared" si="50"/>
        <v>201.25</v>
      </c>
      <c r="H376" s="8" t="b">
        <v>0</v>
      </c>
      <c r="I376" s="41" t="s">
        <v>684</v>
      </c>
      <c r="J376" s="41" t="s">
        <v>685</v>
      </c>
      <c r="K376" s="8" t="b">
        <v>1</v>
      </c>
      <c r="L376" s="8" t="b">
        <v>1</v>
      </c>
    </row>
    <row r="377" ht="14.25" hidden="1" customHeight="1" outlineLevel="1">
      <c r="A377" s="131" t="s">
        <v>46</v>
      </c>
      <c r="B377" s="132">
        <v>45454.0</v>
      </c>
      <c r="C377" s="41" t="s">
        <v>61</v>
      </c>
      <c r="D377" s="182">
        <v>1.0</v>
      </c>
      <c r="E377" s="183">
        <v>150.0</v>
      </c>
      <c r="F377" s="183">
        <v>150.0</v>
      </c>
      <c r="G377" s="183">
        <v>150.0</v>
      </c>
      <c r="H377" s="8" t="b">
        <v>1</v>
      </c>
      <c r="I377" s="41" t="s">
        <v>236</v>
      </c>
      <c r="J377" s="41" t="s">
        <v>503</v>
      </c>
      <c r="K377" s="8" t="b">
        <v>0</v>
      </c>
      <c r="L377" s="8" t="b">
        <v>1</v>
      </c>
    </row>
    <row r="378" ht="14.25" hidden="1" customHeight="1" outlineLevel="1">
      <c r="A378" s="131" t="s">
        <v>46</v>
      </c>
      <c r="B378" s="132">
        <v>45456.0</v>
      </c>
      <c r="C378" s="41" t="s">
        <v>55</v>
      </c>
      <c r="D378" s="182">
        <v>1.0</v>
      </c>
      <c r="E378" s="183">
        <v>10.1</v>
      </c>
      <c r="F378" s="183">
        <f t="shared" ref="F378:F379" si="51">D378*E378</f>
        <v>10.1</v>
      </c>
      <c r="G378" s="196">
        <f>F378+F379</f>
        <v>123.5</v>
      </c>
      <c r="H378" s="8" t="b">
        <v>0</v>
      </c>
      <c r="I378" s="54" t="s">
        <v>614</v>
      </c>
      <c r="J378" s="41" t="s">
        <v>686</v>
      </c>
      <c r="K378" s="239" t="b">
        <v>1</v>
      </c>
      <c r="L378" s="239" t="b">
        <v>1</v>
      </c>
    </row>
    <row r="379" ht="14.25" hidden="1" customHeight="1" outlineLevel="1">
      <c r="A379" s="131" t="s">
        <v>46</v>
      </c>
      <c r="B379" s="132">
        <v>45456.0</v>
      </c>
      <c r="C379" s="41" t="s">
        <v>55</v>
      </c>
      <c r="D379" s="182">
        <v>6.0</v>
      </c>
      <c r="E379" s="183">
        <v>18.9</v>
      </c>
      <c r="F379" s="183">
        <f t="shared" si="51"/>
        <v>113.4</v>
      </c>
      <c r="G379" s="10"/>
      <c r="H379" s="8" t="b">
        <v>0</v>
      </c>
      <c r="I379" s="10"/>
      <c r="J379" s="41" t="s">
        <v>687</v>
      </c>
      <c r="K379" s="10"/>
      <c r="L379" s="10"/>
    </row>
    <row r="380" ht="14.25" hidden="1" customHeight="1" outlineLevel="1">
      <c r="A380" s="131" t="s">
        <v>46</v>
      </c>
      <c r="B380" s="132">
        <v>45456.0</v>
      </c>
      <c r="C380" s="41" t="s">
        <v>75</v>
      </c>
      <c r="D380" s="182">
        <v>3.0</v>
      </c>
      <c r="E380" s="183">
        <v>35.0</v>
      </c>
      <c r="F380" s="183">
        <f>E380*D380</f>
        <v>105</v>
      </c>
      <c r="G380" s="183">
        <f>F380</f>
        <v>105</v>
      </c>
      <c r="H380" s="8" t="b">
        <v>0</v>
      </c>
      <c r="I380" s="41" t="s">
        <v>599</v>
      </c>
      <c r="J380" s="41" t="s">
        <v>688</v>
      </c>
      <c r="K380" s="8" t="b">
        <v>0</v>
      </c>
      <c r="L380" s="8" t="b">
        <v>1</v>
      </c>
    </row>
    <row r="381" ht="14.25" hidden="1" customHeight="1" outlineLevel="1">
      <c r="A381" s="131" t="s">
        <v>46</v>
      </c>
      <c r="B381" s="132">
        <v>45457.0</v>
      </c>
      <c r="C381" s="41" t="s">
        <v>61</v>
      </c>
      <c r="D381" s="182">
        <v>1.0</v>
      </c>
      <c r="E381" s="183">
        <v>150.0</v>
      </c>
      <c r="F381" s="183">
        <v>150.0</v>
      </c>
      <c r="G381" s="183">
        <v>150.0</v>
      </c>
      <c r="H381" s="8" t="b">
        <v>1</v>
      </c>
      <c r="I381" s="41" t="s">
        <v>236</v>
      </c>
      <c r="J381" s="41" t="s">
        <v>527</v>
      </c>
      <c r="K381" s="8" t="b">
        <v>0</v>
      </c>
      <c r="L381" s="8" t="b">
        <v>1</v>
      </c>
    </row>
    <row r="382" ht="14.25" hidden="1" customHeight="1" outlineLevel="1">
      <c r="A382" s="131" t="s">
        <v>46</v>
      </c>
      <c r="B382" s="132">
        <v>45457.0</v>
      </c>
      <c r="C382" s="41" t="s">
        <v>231</v>
      </c>
      <c r="D382" s="182">
        <v>4.0</v>
      </c>
      <c r="E382" s="183">
        <v>48.2</v>
      </c>
      <c r="F382" s="183">
        <f>D382*E382</f>
        <v>192.8</v>
      </c>
      <c r="G382" s="183">
        <f>F382</f>
        <v>192.8</v>
      </c>
      <c r="H382" s="8" t="b">
        <v>0</v>
      </c>
      <c r="I382" s="267" t="s">
        <v>405</v>
      </c>
      <c r="J382" s="41" t="s">
        <v>690</v>
      </c>
      <c r="K382" s="8" t="b">
        <v>1</v>
      </c>
      <c r="L382" s="8" t="b">
        <v>1</v>
      </c>
    </row>
    <row r="383" ht="14.25" hidden="1" customHeight="1" outlineLevel="1">
      <c r="A383" s="131" t="s">
        <v>46</v>
      </c>
      <c r="B383" s="132">
        <v>45459.0</v>
      </c>
      <c r="C383" s="41" t="s">
        <v>61</v>
      </c>
      <c r="D383" s="182">
        <v>1.0</v>
      </c>
      <c r="E383" s="183">
        <v>200.0</v>
      </c>
      <c r="F383" s="183">
        <v>200.0</v>
      </c>
      <c r="G383" s="183">
        <v>200.0</v>
      </c>
      <c r="H383" s="8" t="b">
        <v>1</v>
      </c>
      <c r="I383" s="41" t="s">
        <v>490</v>
      </c>
      <c r="J383" s="41" t="s">
        <v>513</v>
      </c>
      <c r="K383" s="8" t="b">
        <v>0</v>
      </c>
      <c r="L383" s="8" t="b">
        <v>1</v>
      </c>
    </row>
    <row r="384" ht="14.25" hidden="1" customHeight="1" outlineLevel="1">
      <c r="A384" s="131" t="s">
        <v>46</v>
      </c>
      <c r="B384" s="132">
        <v>45459.0</v>
      </c>
      <c r="C384" s="41" t="s">
        <v>61</v>
      </c>
      <c r="D384" s="182">
        <v>1.0</v>
      </c>
      <c r="E384" s="183">
        <v>200.0</v>
      </c>
      <c r="F384" s="183">
        <v>200.0</v>
      </c>
      <c r="G384" s="183">
        <v>200.0</v>
      </c>
      <c r="H384" s="8" t="b">
        <v>1</v>
      </c>
      <c r="I384" s="41" t="s">
        <v>413</v>
      </c>
      <c r="J384" s="41" t="s">
        <v>514</v>
      </c>
      <c r="K384" s="8" t="b">
        <v>0</v>
      </c>
      <c r="L384" s="8" t="b">
        <v>1</v>
      </c>
    </row>
    <row r="385" ht="14.25" hidden="1" customHeight="1" outlineLevel="1">
      <c r="A385" s="131" t="s">
        <v>46</v>
      </c>
      <c r="B385" s="132">
        <v>45461.0</v>
      </c>
      <c r="C385" s="41" t="s">
        <v>61</v>
      </c>
      <c r="D385" s="182">
        <v>1.0</v>
      </c>
      <c r="E385" s="183">
        <v>150.0</v>
      </c>
      <c r="F385" s="183">
        <v>150.0</v>
      </c>
      <c r="G385" s="183">
        <v>150.0</v>
      </c>
      <c r="H385" s="8" t="b">
        <v>1</v>
      </c>
      <c r="I385" s="41" t="s">
        <v>236</v>
      </c>
      <c r="J385" s="41" t="s">
        <v>503</v>
      </c>
      <c r="K385" s="8" t="b">
        <v>0</v>
      </c>
      <c r="L385" s="8" t="b">
        <v>1</v>
      </c>
    </row>
    <row r="386" ht="14.25" hidden="1" customHeight="1" outlineLevel="1">
      <c r="A386" s="131" t="s">
        <v>46</v>
      </c>
      <c r="B386" s="132">
        <v>45464.0</v>
      </c>
      <c r="C386" s="41" t="s">
        <v>61</v>
      </c>
      <c r="D386" s="182">
        <v>1.0</v>
      </c>
      <c r="E386" s="183">
        <v>150.0</v>
      </c>
      <c r="F386" s="183">
        <v>150.0</v>
      </c>
      <c r="G386" s="183">
        <v>150.0</v>
      </c>
      <c r="H386" s="8" t="b">
        <v>1</v>
      </c>
      <c r="I386" s="41" t="s">
        <v>236</v>
      </c>
      <c r="J386" s="41" t="s">
        <v>527</v>
      </c>
      <c r="K386" s="8" t="b">
        <v>0</v>
      </c>
      <c r="L386" s="8" t="b">
        <v>1</v>
      </c>
    </row>
    <row r="387" ht="14.25" hidden="1" customHeight="1" outlineLevel="1">
      <c r="A387" s="131" t="s">
        <v>46</v>
      </c>
      <c r="B387" s="132">
        <v>45466.0</v>
      </c>
      <c r="C387" s="41" t="s">
        <v>61</v>
      </c>
      <c r="D387" s="182">
        <v>1.0</v>
      </c>
      <c r="E387" s="183">
        <v>200.0</v>
      </c>
      <c r="F387" s="183">
        <v>200.0</v>
      </c>
      <c r="G387" s="183">
        <v>200.0</v>
      </c>
      <c r="H387" s="8" t="b">
        <v>1</v>
      </c>
      <c r="I387" s="41" t="s">
        <v>490</v>
      </c>
      <c r="J387" s="41" t="s">
        <v>513</v>
      </c>
      <c r="K387" s="8" t="b">
        <v>0</v>
      </c>
      <c r="L387" s="8" t="b">
        <v>1</v>
      </c>
    </row>
    <row r="388" ht="14.25" hidden="1" customHeight="1" outlineLevel="1">
      <c r="A388" s="131" t="s">
        <v>46</v>
      </c>
      <c r="B388" s="132">
        <v>45466.0</v>
      </c>
      <c r="C388" s="41" t="s">
        <v>61</v>
      </c>
      <c r="D388" s="182">
        <v>1.0</v>
      </c>
      <c r="E388" s="183">
        <v>200.0</v>
      </c>
      <c r="F388" s="183">
        <v>200.0</v>
      </c>
      <c r="G388" s="183">
        <v>200.0</v>
      </c>
      <c r="H388" s="8" t="b">
        <v>1</v>
      </c>
      <c r="I388" s="41" t="s">
        <v>413</v>
      </c>
      <c r="J388" s="41" t="s">
        <v>514</v>
      </c>
      <c r="K388" s="8" t="b">
        <v>0</v>
      </c>
      <c r="L388" s="8" t="b">
        <v>1</v>
      </c>
    </row>
    <row r="389" ht="14.25" hidden="1" customHeight="1" outlineLevel="1">
      <c r="A389" s="131" t="s">
        <v>46</v>
      </c>
      <c r="B389" s="132">
        <v>45468.0</v>
      </c>
      <c r="C389" s="41" t="s">
        <v>93</v>
      </c>
      <c r="D389" s="182">
        <v>1.0</v>
      </c>
      <c r="E389" s="183">
        <v>80.0</v>
      </c>
      <c r="F389" s="183">
        <v>80.0</v>
      </c>
      <c r="G389" s="183">
        <v>80.0</v>
      </c>
      <c r="H389" s="8" t="b">
        <v>0</v>
      </c>
      <c r="I389" s="143" t="s">
        <v>337</v>
      </c>
      <c r="J389" s="41" t="s">
        <v>694</v>
      </c>
      <c r="K389" s="8" t="b">
        <v>1</v>
      </c>
      <c r="L389" s="8" t="b">
        <v>1</v>
      </c>
    </row>
    <row r="390" ht="14.25" hidden="1" customHeight="1" outlineLevel="1">
      <c r="A390" s="131" t="s">
        <v>46</v>
      </c>
      <c r="B390" s="132">
        <v>45468.0</v>
      </c>
      <c r="C390" s="41" t="s">
        <v>61</v>
      </c>
      <c r="D390" s="182">
        <v>1.0</v>
      </c>
      <c r="E390" s="183">
        <v>150.0</v>
      </c>
      <c r="F390" s="183">
        <v>150.0</v>
      </c>
      <c r="G390" s="183">
        <v>150.0</v>
      </c>
      <c r="H390" s="8" t="b">
        <v>1</v>
      </c>
      <c r="I390" s="41" t="s">
        <v>236</v>
      </c>
      <c r="J390" s="41" t="s">
        <v>503</v>
      </c>
      <c r="K390" s="8" t="b">
        <v>0</v>
      </c>
      <c r="L390" s="8" t="b">
        <v>1</v>
      </c>
    </row>
    <row r="391" ht="14.25" hidden="1" customHeight="1" outlineLevel="1">
      <c r="A391" s="131" t="s">
        <v>46</v>
      </c>
      <c r="B391" s="132">
        <v>45469.0</v>
      </c>
      <c r="C391" s="41" t="s">
        <v>61</v>
      </c>
      <c r="D391" s="182">
        <v>1.0</v>
      </c>
      <c r="E391" s="183">
        <v>3800.0</v>
      </c>
      <c r="F391" s="183">
        <v>3800.0</v>
      </c>
      <c r="G391" s="183">
        <v>3800.0</v>
      </c>
      <c r="H391" s="8" t="b">
        <v>1</v>
      </c>
      <c r="I391" s="41" t="s">
        <v>119</v>
      </c>
      <c r="J391" s="41" t="s">
        <v>695</v>
      </c>
      <c r="K391" s="8" t="b">
        <v>0</v>
      </c>
      <c r="L391" s="8" t="b">
        <v>1</v>
      </c>
    </row>
    <row r="392" ht="14.25" hidden="1" customHeight="1" outlineLevel="1">
      <c r="A392" s="131" t="s">
        <v>46</v>
      </c>
      <c r="B392" s="132">
        <v>45470.0</v>
      </c>
      <c r="C392" s="41" t="s">
        <v>80</v>
      </c>
      <c r="D392" s="182">
        <v>2.0</v>
      </c>
      <c r="E392" s="183">
        <v>14.0</v>
      </c>
      <c r="F392" s="183">
        <f>E392*D392</f>
        <v>28</v>
      </c>
      <c r="G392" s="183">
        <f>F392</f>
        <v>28</v>
      </c>
      <c r="H392" s="8" t="b">
        <v>0</v>
      </c>
      <c r="I392" s="143" t="s">
        <v>608</v>
      </c>
      <c r="J392" s="143" t="s">
        <v>609</v>
      </c>
      <c r="K392" s="8" t="b">
        <v>1</v>
      </c>
      <c r="L392" s="8" t="b">
        <v>1</v>
      </c>
    </row>
    <row r="393" ht="14.25" hidden="1" customHeight="1" outlineLevel="1">
      <c r="A393" s="131" t="s">
        <v>46</v>
      </c>
      <c r="B393" s="132">
        <v>45471.0</v>
      </c>
      <c r="C393" s="41" t="s">
        <v>61</v>
      </c>
      <c r="D393" s="182">
        <v>1.0</v>
      </c>
      <c r="E393" s="183">
        <v>150.0</v>
      </c>
      <c r="F393" s="183">
        <v>150.0</v>
      </c>
      <c r="G393" s="183">
        <v>150.0</v>
      </c>
      <c r="H393" s="8" t="b">
        <v>1</v>
      </c>
      <c r="I393" s="41" t="s">
        <v>236</v>
      </c>
      <c r="J393" s="41" t="s">
        <v>527</v>
      </c>
      <c r="K393" s="8" t="b">
        <v>0</v>
      </c>
      <c r="L393" s="8" t="b">
        <v>1</v>
      </c>
    </row>
    <row r="394" ht="14.25" hidden="1" customHeight="1" outlineLevel="1">
      <c r="A394" s="131" t="s">
        <v>46</v>
      </c>
      <c r="B394" s="132">
        <v>45472.0</v>
      </c>
      <c r="C394" s="41" t="s">
        <v>171</v>
      </c>
      <c r="D394" s="182">
        <v>1.0</v>
      </c>
      <c r="E394" s="183">
        <v>232.75</v>
      </c>
      <c r="F394" s="183">
        <v>232.75</v>
      </c>
      <c r="G394" s="183">
        <v>232.75</v>
      </c>
      <c r="H394" s="8" t="b">
        <v>0</v>
      </c>
      <c r="I394" s="41" t="s">
        <v>172</v>
      </c>
      <c r="J394" s="41" t="s">
        <v>696</v>
      </c>
      <c r="K394" s="8" t="b">
        <v>1</v>
      </c>
      <c r="L394" s="8" t="b">
        <v>1</v>
      </c>
    </row>
    <row r="395" ht="14.25" hidden="1" customHeight="1" outlineLevel="1">
      <c r="A395" s="131" t="s">
        <v>46</v>
      </c>
      <c r="B395" s="132">
        <v>45472.0</v>
      </c>
      <c r="C395" s="41" t="s">
        <v>248</v>
      </c>
      <c r="D395" s="182">
        <v>1.0</v>
      </c>
      <c r="E395" s="183">
        <v>55.0</v>
      </c>
      <c r="F395" s="183">
        <v>55.0</v>
      </c>
      <c r="G395" s="183">
        <v>55.0</v>
      </c>
      <c r="H395" s="8" t="b">
        <v>0</v>
      </c>
      <c r="I395" s="41" t="s">
        <v>698</v>
      </c>
      <c r="J395" s="41"/>
      <c r="K395" s="8" t="b">
        <v>0</v>
      </c>
      <c r="L395" s="8" t="b">
        <v>0</v>
      </c>
    </row>
    <row r="396" ht="14.25" hidden="1" customHeight="1" outlineLevel="1">
      <c r="A396" s="131" t="s">
        <v>46</v>
      </c>
      <c r="B396" s="132">
        <v>45472.0</v>
      </c>
      <c r="C396" s="41" t="s">
        <v>171</v>
      </c>
      <c r="D396" s="182">
        <v>1.0</v>
      </c>
      <c r="E396" s="183">
        <v>28.0</v>
      </c>
      <c r="F396" s="183">
        <v>28.0</v>
      </c>
      <c r="G396" s="183">
        <v>28.0</v>
      </c>
      <c r="H396" s="8" t="b">
        <v>0</v>
      </c>
      <c r="I396" s="41" t="s">
        <v>172</v>
      </c>
      <c r="J396" s="41" t="s">
        <v>700</v>
      </c>
      <c r="K396" s="8" t="b">
        <v>1</v>
      </c>
      <c r="L396" s="8" t="b">
        <v>1</v>
      </c>
    </row>
    <row r="397" ht="14.25" hidden="1" customHeight="1" outlineLevel="1">
      <c r="A397" s="131" t="s">
        <v>46</v>
      </c>
      <c r="B397" s="132">
        <v>45473.0</v>
      </c>
      <c r="C397" s="41" t="s">
        <v>61</v>
      </c>
      <c r="D397" s="182">
        <v>1.0</v>
      </c>
      <c r="E397" s="183">
        <v>200.0</v>
      </c>
      <c r="F397" s="183">
        <v>200.0</v>
      </c>
      <c r="G397" s="183">
        <v>200.0</v>
      </c>
      <c r="H397" s="8" t="b">
        <v>1</v>
      </c>
      <c r="I397" s="41" t="s">
        <v>490</v>
      </c>
      <c r="J397" s="41" t="s">
        <v>513</v>
      </c>
      <c r="K397" s="8" t="b">
        <v>0</v>
      </c>
      <c r="L397" s="8" t="b">
        <v>1</v>
      </c>
    </row>
    <row r="398" ht="14.25" hidden="1" customHeight="1" outlineLevel="1">
      <c r="A398" s="131" t="s">
        <v>46</v>
      </c>
      <c r="B398" s="132">
        <v>45473.0</v>
      </c>
      <c r="C398" s="41" t="s">
        <v>61</v>
      </c>
      <c r="D398" s="182">
        <v>1.0</v>
      </c>
      <c r="E398" s="183">
        <v>200.0</v>
      </c>
      <c r="F398" s="183">
        <v>200.0</v>
      </c>
      <c r="G398" s="183">
        <v>200.0</v>
      </c>
      <c r="H398" s="8" t="b">
        <v>1</v>
      </c>
      <c r="I398" s="41" t="s">
        <v>342</v>
      </c>
      <c r="J398" s="41" t="s">
        <v>514</v>
      </c>
      <c r="K398" s="8" t="b">
        <v>0</v>
      </c>
      <c r="L398" s="8" t="b">
        <v>1</v>
      </c>
    </row>
    <row r="399" ht="14.25" hidden="1" customHeight="1" outlineLevel="1">
      <c r="A399" s="131" t="s">
        <v>46</v>
      </c>
      <c r="B399" s="132">
        <v>45473.0</v>
      </c>
      <c r="C399" s="41" t="s">
        <v>188</v>
      </c>
      <c r="D399" s="182">
        <v>1.0</v>
      </c>
      <c r="E399" s="183">
        <v>1290.0</v>
      </c>
      <c r="F399" s="183">
        <v>1290.0</v>
      </c>
      <c r="G399" s="183">
        <v>1290.0</v>
      </c>
      <c r="H399" s="8" t="b">
        <v>0</v>
      </c>
      <c r="I399" s="41" t="s">
        <v>704</v>
      </c>
      <c r="J399" s="41" t="s">
        <v>698</v>
      </c>
      <c r="K399" s="8" t="b">
        <v>0</v>
      </c>
      <c r="L399" s="8" t="b">
        <v>0</v>
      </c>
    </row>
    <row r="400" ht="14.25" hidden="1" customHeight="1" outlineLevel="1">
      <c r="A400" s="131" t="s">
        <v>46</v>
      </c>
      <c r="B400" s="132"/>
      <c r="C400" s="41"/>
      <c r="D400" s="182"/>
      <c r="E400" s="183"/>
      <c r="F400" s="183"/>
      <c r="G400" s="183"/>
      <c r="H400" s="8" t="b">
        <v>0</v>
      </c>
      <c r="I400" s="41"/>
      <c r="J400" s="41"/>
      <c r="K400" s="8" t="b">
        <v>0</v>
      </c>
      <c r="L400" s="8" t="b">
        <v>0</v>
      </c>
    </row>
    <row r="401" ht="14.25" hidden="1" customHeight="1" outlineLevel="1">
      <c r="A401" s="131" t="s">
        <v>46</v>
      </c>
      <c r="B401" s="132"/>
      <c r="C401" s="41"/>
      <c r="D401" s="182"/>
      <c r="E401" s="183"/>
      <c r="F401" s="183"/>
      <c r="G401" s="183"/>
      <c r="H401" s="8" t="b">
        <v>0</v>
      </c>
      <c r="I401" s="41"/>
      <c r="J401" s="41"/>
      <c r="K401" s="8" t="b">
        <v>0</v>
      </c>
      <c r="L401" s="8" t="b">
        <v>0</v>
      </c>
    </row>
    <row r="402" ht="14.25" hidden="1" customHeight="1" outlineLevel="1">
      <c r="A402" s="131" t="s">
        <v>46</v>
      </c>
      <c r="B402" s="132"/>
      <c r="C402" s="41"/>
      <c r="D402" s="182"/>
      <c r="E402" s="183"/>
      <c r="F402" s="183"/>
      <c r="G402" s="183"/>
      <c r="H402" s="8" t="b">
        <v>0</v>
      </c>
      <c r="I402" s="41"/>
      <c r="J402" s="41"/>
      <c r="K402" s="8" t="b">
        <v>0</v>
      </c>
      <c r="L402" s="8" t="b">
        <v>0</v>
      </c>
    </row>
    <row r="403" ht="14.25" hidden="1" customHeight="1" outlineLevel="1">
      <c r="A403" s="131" t="s">
        <v>46</v>
      </c>
      <c r="B403" s="132"/>
      <c r="C403" s="41"/>
      <c r="D403" s="182"/>
      <c r="E403" s="183"/>
      <c r="F403" s="183"/>
      <c r="G403" s="183"/>
      <c r="H403" s="8" t="b">
        <v>0</v>
      </c>
      <c r="I403" s="41"/>
      <c r="J403" s="41"/>
      <c r="K403" s="8" t="b">
        <v>0</v>
      </c>
      <c r="L403" s="8" t="b">
        <v>0</v>
      </c>
    </row>
    <row r="404" ht="14.25" hidden="1" customHeight="1" outlineLevel="1">
      <c r="A404" s="131" t="s">
        <v>46</v>
      </c>
      <c r="B404" s="132"/>
      <c r="C404" s="41"/>
      <c r="D404" s="182"/>
      <c r="E404" s="183"/>
      <c r="F404" s="183"/>
      <c r="G404" s="183"/>
      <c r="H404" s="8" t="b">
        <v>0</v>
      </c>
      <c r="I404" s="41"/>
      <c r="J404" s="41"/>
      <c r="K404" s="8" t="b">
        <v>0</v>
      </c>
      <c r="L404" s="8" t="b">
        <v>0</v>
      </c>
    </row>
    <row r="405" ht="14.25" customHeight="1">
      <c r="A405" s="180" t="s">
        <v>192</v>
      </c>
      <c r="B405" s="27"/>
      <c r="C405" s="27"/>
      <c r="D405" s="27"/>
      <c r="E405" s="28"/>
      <c r="F405" s="181">
        <f t="shared" ref="F405:G405" si="52">SUM(F363:F404)</f>
        <v>10249.43</v>
      </c>
      <c r="G405" s="181">
        <f t="shared" si="52"/>
        <v>10249.43</v>
      </c>
      <c r="H405" s="156"/>
      <c r="I405" s="107"/>
      <c r="J405" s="112"/>
    </row>
    <row r="406" ht="14.25" customHeight="1" collapsed="1">
      <c r="A406" s="245" t="s">
        <v>675</v>
      </c>
      <c r="B406" s="246"/>
      <c r="C406" s="246"/>
      <c r="D406" s="246"/>
      <c r="E406" s="246"/>
      <c r="F406" s="246"/>
      <c r="G406" s="246"/>
      <c r="H406" s="246"/>
      <c r="I406" s="246"/>
      <c r="J406" s="247"/>
      <c r="K406" s="238"/>
      <c r="L406" s="238"/>
    </row>
    <row r="407" ht="14.25" hidden="1" customHeight="1" outlineLevel="1">
      <c r="A407" s="131" t="s">
        <v>45</v>
      </c>
      <c r="B407" s="132">
        <v>45474.0</v>
      </c>
      <c r="C407" s="41" t="s">
        <v>93</v>
      </c>
      <c r="D407" s="182">
        <v>1.0</v>
      </c>
      <c r="E407" s="183">
        <v>185.0</v>
      </c>
      <c r="F407" s="183">
        <v>185.0</v>
      </c>
      <c r="G407" s="183">
        <v>185.0</v>
      </c>
      <c r="H407" s="239" t="b">
        <v>0</v>
      </c>
      <c r="I407" s="143" t="s">
        <v>337</v>
      </c>
      <c r="J407" s="41" t="s">
        <v>708</v>
      </c>
      <c r="K407" s="239" t="b">
        <v>1</v>
      </c>
      <c r="L407" s="239" t="b">
        <v>1</v>
      </c>
    </row>
    <row r="408" ht="14.25" hidden="1" customHeight="1" outlineLevel="1">
      <c r="A408" s="131" t="s">
        <v>45</v>
      </c>
      <c r="B408" s="132">
        <v>45474.0</v>
      </c>
      <c r="C408" s="41" t="s">
        <v>231</v>
      </c>
      <c r="D408" s="182">
        <v>4.0</v>
      </c>
      <c r="E408" s="183">
        <v>7.99</v>
      </c>
      <c r="F408" s="183">
        <f t="shared" ref="F408:F415" si="53">E408*D408</f>
        <v>31.96</v>
      </c>
      <c r="G408" s="196">
        <f>SUM(F408:F415)</f>
        <v>136.57</v>
      </c>
      <c r="H408" s="239" t="b">
        <v>0</v>
      </c>
      <c r="I408" s="269" t="s">
        <v>709</v>
      </c>
      <c r="J408" s="41" t="s">
        <v>710</v>
      </c>
      <c r="K408" s="239" t="b">
        <v>1</v>
      </c>
      <c r="L408" s="239" t="b">
        <v>1</v>
      </c>
    </row>
    <row r="409" ht="14.25" hidden="1" customHeight="1" outlineLevel="1">
      <c r="A409" s="131" t="s">
        <v>45</v>
      </c>
      <c r="B409" s="132">
        <v>45474.0</v>
      </c>
      <c r="C409" s="41" t="s">
        <v>231</v>
      </c>
      <c r="D409" s="182">
        <v>2.0</v>
      </c>
      <c r="E409" s="183">
        <v>16.39</v>
      </c>
      <c r="F409" s="183">
        <f t="shared" si="53"/>
        <v>32.78</v>
      </c>
      <c r="G409" s="58"/>
      <c r="H409" s="58"/>
      <c r="I409" s="194"/>
      <c r="J409" s="41" t="s">
        <v>712</v>
      </c>
      <c r="K409" s="58"/>
      <c r="L409" s="58"/>
    </row>
    <row r="410" ht="14.25" hidden="1" customHeight="1" outlineLevel="1">
      <c r="A410" s="131" t="s">
        <v>45</v>
      </c>
      <c r="B410" s="132">
        <v>45474.0</v>
      </c>
      <c r="C410" s="41" t="s">
        <v>231</v>
      </c>
      <c r="D410" s="182">
        <v>1.0</v>
      </c>
      <c r="E410" s="183">
        <v>21.99</v>
      </c>
      <c r="F410" s="183">
        <f t="shared" si="53"/>
        <v>21.99</v>
      </c>
      <c r="G410" s="58"/>
      <c r="H410" s="58"/>
      <c r="I410" s="194"/>
      <c r="J410" s="41" t="s">
        <v>713</v>
      </c>
      <c r="K410" s="58"/>
      <c r="L410" s="58"/>
    </row>
    <row r="411" ht="14.25" hidden="1" customHeight="1" outlineLevel="1">
      <c r="A411" s="131" t="s">
        <v>45</v>
      </c>
      <c r="B411" s="132">
        <v>45474.0</v>
      </c>
      <c r="C411" s="41" t="s">
        <v>112</v>
      </c>
      <c r="D411" s="182">
        <v>1.0</v>
      </c>
      <c r="E411" s="183">
        <v>17.49</v>
      </c>
      <c r="F411" s="183">
        <f t="shared" si="53"/>
        <v>17.49</v>
      </c>
      <c r="G411" s="58"/>
      <c r="H411" s="58"/>
      <c r="I411" s="194"/>
      <c r="J411" s="41" t="s">
        <v>714</v>
      </c>
      <c r="K411" s="58"/>
      <c r="L411" s="58"/>
    </row>
    <row r="412" ht="14.25" hidden="1" customHeight="1" outlineLevel="1">
      <c r="A412" s="131" t="s">
        <v>45</v>
      </c>
      <c r="B412" s="132">
        <v>45474.0</v>
      </c>
      <c r="C412" s="41" t="s">
        <v>112</v>
      </c>
      <c r="D412" s="182">
        <v>1.0</v>
      </c>
      <c r="E412" s="183">
        <v>9.99</v>
      </c>
      <c r="F412" s="183">
        <f t="shared" si="53"/>
        <v>9.99</v>
      </c>
      <c r="G412" s="58"/>
      <c r="H412" s="58"/>
      <c r="I412" s="194"/>
      <c r="J412" s="41" t="s">
        <v>715</v>
      </c>
      <c r="K412" s="58"/>
      <c r="L412" s="58"/>
    </row>
    <row r="413" ht="14.25" hidden="1" customHeight="1" outlineLevel="1">
      <c r="A413" s="131" t="s">
        <v>45</v>
      </c>
      <c r="B413" s="132">
        <v>45474.0</v>
      </c>
      <c r="C413" s="41" t="s">
        <v>112</v>
      </c>
      <c r="D413" s="182">
        <v>1.0</v>
      </c>
      <c r="E413" s="183">
        <v>7.99</v>
      </c>
      <c r="F413" s="183">
        <f t="shared" si="53"/>
        <v>7.99</v>
      </c>
      <c r="G413" s="58"/>
      <c r="H413" s="58"/>
      <c r="I413" s="194"/>
      <c r="J413" s="41" t="s">
        <v>716</v>
      </c>
      <c r="K413" s="58"/>
      <c r="L413" s="58"/>
    </row>
    <row r="414" ht="14.25" hidden="1" customHeight="1" outlineLevel="1">
      <c r="A414" s="131" t="s">
        <v>45</v>
      </c>
      <c r="B414" s="132">
        <v>45474.0</v>
      </c>
      <c r="C414" s="41" t="s">
        <v>112</v>
      </c>
      <c r="D414" s="182">
        <v>1.0</v>
      </c>
      <c r="E414" s="183">
        <v>1.99</v>
      </c>
      <c r="F414" s="183">
        <f t="shared" si="53"/>
        <v>1.99</v>
      </c>
      <c r="G414" s="58"/>
      <c r="H414" s="58"/>
      <c r="I414" s="194"/>
      <c r="J414" s="41" t="s">
        <v>718</v>
      </c>
      <c r="K414" s="58"/>
      <c r="L414" s="58"/>
    </row>
    <row r="415" ht="14.25" hidden="1" customHeight="1" outlineLevel="1">
      <c r="A415" s="131" t="s">
        <v>45</v>
      </c>
      <c r="B415" s="132">
        <v>45474.0</v>
      </c>
      <c r="C415" s="41" t="s">
        <v>69</v>
      </c>
      <c r="D415" s="182">
        <v>2.0</v>
      </c>
      <c r="E415" s="183">
        <v>6.19</v>
      </c>
      <c r="F415" s="183">
        <f t="shared" si="53"/>
        <v>12.38</v>
      </c>
      <c r="G415" s="10"/>
      <c r="H415" s="58"/>
      <c r="I415" s="74"/>
      <c r="J415" s="41" t="s">
        <v>230</v>
      </c>
      <c r="K415" s="10"/>
      <c r="L415" s="10"/>
    </row>
    <row r="416" ht="14.25" hidden="1" customHeight="1" outlineLevel="1">
      <c r="A416" s="131" t="s">
        <v>45</v>
      </c>
      <c r="B416" s="132">
        <v>45475.0</v>
      </c>
      <c r="C416" s="41" t="s">
        <v>61</v>
      </c>
      <c r="D416" s="182">
        <v>1.0</v>
      </c>
      <c r="E416" s="183">
        <v>150.0</v>
      </c>
      <c r="F416" s="183">
        <v>150.0</v>
      </c>
      <c r="G416" s="183">
        <v>150.0</v>
      </c>
      <c r="H416" s="239" t="b">
        <v>1</v>
      </c>
      <c r="I416" s="267" t="s">
        <v>236</v>
      </c>
      <c r="J416" s="41" t="s">
        <v>410</v>
      </c>
      <c r="K416" s="8" t="b">
        <v>0</v>
      </c>
      <c r="L416" s="8" t="b">
        <v>1</v>
      </c>
    </row>
    <row r="417" ht="14.25" hidden="1" customHeight="1" outlineLevel="1">
      <c r="A417" s="131" t="s">
        <v>45</v>
      </c>
      <c r="B417" s="132">
        <v>45478.0</v>
      </c>
      <c r="C417" s="41" t="s">
        <v>61</v>
      </c>
      <c r="D417" s="182">
        <v>1.0</v>
      </c>
      <c r="E417" s="183">
        <v>150.0</v>
      </c>
      <c r="F417" s="183">
        <v>150.0</v>
      </c>
      <c r="G417" s="183">
        <v>150.0</v>
      </c>
      <c r="H417" s="239" t="b">
        <v>1</v>
      </c>
      <c r="I417" s="267" t="s">
        <v>236</v>
      </c>
      <c r="J417" s="41" t="s">
        <v>384</v>
      </c>
      <c r="K417" s="8" t="b">
        <v>0</v>
      </c>
      <c r="L417" s="8" t="b">
        <v>1</v>
      </c>
    </row>
    <row r="418" ht="14.25" hidden="1" customHeight="1" outlineLevel="1">
      <c r="A418" s="131" t="s">
        <v>45</v>
      </c>
      <c r="B418" s="132">
        <v>45478.0</v>
      </c>
      <c r="C418" s="41" t="s">
        <v>61</v>
      </c>
      <c r="D418" s="182">
        <v>1.0</v>
      </c>
      <c r="E418" s="183">
        <v>150.0</v>
      </c>
      <c r="F418" s="183">
        <v>150.0</v>
      </c>
      <c r="G418" s="183">
        <v>150.0</v>
      </c>
      <c r="H418" s="239" t="b">
        <v>1</v>
      </c>
      <c r="I418" s="267" t="s">
        <v>490</v>
      </c>
      <c r="J418" s="41" t="s">
        <v>719</v>
      </c>
      <c r="K418" s="8" t="b">
        <v>0</v>
      </c>
      <c r="L418" s="8" t="b">
        <v>1</v>
      </c>
    </row>
    <row r="419" ht="14.25" hidden="1" customHeight="1" outlineLevel="1">
      <c r="A419" s="131" t="s">
        <v>45</v>
      </c>
      <c r="B419" s="132">
        <v>45479.0</v>
      </c>
      <c r="C419" s="41" t="s">
        <v>231</v>
      </c>
      <c r="D419" s="182">
        <v>2.0</v>
      </c>
      <c r="E419" s="183">
        <v>19.2</v>
      </c>
      <c r="F419" s="183">
        <f t="shared" ref="F419:F420" si="54">D419*E419</f>
        <v>38.4</v>
      </c>
      <c r="G419" s="183">
        <f t="shared" ref="G419:G420" si="55">F419</f>
        <v>38.4</v>
      </c>
      <c r="H419" s="239" t="b">
        <v>0</v>
      </c>
      <c r="I419" s="267" t="s">
        <v>225</v>
      </c>
      <c r="J419" s="41" t="s">
        <v>722</v>
      </c>
      <c r="K419" s="8" t="b">
        <v>1</v>
      </c>
      <c r="L419" s="8" t="b">
        <v>1</v>
      </c>
    </row>
    <row r="420" ht="14.25" hidden="1" customHeight="1" outlineLevel="1">
      <c r="A420" s="131" t="s">
        <v>45</v>
      </c>
      <c r="B420" s="132">
        <v>45479.0</v>
      </c>
      <c r="C420" s="41" t="s">
        <v>75</v>
      </c>
      <c r="D420" s="182">
        <v>3.0</v>
      </c>
      <c r="E420" s="183">
        <v>35.0</v>
      </c>
      <c r="F420" s="183">
        <f t="shared" si="54"/>
        <v>105</v>
      </c>
      <c r="G420" s="183">
        <f t="shared" si="55"/>
        <v>105</v>
      </c>
      <c r="H420" s="239" t="b">
        <v>0</v>
      </c>
      <c r="I420" s="267" t="s">
        <v>599</v>
      </c>
      <c r="J420" s="41" t="s">
        <v>723</v>
      </c>
      <c r="K420" s="8" t="b">
        <v>1</v>
      </c>
      <c r="L420" s="8" t="b">
        <v>1</v>
      </c>
    </row>
    <row r="421" ht="14.25" hidden="1" customHeight="1" outlineLevel="1">
      <c r="A421" s="131" t="s">
        <v>45</v>
      </c>
      <c r="B421" s="132">
        <v>45480.0</v>
      </c>
      <c r="C421" s="41" t="s">
        <v>61</v>
      </c>
      <c r="D421" s="182">
        <v>1.0</v>
      </c>
      <c r="E421" s="183">
        <v>200.0</v>
      </c>
      <c r="F421" s="183">
        <v>200.0</v>
      </c>
      <c r="G421" s="183">
        <v>200.0</v>
      </c>
      <c r="H421" s="239" t="b">
        <v>1</v>
      </c>
      <c r="I421" s="267" t="s">
        <v>413</v>
      </c>
      <c r="J421" s="41" t="s">
        <v>329</v>
      </c>
      <c r="K421" s="8" t="b">
        <v>0</v>
      </c>
      <c r="L421" s="8" t="b">
        <v>1</v>
      </c>
    </row>
    <row r="422" ht="14.25" hidden="1" customHeight="1" outlineLevel="1">
      <c r="A422" s="131" t="s">
        <v>45</v>
      </c>
      <c r="B422" s="132">
        <v>45480.0</v>
      </c>
      <c r="C422" s="41" t="s">
        <v>61</v>
      </c>
      <c r="D422" s="182">
        <v>1.0</v>
      </c>
      <c r="E422" s="183">
        <v>200.0</v>
      </c>
      <c r="F422" s="183">
        <v>200.0</v>
      </c>
      <c r="G422" s="183">
        <v>200.0</v>
      </c>
      <c r="H422" s="239" t="b">
        <v>1</v>
      </c>
      <c r="I422" s="267" t="s">
        <v>413</v>
      </c>
      <c r="J422" s="41" t="s">
        <v>330</v>
      </c>
      <c r="K422" s="8" t="b">
        <v>0</v>
      </c>
      <c r="L422" s="8" t="b">
        <v>1</v>
      </c>
    </row>
    <row r="423" ht="14.25" hidden="1" customHeight="1" outlineLevel="1">
      <c r="A423" s="131" t="s">
        <v>45</v>
      </c>
      <c r="B423" s="132">
        <v>45482.0</v>
      </c>
      <c r="C423" s="41" t="s">
        <v>61</v>
      </c>
      <c r="D423" s="182">
        <v>1.0</v>
      </c>
      <c r="E423" s="183">
        <v>150.0</v>
      </c>
      <c r="F423" s="183">
        <v>150.0</v>
      </c>
      <c r="G423" s="183">
        <v>150.0</v>
      </c>
      <c r="H423" s="239" t="b">
        <v>1</v>
      </c>
      <c r="I423" s="267" t="s">
        <v>236</v>
      </c>
      <c r="J423" s="41" t="s">
        <v>410</v>
      </c>
      <c r="K423" s="8" t="b">
        <v>0</v>
      </c>
      <c r="L423" s="8" t="b">
        <v>1</v>
      </c>
    </row>
    <row r="424" ht="14.25" hidden="1" customHeight="1" outlineLevel="1">
      <c r="A424" s="131" t="s">
        <v>45</v>
      </c>
      <c r="B424" s="132">
        <v>45484.0</v>
      </c>
      <c r="C424" s="41" t="s">
        <v>75</v>
      </c>
      <c r="D424" s="182">
        <v>1.0</v>
      </c>
      <c r="E424" s="183">
        <v>28.6</v>
      </c>
      <c r="F424" s="183">
        <v>28.6</v>
      </c>
      <c r="G424" s="183">
        <v>28.6</v>
      </c>
      <c r="H424" s="239" t="b">
        <v>0</v>
      </c>
      <c r="I424" s="267" t="s">
        <v>225</v>
      </c>
      <c r="J424" s="41" t="s">
        <v>725</v>
      </c>
      <c r="K424" s="8" t="b">
        <v>1</v>
      </c>
      <c r="L424" s="8" t="b">
        <v>1</v>
      </c>
    </row>
    <row r="425" ht="14.25" hidden="1" customHeight="1" outlineLevel="1">
      <c r="A425" s="131" t="s">
        <v>45</v>
      </c>
      <c r="B425" s="132">
        <v>45484.0</v>
      </c>
      <c r="C425" s="41" t="s">
        <v>93</v>
      </c>
      <c r="D425" s="182">
        <v>1.0</v>
      </c>
      <c r="E425" s="183">
        <v>132.0</v>
      </c>
      <c r="F425" s="183">
        <v>132.0</v>
      </c>
      <c r="G425" s="183">
        <v>132.0</v>
      </c>
      <c r="H425" s="239" t="b">
        <v>0</v>
      </c>
      <c r="I425" s="143" t="s">
        <v>337</v>
      </c>
      <c r="J425" s="41" t="s">
        <v>726</v>
      </c>
      <c r="K425" s="8" t="b">
        <v>1</v>
      </c>
      <c r="L425" s="8" t="b">
        <v>0</v>
      </c>
    </row>
    <row r="426" ht="14.25" hidden="1" customHeight="1" outlineLevel="1">
      <c r="A426" s="131" t="s">
        <v>45</v>
      </c>
      <c r="B426" s="132">
        <v>45485.0</v>
      </c>
      <c r="C426" s="41" t="s">
        <v>61</v>
      </c>
      <c r="D426" s="182">
        <v>1.0</v>
      </c>
      <c r="E426" s="183">
        <v>150.0</v>
      </c>
      <c r="F426" s="183">
        <v>150.0</v>
      </c>
      <c r="G426" s="183">
        <v>150.0</v>
      </c>
      <c r="H426" s="239" t="b">
        <v>1</v>
      </c>
      <c r="I426" s="267" t="s">
        <v>236</v>
      </c>
      <c r="J426" s="41" t="s">
        <v>384</v>
      </c>
      <c r="K426" s="8" t="b">
        <v>0</v>
      </c>
      <c r="L426" s="8" t="b">
        <v>1</v>
      </c>
    </row>
    <row r="427" ht="14.25" hidden="1" customHeight="1" outlineLevel="1">
      <c r="A427" s="131" t="s">
        <v>45</v>
      </c>
      <c r="B427" s="132">
        <v>45487.0</v>
      </c>
      <c r="C427" s="41" t="s">
        <v>61</v>
      </c>
      <c r="D427" s="182">
        <v>1.0</v>
      </c>
      <c r="E427" s="183">
        <v>200.0</v>
      </c>
      <c r="F427" s="183">
        <v>200.0</v>
      </c>
      <c r="G427" s="183">
        <v>200.0</v>
      </c>
      <c r="H427" s="239" t="b">
        <v>1</v>
      </c>
      <c r="I427" s="267" t="s">
        <v>413</v>
      </c>
      <c r="J427" s="41" t="s">
        <v>329</v>
      </c>
      <c r="K427" s="8" t="b">
        <v>0</v>
      </c>
      <c r="L427" s="8" t="b">
        <v>1</v>
      </c>
    </row>
    <row r="428" ht="14.25" hidden="1" customHeight="1" outlineLevel="1">
      <c r="A428" s="131" t="s">
        <v>45</v>
      </c>
      <c r="B428" s="132">
        <v>45487.0</v>
      </c>
      <c r="C428" s="41" t="s">
        <v>61</v>
      </c>
      <c r="D428" s="182">
        <v>1.0</v>
      </c>
      <c r="E428" s="183">
        <v>200.0</v>
      </c>
      <c r="F428" s="183">
        <v>200.0</v>
      </c>
      <c r="G428" s="183">
        <v>200.0</v>
      </c>
      <c r="H428" s="239" t="b">
        <v>1</v>
      </c>
      <c r="I428" s="267" t="s">
        <v>413</v>
      </c>
      <c r="J428" s="41" t="s">
        <v>330</v>
      </c>
      <c r="K428" s="8" t="b">
        <v>0</v>
      </c>
      <c r="L428" s="8" t="b">
        <v>1</v>
      </c>
    </row>
    <row r="429" ht="14.25" hidden="1" customHeight="1" outlineLevel="1">
      <c r="A429" s="131" t="s">
        <v>45</v>
      </c>
      <c r="B429" s="132">
        <v>45489.0</v>
      </c>
      <c r="C429" s="41" t="s">
        <v>61</v>
      </c>
      <c r="D429" s="182">
        <v>1.0</v>
      </c>
      <c r="E429" s="183">
        <v>150.0</v>
      </c>
      <c r="F429" s="183">
        <v>150.0</v>
      </c>
      <c r="G429" s="183">
        <v>150.0</v>
      </c>
      <c r="H429" s="239" t="b">
        <v>1</v>
      </c>
      <c r="I429" s="267" t="s">
        <v>236</v>
      </c>
      <c r="J429" s="41" t="s">
        <v>410</v>
      </c>
      <c r="K429" s="8" t="b">
        <v>0</v>
      </c>
      <c r="L429" s="8" t="b">
        <v>1</v>
      </c>
    </row>
    <row r="430" ht="14.25" hidden="1" customHeight="1" outlineLevel="1">
      <c r="A430" s="131" t="s">
        <v>45</v>
      </c>
      <c r="B430" s="253">
        <v>45490.0</v>
      </c>
      <c r="C430" s="30" t="s">
        <v>75</v>
      </c>
      <c r="D430" s="255">
        <v>1.0</v>
      </c>
      <c r="E430" s="256">
        <v>105.0</v>
      </c>
      <c r="F430" s="256">
        <v>105.0</v>
      </c>
      <c r="G430" s="183">
        <v>105.0</v>
      </c>
      <c r="H430" s="239" t="b">
        <v>0</v>
      </c>
      <c r="I430" s="267" t="s">
        <v>599</v>
      </c>
      <c r="J430" s="41" t="s">
        <v>728</v>
      </c>
      <c r="K430" s="8" t="b">
        <v>1</v>
      </c>
      <c r="L430" s="8" t="b">
        <v>1</v>
      </c>
    </row>
    <row r="431" ht="14.25" hidden="1" customHeight="1" outlineLevel="1">
      <c r="A431" s="131" t="s">
        <v>45</v>
      </c>
      <c r="B431" s="253">
        <v>45490.0</v>
      </c>
      <c r="C431" s="41" t="s">
        <v>231</v>
      </c>
      <c r="D431" s="182">
        <v>1.0</v>
      </c>
      <c r="E431" s="183">
        <v>27.75</v>
      </c>
      <c r="F431" s="183">
        <v>27.75</v>
      </c>
      <c r="G431" s="183">
        <v>27.75</v>
      </c>
      <c r="H431" s="239" t="b">
        <v>0</v>
      </c>
      <c r="I431" s="267" t="s">
        <v>334</v>
      </c>
      <c r="J431" s="41" t="s">
        <v>729</v>
      </c>
      <c r="K431" s="8" t="b">
        <v>1</v>
      </c>
      <c r="L431" s="8" t="b">
        <v>1</v>
      </c>
    </row>
    <row r="432" ht="14.25" hidden="1" customHeight="1" outlineLevel="1">
      <c r="A432" s="131" t="s">
        <v>45</v>
      </c>
      <c r="B432" s="253">
        <v>45490.0</v>
      </c>
      <c r="C432" s="41" t="s">
        <v>231</v>
      </c>
      <c r="D432" s="182">
        <v>1.0</v>
      </c>
      <c r="E432" s="183">
        <v>6.19</v>
      </c>
      <c r="F432" s="183">
        <f t="shared" ref="F432:F434" si="56">D432*E432</f>
        <v>6.19</v>
      </c>
      <c r="G432" s="196">
        <f>SUM(F432:F434)</f>
        <v>40.64</v>
      </c>
      <c r="H432" s="239" t="b">
        <v>0</v>
      </c>
      <c r="I432" s="270" t="s">
        <v>117</v>
      </c>
      <c r="J432" s="41" t="s">
        <v>230</v>
      </c>
      <c r="K432" s="239" t="b">
        <v>1</v>
      </c>
      <c r="L432" s="239" t="b">
        <v>1</v>
      </c>
    </row>
    <row r="433" ht="14.25" hidden="1" customHeight="1" outlineLevel="1">
      <c r="A433" s="131" t="s">
        <v>45</v>
      </c>
      <c r="B433" s="253">
        <v>45490.0</v>
      </c>
      <c r="C433" s="41" t="s">
        <v>231</v>
      </c>
      <c r="D433" s="182">
        <v>1.0</v>
      </c>
      <c r="E433" s="183">
        <v>5.29</v>
      </c>
      <c r="F433" s="183">
        <f t="shared" si="56"/>
        <v>5.29</v>
      </c>
      <c r="G433" s="58"/>
      <c r="H433" s="58"/>
      <c r="I433" s="58"/>
      <c r="J433" s="41" t="s">
        <v>731</v>
      </c>
      <c r="K433" s="58"/>
      <c r="L433" s="58"/>
    </row>
    <row r="434" ht="14.25" hidden="1" customHeight="1" outlineLevel="1">
      <c r="A434" s="131" t="s">
        <v>45</v>
      </c>
      <c r="B434" s="253">
        <v>45490.0</v>
      </c>
      <c r="C434" s="41" t="s">
        <v>231</v>
      </c>
      <c r="D434" s="182">
        <v>4.0</v>
      </c>
      <c r="E434" s="183">
        <v>7.29</v>
      </c>
      <c r="F434" s="183">
        <f t="shared" si="56"/>
        <v>29.16</v>
      </c>
      <c r="G434" s="10"/>
      <c r="H434" s="58"/>
      <c r="I434" s="10"/>
      <c r="J434" s="41" t="s">
        <v>733</v>
      </c>
      <c r="K434" s="58"/>
      <c r="L434" s="58"/>
    </row>
    <row r="435" ht="14.25" hidden="1" customHeight="1" outlineLevel="1">
      <c r="A435" s="131" t="s">
        <v>45</v>
      </c>
      <c r="B435" s="132">
        <v>45492.0</v>
      </c>
      <c r="C435" s="41" t="s">
        <v>93</v>
      </c>
      <c r="D435" s="182">
        <v>1.0</v>
      </c>
      <c r="E435" s="183">
        <v>61.0</v>
      </c>
      <c r="F435" s="183">
        <v>61.0</v>
      </c>
      <c r="G435" s="183">
        <v>61.0</v>
      </c>
      <c r="H435" s="239" t="b">
        <v>0</v>
      </c>
      <c r="I435" s="267" t="s">
        <v>337</v>
      </c>
      <c r="J435" s="41"/>
      <c r="K435" s="239" t="b">
        <v>1</v>
      </c>
      <c r="L435" s="239" t="b">
        <v>1</v>
      </c>
    </row>
    <row r="436" ht="14.25" hidden="1" customHeight="1" outlineLevel="1">
      <c r="A436" s="131" t="s">
        <v>45</v>
      </c>
      <c r="B436" s="132">
        <v>45492.0</v>
      </c>
      <c r="C436" s="41" t="s">
        <v>61</v>
      </c>
      <c r="D436" s="182">
        <v>1.0</v>
      </c>
      <c r="E436" s="183">
        <v>150.0</v>
      </c>
      <c r="F436" s="183">
        <v>150.0</v>
      </c>
      <c r="G436" s="183">
        <v>150.0</v>
      </c>
      <c r="H436" s="239" t="b">
        <v>1</v>
      </c>
      <c r="I436" s="267" t="s">
        <v>236</v>
      </c>
      <c r="J436" s="41" t="s">
        <v>384</v>
      </c>
      <c r="K436" s="8" t="b">
        <v>0</v>
      </c>
      <c r="L436" s="8" t="b">
        <v>1</v>
      </c>
    </row>
    <row r="437" ht="14.25" hidden="1" customHeight="1" outlineLevel="1">
      <c r="A437" s="131" t="s">
        <v>45</v>
      </c>
      <c r="B437" s="132">
        <v>45494.0</v>
      </c>
      <c r="C437" s="41" t="s">
        <v>61</v>
      </c>
      <c r="D437" s="182">
        <v>1.0</v>
      </c>
      <c r="E437" s="183">
        <v>200.0</v>
      </c>
      <c r="F437" s="183">
        <v>200.0</v>
      </c>
      <c r="G437" s="183">
        <v>200.0</v>
      </c>
      <c r="H437" s="239" t="b">
        <v>1</v>
      </c>
      <c r="I437" s="267" t="s">
        <v>456</v>
      </c>
      <c r="J437" s="41" t="s">
        <v>329</v>
      </c>
      <c r="K437" s="8" t="b">
        <v>0</v>
      </c>
      <c r="L437" s="8" t="b">
        <v>1</v>
      </c>
    </row>
    <row r="438" ht="14.25" hidden="1" customHeight="1" outlineLevel="1">
      <c r="A438" s="131" t="s">
        <v>45</v>
      </c>
      <c r="B438" s="132">
        <v>45494.0</v>
      </c>
      <c r="C438" s="41" t="s">
        <v>61</v>
      </c>
      <c r="D438" s="182">
        <v>1.0</v>
      </c>
      <c r="E438" s="183">
        <v>200.0</v>
      </c>
      <c r="F438" s="183">
        <v>200.0</v>
      </c>
      <c r="G438" s="183">
        <v>200.0</v>
      </c>
      <c r="H438" s="239" t="b">
        <v>1</v>
      </c>
      <c r="I438" s="267" t="s">
        <v>413</v>
      </c>
      <c r="J438" s="41" t="s">
        <v>330</v>
      </c>
      <c r="K438" s="8" t="b">
        <v>0</v>
      </c>
      <c r="L438" s="8" t="b">
        <v>1</v>
      </c>
    </row>
    <row r="439" ht="14.25" hidden="1" customHeight="1" outlineLevel="1">
      <c r="A439" s="131" t="s">
        <v>45</v>
      </c>
      <c r="B439" s="132">
        <v>45496.0</v>
      </c>
      <c r="C439" s="41" t="s">
        <v>61</v>
      </c>
      <c r="D439" s="182">
        <v>1.0</v>
      </c>
      <c r="E439" s="183">
        <v>150.0</v>
      </c>
      <c r="F439" s="183">
        <v>150.0</v>
      </c>
      <c r="G439" s="183">
        <v>150.0</v>
      </c>
      <c r="H439" s="239" t="b">
        <v>1</v>
      </c>
      <c r="I439" s="267" t="s">
        <v>236</v>
      </c>
      <c r="J439" s="41" t="s">
        <v>410</v>
      </c>
      <c r="K439" s="8" t="b">
        <v>0</v>
      </c>
      <c r="L439" s="8" t="b">
        <v>1</v>
      </c>
    </row>
    <row r="440" ht="14.25" hidden="1" customHeight="1" outlineLevel="1">
      <c r="A440" s="131" t="s">
        <v>45</v>
      </c>
      <c r="B440" s="132">
        <v>45499.0</v>
      </c>
      <c r="C440" s="41" t="s">
        <v>61</v>
      </c>
      <c r="D440" s="182">
        <v>1.0</v>
      </c>
      <c r="E440" s="183">
        <v>150.0</v>
      </c>
      <c r="F440" s="183">
        <v>150.0</v>
      </c>
      <c r="G440" s="183">
        <v>150.0</v>
      </c>
      <c r="H440" s="239" t="b">
        <v>1</v>
      </c>
      <c r="I440" s="267" t="s">
        <v>236</v>
      </c>
      <c r="J440" s="41" t="s">
        <v>384</v>
      </c>
      <c r="K440" s="8" t="b">
        <v>0</v>
      </c>
      <c r="L440" s="8" t="b">
        <v>0</v>
      </c>
    </row>
    <row r="441" ht="14.25" hidden="1" customHeight="1" outlineLevel="1">
      <c r="A441" s="131" t="s">
        <v>45</v>
      </c>
      <c r="B441" s="132">
        <v>45499.0</v>
      </c>
      <c r="C441" s="41" t="s">
        <v>80</v>
      </c>
      <c r="D441" s="182">
        <v>2.0</v>
      </c>
      <c r="E441" s="183">
        <v>14.0</v>
      </c>
      <c r="F441" s="183">
        <f>D441*E441</f>
        <v>28</v>
      </c>
      <c r="G441" s="183">
        <f>F441</f>
        <v>28</v>
      </c>
      <c r="H441" s="8" t="b">
        <v>0</v>
      </c>
      <c r="I441" s="143" t="s">
        <v>608</v>
      </c>
      <c r="J441" s="143" t="s">
        <v>609</v>
      </c>
      <c r="K441" s="8" t="b">
        <v>1</v>
      </c>
      <c r="L441" s="8" t="b">
        <v>1</v>
      </c>
    </row>
    <row r="442" ht="14.25" hidden="1" customHeight="1" outlineLevel="1">
      <c r="A442" s="131" t="s">
        <v>45</v>
      </c>
      <c r="B442" s="132">
        <v>45501.0</v>
      </c>
      <c r="C442" s="41" t="s">
        <v>61</v>
      </c>
      <c r="D442" s="182">
        <v>1.0</v>
      </c>
      <c r="E442" s="183">
        <v>200.0</v>
      </c>
      <c r="F442" s="183">
        <v>200.0</v>
      </c>
      <c r="G442" s="183">
        <v>200.0</v>
      </c>
      <c r="H442" s="239" t="b">
        <v>1</v>
      </c>
      <c r="I442" s="267" t="s">
        <v>242</v>
      </c>
      <c r="J442" s="41" t="s">
        <v>329</v>
      </c>
      <c r="K442" s="8" t="b">
        <v>0</v>
      </c>
      <c r="L442" s="8" t="b">
        <v>0</v>
      </c>
    </row>
    <row r="443" ht="14.25" hidden="1" customHeight="1" outlineLevel="1">
      <c r="A443" s="131" t="s">
        <v>45</v>
      </c>
      <c r="B443" s="132">
        <v>45502.0</v>
      </c>
      <c r="C443" s="41" t="s">
        <v>61</v>
      </c>
      <c r="D443" s="182">
        <v>1.0</v>
      </c>
      <c r="E443" s="183">
        <v>4250.0</v>
      </c>
      <c r="F443" s="183">
        <v>4250.0</v>
      </c>
      <c r="G443" s="183">
        <v>4250.0</v>
      </c>
      <c r="H443" s="239" t="b">
        <v>1</v>
      </c>
      <c r="I443" s="267" t="s">
        <v>119</v>
      </c>
      <c r="J443" s="41" t="s">
        <v>739</v>
      </c>
      <c r="K443" s="8" t="b">
        <v>0</v>
      </c>
      <c r="L443" s="8" t="b">
        <v>1</v>
      </c>
    </row>
    <row r="444" ht="14.25" hidden="1" customHeight="1" outlineLevel="1">
      <c r="A444" s="131" t="s">
        <v>45</v>
      </c>
      <c r="B444" s="132">
        <v>45503.0</v>
      </c>
      <c r="C444" s="41" t="s">
        <v>93</v>
      </c>
      <c r="D444" s="182">
        <v>1.0</v>
      </c>
      <c r="E444" s="183">
        <v>192.79</v>
      </c>
      <c r="F444" s="183">
        <v>192.79</v>
      </c>
      <c r="G444" s="183">
        <v>192.79</v>
      </c>
      <c r="H444" s="8" t="b">
        <v>0</v>
      </c>
      <c r="I444" s="272" t="s">
        <v>740</v>
      </c>
      <c r="J444" s="41" t="s">
        <v>741</v>
      </c>
      <c r="K444" s="8" t="b">
        <v>1</v>
      </c>
      <c r="L444" s="8" t="b">
        <v>1</v>
      </c>
    </row>
    <row r="445" ht="14.25" hidden="1" customHeight="1" outlineLevel="1">
      <c r="A445" s="131" t="s">
        <v>45</v>
      </c>
      <c r="B445" s="132">
        <v>45503.0</v>
      </c>
      <c r="C445" s="41" t="s">
        <v>61</v>
      </c>
      <c r="D445" s="182">
        <v>1.0</v>
      </c>
      <c r="E445" s="183">
        <v>150.0</v>
      </c>
      <c r="F445" s="183">
        <v>150.0</v>
      </c>
      <c r="G445" s="183">
        <v>150.0</v>
      </c>
      <c r="H445" s="239">
        <v>85.0</v>
      </c>
      <c r="I445" s="267" t="s">
        <v>119</v>
      </c>
      <c r="J445" s="41" t="s">
        <v>739</v>
      </c>
      <c r="K445" s="8" t="b">
        <v>0</v>
      </c>
      <c r="L445" s="8" t="b">
        <v>1</v>
      </c>
    </row>
    <row r="446" ht="14.25" hidden="1" customHeight="1" outlineLevel="1">
      <c r="A446" s="131" t="s">
        <v>45</v>
      </c>
      <c r="B446" s="132">
        <v>45503.0</v>
      </c>
      <c r="C446" s="41" t="s">
        <v>93</v>
      </c>
      <c r="D446" s="182">
        <v>1.0</v>
      </c>
      <c r="E446" s="183">
        <v>85.0</v>
      </c>
      <c r="F446" s="183">
        <f t="shared" ref="F446:G446" si="57">E446</f>
        <v>85</v>
      </c>
      <c r="G446" s="183">
        <f t="shared" si="57"/>
        <v>85</v>
      </c>
      <c r="H446" s="8" t="b">
        <v>1</v>
      </c>
      <c r="I446" s="267" t="s">
        <v>337</v>
      </c>
      <c r="J446" s="41"/>
      <c r="K446" s="8" t="b">
        <v>1</v>
      </c>
      <c r="L446" s="8" t="b">
        <v>1</v>
      </c>
    </row>
    <row r="447" ht="14.25" hidden="1" customHeight="1" outlineLevel="1">
      <c r="A447" s="131" t="s">
        <v>45</v>
      </c>
      <c r="B447" s="132"/>
      <c r="C447" s="41"/>
      <c r="D447" s="182"/>
      <c r="E447" s="183"/>
      <c r="F447" s="183"/>
      <c r="G447" s="183"/>
      <c r="H447" s="8" t="b">
        <v>0</v>
      </c>
      <c r="I447" s="272"/>
      <c r="J447" s="41"/>
      <c r="K447" s="8" t="b">
        <v>0</v>
      </c>
      <c r="L447" s="8" t="b">
        <v>0</v>
      </c>
    </row>
    <row r="448" ht="14.25" hidden="1" customHeight="1" outlineLevel="1">
      <c r="A448" s="131" t="s">
        <v>45</v>
      </c>
      <c r="B448" s="132"/>
      <c r="C448" s="41"/>
      <c r="D448" s="182"/>
      <c r="E448" s="183"/>
      <c r="F448" s="183"/>
      <c r="G448" s="183"/>
      <c r="H448" s="8" t="b">
        <v>0</v>
      </c>
      <c r="I448" s="272"/>
      <c r="J448" s="41"/>
      <c r="K448" s="8" t="b">
        <v>0</v>
      </c>
      <c r="L448" s="8" t="b">
        <v>0</v>
      </c>
    </row>
    <row r="449" ht="14.25" hidden="1" customHeight="1" outlineLevel="1">
      <c r="A449" s="131" t="s">
        <v>45</v>
      </c>
      <c r="B449" s="132"/>
      <c r="C449" s="41"/>
      <c r="D449" s="182"/>
      <c r="E449" s="183"/>
      <c r="F449" s="183"/>
      <c r="G449" s="183"/>
      <c r="H449" s="8" t="b">
        <v>0</v>
      </c>
      <c r="I449" s="272"/>
      <c r="J449" s="41"/>
      <c r="K449" s="8" t="b">
        <v>0</v>
      </c>
      <c r="L449" s="8" t="b">
        <v>0</v>
      </c>
    </row>
    <row r="450" ht="14.25" hidden="1" customHeight="1" outlineLevel="1">
      <c r="A450" s="131" t="s">
        <v>45</v>
      </c>
      <c r="B450" s="132"/>
      <c r="C450" s="41"/>
      <c r="D450" s="182"/>
      <c r="E450" s="183"/>
      <c r="F450" s="183"/>
      <c r="G450" s="183"/>
      <c r="H450" s="8" t="b">
        <v>0</v>
      </c>
      <c r="I450" s="41"/>
      <c r="J450" s="41"/>
      <c r="K450" s="8" t="b">
        <v>0</v>
      </c>
      <c r="L450" s="8" t="b">
        <v>0</v>
      </c>
    </row>
    <row r="451" ht="14.25" hidden="1" customHeight="1" outlineLevel="1">
      <c r="A451" s="131" t="s">
        <v>45</v>
      </c>
      <c r="B451" s="132"/>
      <c r="C451" s="41"/>
      <c r="D451" s="182"/>
      <c r="E451" s="183"/>
      <c r="F451" s="183"/>
      <c r="G451" s="183"/>
      <c r="H451" s="8" t="b">
        <v>0</v>
      </c>
      <c r="I451" s="41"/>
      <c r="J451" s="41"/>
      <c r="K451" s="8" t="b">
        <v>0</v>
      </c>
      <c r="L451" s="8" t="b">
        <v>0</v>
      </c>
    </row>
    <row r="452" ht="14.25" hidden="1" customHeight="1" outlineLevel="1">
      <c r="A452" s="131" t="s">
        <v>45</v>
      </c>
      <c r="B452" s="132"/>
      <c r="C452" s="41"/>
      <c r="D452" s="182"/>
      <c r="E452" s="183"/>
      <c r="F452" s="183"/>
      <c r="G452" s="183"/>
      <c r="H452" s="8" t="b">
        <v>0</v>
      </c>
      <c r="I452" s="41"/>
      <c r="J452" s="41"/>
      <c r="K452" s="8" t="b">
        <v>0</v>
      </c>
      <c r="L452" s="8" t="b">
        <v>0</v>
      </c>
    </row>
    <row r="453" ht="14.25" customHeight="1">
      <c r="A453" s="180" t="s">
        <v>192</v>
      </c>
      <c r="B453" s="27"/>
      <c r="C453" s="27"/>
      <c r="D453" s="27"/>
      <c r="E453" s="28"/>
      <c r="F453" s="181">
        <f t="shared" ref="F453:G453" si="58">SUM(F407:F452)</f>
        <v>8315.75</v>
      </c>
      <c r="G453" s="181">
        <f t="shared" si="58"/>
        <v>8315.75</v>
      </c>
      <c r="H453" s="156"/>
      <c r="I453" s="107"/>
      <c r="J453" s="112"/>
    </row>
    <row r="454" ht="14.25" customHeight="1" collapsed="1">
      <c r="A454" s="245" t="s">
        <v>711</v>
      </c>
      <c r="B454" s="246"/>
      <c r="C454" s="246"/>
      <c r="D454" s="246"/>
      <c r="E454" s="246"/>
      <c r="F454" s="246"/>
      <c r="G454" s="246"/>
      <c r="H454" s="246"/>
      <c r="I454" s="246"/>
      <c r="J454" s="247"/>
      <c r="K454" s="238"/>
      <c r="L454" s="238"/>
    </row>
    <row r="455" ht="14.25" hidden="1" customHeight="1" outlineLevel="1">
      <c r="A455" s="131" t="s">
        <v>44</v>
      </c>
      <c r="B455" s="132">
        <v>45506.0</v>
      </c>
      <c r="C455" s="41" t="s">
        <v>61</v>
      </c>
      <c r="D455" s="182">
        <v>1.0</v>
      </c>
      <c r="E455" s="183">
        <v>150.0</v>
      </c>
      <c r="F455" s="183">
        <v>150.0</v>
      </c>
      <c r="G455" s="183">
        <v>150.0</v>
      </c>
      <c r="H455" s="239" t="b">
        <v>1</v>
      </c>
      <c r="I455" s="143" t="s">
        <v>236</v>
      </c>
      <c r="J455" s="41" t="s">
        <v>384</v>
      </c>
      <c r="K455" s="8" t="b">
        <v>0</v>
      </c>
      <c r="L455" s="8" t="b">
        <v>1</v>
      </c>
    </row>
    <row r="456" ht="14.25" hidden="1" customHeight="1" outlineLevel="1">
      <c r="A456" s="131" t="s">
        <v>44</v>
      </c>
      <c r="B456" s="132">
        <v>45506.0</v>
      </c>
      <c r="C456" s="41" t="s">
        <v>61</v>
      </c>
      <c r="D456" s="182">
        <v>1.0</v>
      </c>
      <c r="E456" s="183">
        <v>150.0</v>
      </c>
      <c r="F456" s="183">
        <v>150.0</v>
      </c>
      <c r="G456" s="183">
        <v>150.0</v>
      </c>
      <c r="H456" s="239" t="b">
        <v>1</v>
      </c>
      <c r="I456" s="143" t="s">
        <v>720</v>
      </c>
      <c r="J456" s="41" t="s">
        <v>746</v>
      </c>
      <c r="K456" s="8" t="b">
        <v>0</v>
      </c>
      <c r="L456" s="8" t="b">
        <v>1</v>
      </c>
    </row>
    <row r="457" ht="14.25" hidden="1" customHeight="1" outlineLevel="1">
      <c r="A457" s="131" t="s">
        <v>44</v>
      </c>
      <c r="B457" s="132">
        <v>45508.0</v>
      </c>
      <c r="C457" s="41" t="s">
        <v>61</v>
      </c>
      <c r="D457" s="182">
        <v>1.0</v>
      </c>
      <c r="E457" s="183">
        <v>200.0</v>
      </c>
      <c r="F457" s="183">
        <v>200.0</v>
      </c>
      <c r="G457" s="183">
        <v>200.0</v>
      </c>
      <c r="H457" s="239" t="b">
        <v>1</v>
      </c>
      <c r="I457" s="143" t="s">
        <v>490</v>
      </c>
      <c r="J457" s="41" t="s">
        <v>329</v>
      </c>
      <c r="K457" s="8" t="b">
        <v>0</v>
      </c>
      <c r="L457" s="8" t="b">
        <v>1</v>
      </c>
    </row>
    <row r="458" ht="14.25" hidden="1" customHeight="1" outlineLevel="1">
      <c r="A458" s="131" t="s">
        <v>44</v>
      </c>
      <c r="B458" s="132">
        <v>45509.0</v>
      </c>
      <c r="C458" s="41" t="s">
        <v>315</v>
      </c>
      <c r="D458" s="182">
        <v>2.0</v>
      </c>
      <c r="E458" s="183">
        <v>46.99</v>
      </c>
      <c r="F458" s="183">
        <f>D458*E458</f>
        <v>93.98</v>
      </c>
      <c r="G458" s="183">
        <f>F458</f>
        <v>93.98</v>
      </c>
      <c r="H458" s="239" t="b">
        <v>0</v>
      </c>
      <c r="I458" s="143" t="s">
        <v>748</v>
      </c>
      <c r="J458" s="41" t="s">
        <v>333</v>
      </c>
      <c r="K458" s="8" t="b">
        <v>1</v>
      </c>
      <c r="L458" s="8" t="b">
        <v>1</v>
      </c>
    </row>
    <row r="459" ht="14.25" hidden="1" customHeight="1" outlineLevel="1">
      <c r="A459" s="131" t="s">
        <v>44</v>
      </c>
      <c r="B459" s="132">
        <v>45509.0</v>
      </c>
      <c r="C459" s="41" t="s">
        <v>75</v>
      </c>
      <c r="D459" s="182">
        <v>1.0</v>
      </c>
      <c r="E459" s="183">
        <v>140.0</v>
      </c>
      <c r="F459" s="183">
        <v>140.0</v>
      </c>
      <c r="G459" s="183">
        <v>140.0</v>
      </c>
      <c r="H459" s="239" t="b">
        <v>0</v>
      </c>
      <c r="I459" s="143" t="s">
        <v>318</v>
      </c>
      <c r="J459" s="41" t="s">
        <v>749</v>
      </c>
      <c r="K459" s="8" t="b">
        <v>0</v>
      </c>
      <c r="L459" s="8" t="b">
        <v>0</v>
      </c>
    </row>
    <row r="460" ht="14.25" hidden="1" customHeight="1" outlineLevel="1">
      <c r="A460" s="131" t="s">
        <v>44</v>
      </c>
      <c r="B460" s="132">
        <v>45510.0</v>
      </c>
      <c r="C460" s="41" t="s">
        <v>61</v>
      </c>
      <c r="D460" s="182">
        <v>1.0</v>
      </c>
      <c r="E460" s="183">
        <v>150.0</v>
      </c>
      <c r="F460" s="183">
        <v>150.0</v>
      </c>
      <c r="G460" s="183">
        <v>150.0</v>
      </c>
      <c r="H460" s="239" t="b">
        <v>1</v>
      </c>
      <c r="I460" s="143" t="s">
        <v>296</v>
      </c>
      <c r="J460" s="41" t="s">
        <v>410</v>
      </c>
      <c r="K460" s="8" t="b">
        <v>0</v>
      </c>
      <c r="L460" s="8" t="b">
        <v>1</v>
      </c>
    </row>
    <row r="461" ht="14.25" hidden="1" customHeight="1" outlineLevel="1">
      <c r="A461" s="131" t="s">
        <v>44</v>
      </c>
      <c r="B461" s="132">
        <v>45511.0</v>
      </c>
      <c r="C461" s="41" t="s">
        <v>55</v>
      </c>
      <c r="D461" s="182">
        <v>1.0</v>
      </c>
      <c r="E461" s="183">
        <v>156.46</v>
      </c>
      <c r="F461" s="183">
        <v>156.46</v>
      </c>
      <c r="G461" s="183">
        <v>156.46</v>
      </c>
      <c r="H461" s="239" t="b">
        <v>0</v>
      </c>
      <c r="I461" s="143" t="s">
        <v>254</v>
      </c>
      <c r="J461" s="41" t="s">
        <v>750</v>
      </c>
      <c r="K461" s="8" t="b">
        <v>0</v>
      </c>
      <c r="L461" s="8" t="b">
        <v>0</v>
      </c>
    </row>
    <row r="462" ht="14.25" hidden="1" customHeight="1" outlineLevel="1">
      <c r="A462" s="131" t="s">
        <v>44</v>
      </c>
      <c r="B462" s="132">
        <v>45511.0</v>
      </c>
      <c r="C462" s="41" t="s">
        <v>112</v>
      </c>
      <c r="D462" s="182">
        <v>1.0</v>
      </c>
      <c r="E462" s="183">
        <v>56.23</v>
      </c>
      <c r="F462" s="183">
        <v>56.23</v>
      </c>
      <c r="G462" s="183">
        <v>56.23</v>
      </c>
      <c r="H462" s="239" t="b">
        <v>0</v>
      </c>
      <c r="I462" s="143" t="s">
        <v>386</v>
      </c>
      <c r="J462" s="41" t="s">
        <v>751</v>
      </c>
      <c r="K462" s="8" t="b">
        <v>0</v>
      </c>
      <c r="L462" s="8" t="b">
        <v>0</v>
      </c>
    </row>
    <row r="463" ht="14.25" hidden="1" customHeight="1" outlineLevel="1">
      <c r="A463" s="131" t="s">
        <v>44</v>
      </c>
      <c r="B463" s="132">
        <v>45513.0</v>
      </c>
      <c r="C463" s="41" t="s">
        <v>231</v>
      </c>
      <c r="D463" s="182">
        <v>1.0</v>
      </c>
      <c r="E463" s="183">
        <v>39.9</v>
      </c>
      <c r="F463" s="183">
        <v>39.9</v>
      </c>
      <c r="G463" s="183">
        <v>39.9</v>
      </c>
      <c r="H463" s="239" t="b">
        <v>0</v>
      </c>
      <c r="I463" s="143" t="s">
        <v>185</v>
      </c>
      <c r="J463" s="41" t="s">
        <v>262</v>
      </c>
      <c r="K463" s="8" t="b">
        <v>0</v>
      </c>
      <c r="L463" s="8" t="b">
        <v>1</v>
      </c>
    </row>
    <row r="464" ht="14.25" hidden="1" customHeight="1" outlineLevel="1">
      <c r="A464" s="131" t="s">
        <v>44</v>
      </c>
      <c r="B464" s="132">
        <v>45513.0</v>
      </c>
      <c r="C464" s="41" t="s">
        <v>61</v>
      </c>
      <c r="D464" s="182">
        <v>1.0</v>
      </c>
      <c r="E464" s="183">
        <v>150.0</v>
      </c>
      <c r="F464" s="183">
        <v>150.0</v>
      </c>
      <c r="G464" s="183">
        <v>150.0</v>
      </c>
      <c r="H464" s="239" t="b">
        <v>1</v>
      </c>
      <c r="I464" s="143" t="s">
        <v>296</v>
      </c>
      <c r="J464" s="41" t="s">
        <v>384</v>
      </c>
      <c r="K464" s="8" t="b">
        <v>0</v>
      </c>
      <c r="L464" s="8" t="b">
        <v>1</v>
      </c>
    </row>
    <row r="465" ht="14.25" hidden="1" customHeight="1" outlineLevel="1">
      <c r="A465" s="131" t="s">
        <v>44</v>
      </c>
      <c r="B465" s="132">
        <v>45514.0</v>
      </c>
      <c r="C465" s="41" t="s">
        <v>171</v>
      </c>
      <c r="D465" s="182">
        <v>1.0</v>
      </c>
      <c r="E465" s="183">
        <v>66.78</v>
      </c>
      <c r="F465" s="183">
        <v>66.78</v>
      </c>
      <c r="G465" s="183">
        <v>66.78</v>
      </c>
      <c r="H465" s="239" t="b">
        <v>0</v>
      </c>
      <c r="I465" s="143" t="s">
        <v>407</v>
      </c>
      <c r="J465" s="41" t="s">
        <v>752</v>
      </c>
      <c r="K465" s="8" t="b">
        <v>1</v>
      </c>
      <c r="L465" s="8" t="b">
        <v>1</v>
      </c>
    </row>
    <row r="466" ht="14.25" hidden="1" customHeight="1" outlineLevel="1">
      <c r="A466" s="131" t="s">
        <v>44</v>
      </c>
      <c r="B466" s="132">
        <v>45515.0</v>
      </c>
      <c r="C466" s="41" t="s">
        <v>61</v>
      </c>
      <c r="D466" s="182">
        <v>1.0</v>
      </c>
      <c r="E466" s="183">
        <v>200.0</v>
      </c>
      <c r="F466" s="183">
        <v>200.0</v>
      </c>
      <c r="G466" s="183">
        <v>200.0</v>
      </c>
      <c r="H466" s="239" t="b">
        <v>1</v>
      </c>
      <c r="I466" s="143" t="s">
        <v>490</v>
      </c>
      <c r="J466" s="41" t="s">
        <v>329</v>
      </c>
      <c r="K466" s="8" t="b">
        <v>0</v>
      </c>
      <c r="L466" s="8" t="b">
        <v>1</v>
      </c>
    </row>
    <row r="467" ht="14.25" hidden="1" customHeight="1" outlineLevel="1">
      <c r="A467" s="131" t="s">
        <v>44</v>
      </c>
      <c r="B467" s="132">
        <v>45515.0</v>
      </c>
      <c r="C467" s="41" t="s">
        <v>61</v>
      </c>
      <c r="D467" s="182">
        <v>1.0</v>
      </c>
      <c r="E467" s="183">
        <v>200.0</v>
      </c>
      <c r="F467" s="183">
        <v>200.0</v>
      </c>
      <c r="G467" s="183">
        <v>200.0</v>
      </c>
      <c r="H467" s="239" t="b">
        <v>1</v>
      </c>
      <c r="I467" s="143" t="s">
        <v>355</v>
      </c>
      <c r="J467" s="41" t="s">
        <v>330</v>
      </c>
      <c r="K467" s="8" t="b">
        <v>0</v>
      </c>
      <c r="L467" s="8" t="b">
        <v>1</v>
      </c>
    </row>
    <row r="468" ht="14.25" hidden="1" customHeight="1" outlineLevel="1">
      <c r="A468" s="131" t="s">
        <v>44</v>
      </c>
      <c r="B468" s="132">
        <v>45517.0</v>
      </c>
      <c r="C468" s="41" t="s">
        <v>61</v>
      </c>
      <c r="D468" s="182">
        <v>1.0</v>
      </c>
      <c r="E468" s="183">
        <v>150.0</v>
      </c>
      <c r="F468" s="183">
        <v>150.0</v>
      </c>
      <c r="G468" s="183">
        <v>150.0</v>
      </c>
      <c r="H468" s="239" t="b">
        <v>1</v>
      </c>
      <c r="I468" s="143" t="s">
        <v>296</v>
      </c>
      <c r="J468" s="41" t="s">
        <v>410</v>
      </c>
      <c r="K468" s="8" t="b">
        <v>0</v>
      </c>
      <c r="L468" s="8" t="b">
        <v>1</v>
      </c>
    </row>
    <row r="469" ht="14.25" hidden="1" customHeight="1" outlineLevel="1">
      <c r="A469" s="131" t="s">
        <v>44</v>
      </c>
      <c r="B469" s="132">
        <v>45518.0</v>
      </c>
      <c r="C469" s="41" t="s">
        <v>171</v>
      </c>
      <c r="D469" s="182">
        <v>1.0</v>
      </c>
      <c r="E469" s="183">
        <v>133.0</v>
      </c>
      <c r="F469" s="183">
        <v>133.0</v>
      </c>
      <c r="G469" s="183">
        <v>133.0</v>
      </c>
      <c r="H469" s="239" t="b">
        <v>0</v>
      </c>
      <c r="I469" s="143" t="s">
        <v>172</v>
      </c>
      <c r="J469" s="41" t="s">
        <v>585</v>
      </c>
      <c r="K469" s="8" t="b">
        <v>0</v>
      </c>
      <c r="L469" s="8" t="b">
        <v>1</v>
      </c>
    </row>
    <row r="470" ht="14.25" hidden="1" customHeight="1" outlineLevel="1">
      <c r="A470" s="131" t="s">
        <v>44</v>
      </c>
      <c r="B470" s="132">
        <v>45518.0</v>
      </c>
      <c r="C470" s="41" t="s">
        <v>80</v>
      </c>
      <c r="D470" s="182">
        <v>2.0</v>
      </c>
      <c r="E470" s="183">
        <v>14.0</v>
      </c>
      <c r="F470" s="183">
        <v>28.0</v>
      </c>
      <c r="G470" s="183">
        <v>28.0</v>
      </c>
      <c r="H470" s="239" t="b">
        <v>0</v>
      </c>
      <c r="I470" s="143" t="s">
        <v>608</v>
      </c>
      <c r="J470" s="143" t="s">
        <v>609</v>
      </c>
      <c r="K470" s="8" t="b">
        <v>1</v>
      </c>
      <c r="L470" s="8" t="b">
        <v>1</v>
      </c>
    </row>
    <row r="471" ht="14.25" hidden="1" customHeight="1" outlineLevel="1">
      <c r="A471" s="131" t="s">
        <v>44</v>
      </c>
      <c r="B471" s="132">
        <v>45520.0</v>
      </c>
      <c r="C471" s="41" t="s">
        <v>61</v>
      </c>
      <c r="D471" s="182">
        <v>1.0</v>
      </c>
      <c r="E471" s="183">
        <v>150.0</v>
      </c>
      <c r="F471" s="183">
        <v>150.0</v>
      </c>
      <c r="G471" s="183">
        <v>150.0</v>
      </c>
      <c r="H471" s="239" t="b">
        <v>1</v>
      </c>
      <c r="I471" s="143" t="s">
        <v>296</v>
      </c>
      <c r="J471" s="41" t="s">
        <v>384</v>
      </c>
      <c r="K471" s="8" t="b">
        <v>0</v>
      </c>
      <c r="L471" s="8" t="b">
        <v>1</v>
      </c>
    </row>
    <row r="472" ht="14.25" hidden="1" customHeight="1" outlineLevel="1">
      <c r="A472" s="131" t="s">
        <v>44</v>
      </c>
      <c r="B472" s="132">
        <v>45520.0</v>
      </c>
      <c r="C472" s="41" t="s">
        <v>93</v>
      </c>
      <c r="D472" s="182">
        <v>1.0</v>
      </c>
      <c r="E472" s="183">
        <v>55.0</v>
      </c>
      <c r="F472" s="183">
        <v>55.0</v>
      </c>
      <c r="G472" s="183">
        <v>55.0</v>
      </c>
      <c r="H472" s="8" t="b">
        <v>0</v>
      </c>
      <c r="I472" s="272" t="s">
        <v>337</v>
      </c>
      <c r="J472" s="41" t="s">
        <v>755</v>
      </c>
      <c r="K472" s="8" t="b">
        <v>1</v>
      </c>
      <c r="L472" s="8" t="b">
        <v>1</v>
      </c>
    </row>
    <row r="473" ht="14.25" hidden="1" customHeight="1" outlineLevel="1">
      <c r="A473" s="131" t="s">
        <v>44</v>
      </c>
      <c r="B473" s="132">
        <v>45521.0</v>
      </c>
      <c r="C473" s="41" t="s">
        <v>231</v>
      </c>
      <c r="D473" s="182">
        <v>1.0</v>
      </c>
      <c r="E473" s="183">
        <v>127.9</v>
      </c>
      <c r="F473" s="183">
        <v>127.9</v>
      </c>
      <c r="G473" s="183">
        <v>127.9</v>
      </c>
      <c r="H473" s="239" t="b">
        <v>0</v>
      </c>
      <c r="I473" s="143" t="s">
        <v>185</v>
      </c>
      <c r="J473" s="41" t="s">
        <v>756</v>
      </c>
      <c r="K473" s="8" t="b">
        <v>1</v>
      </c>
      <c r="L473" s="8" t="b">
        <v>1</v>
      </c>
    </row>
    <row r="474" ht="14.25" hidden="1" customHeight="1" outlineLevel="1">
      <c r="A474" s="131" t="s">
        <v>44</v>
      </c>
      <c r="B474" s="132">
        <v>45522.0</v>
      </c>
      <c r="C474" s="41" t="s">
        <v>61</v>
      </c>
      <c r="D474" s="182">
        <v>1.0</v>
      </c>
      <c r="E474" s="183">
        <v>200.0</v>
      </c>
      <c r="F474" s="183">
        <v>200.0</v>
      </c>
      <c r="G474" s="183">
        <v>200.0</v>
      </c>
      <c r="H474" s="239" t="b">
        <v>1</v>
      </c>
      <c r="I474" s="143" t="s">
        <v>355</v>
      </c>
      <c r="J474" s="41" t="s">
        <v>330</v>
      </c>
      <c r="K474" s="8" t="b">
        <v>0</v>
      </c>
      <c r="L474" s="8" t="b">
        <v>1</v>
      </c>
    </row>
    <row r="475" ht="14.25" hidden="1" customHeight="1" outlineLevel="1">
      <c r="A475" s="131" t="s">
        <v>44</v>
      </c>
      <c r="B475" s="132">
        <v>45523.0</v>
      </c>
      <c r="C475" s="41" t="s">
        <v>75</v>
      </c>
      <c r="D475" s="182">
        <v>3.0</v>
      </c>
      <c r="E475" s="183">
        <v>35.0</v>
      </c>
      <c r="F475" s="183">
        <f>D475*E475</f>
        <v>105</v>
      </c>
      <c r="G475" s="183">
        <f>F475</f>
        <v>105</v>
      </c>
      <c r="H475" s="8" t="b">
        <v>0</v>
      </c>
      <c r="I475" s="272" t="s">
        <v>318</v>
      </c>
      <c r="J475" s="41" t="s">
        <v>757</v>
      </c>
      <c r="K475" s="8" t="b">
        <v>1</v>
      </c>
      <c r="L475" s="8" t="b">
        <v>1</v>
      </c>
    </row>
    <row r="476" ht="14.25" hidden="1" customHeight="1" outlineLevel="1">
      <c r="A476" s="131" t="s">
        <v>44</v>
      </c>
      <c r="B476" s="132">
        <v>45524.0</v>
      </c>
      <c r="C476" s="41" t="s">
        <v>61</v>
      </c>
      <c r="D476" s="182">
        <v>1.0</v>
      </c>
      <c r="E476" s="183">
        <v>150.0</v>
      </c>
      <c r="F476" s="183">
        <v>150.0</v>
      </c>
      <c r="G476" s="183">
        <v>150.0</v>
      </c>
      <c r="H476" s="239" t="b">
        <v>1</v>
      </c>
      <c r="I476" s="143" t="s">
        <v>296</v>
      </c>
      <c r="J476" s="41" t="s">
        <v>410</v>
      </c>
      <c r="K476" s="8" t="b">
        <v>0</v>
      </c>
      <c r="L476" s="8" t="b">
        <v>1</v>
      </c>
    </row>
    <row r="477" ht="14.25" hidden="1" customHeight="1" outlineLevel="1">
      <c r="A477" s="131" t="s">
        <v>44</v>
      </c>
      <c r="B477" s="132">
        <v>45525.0</v>
      </c>
      <c r="C477" s="41" t="s">
        <v>93</v>
      </c>
      <c r="D477" s="182">
        <v>1.0</v>
      </c>
      <c r="E477" s="183">
        <v>45.0</v>
      </c>
      <c r="F477" s="183">
        <v>45.0</v>
      </c>
      <c r="G477" s="183">
        <v>45.0</v>
      </c>
      <c r="H477" s="239" t="b">
        <v>0</v>
      </c>
      <c r="I477" s="143" t="s">
        <v>337</v>
      </c>
      <c r="J477" s="41" t="s">
        <v>760</v>
      </c>
      <c r="K477" s="8" t="b">
        <v>1</v>
      </c>
      <c r="L477" s="8" t="b">
        <v>1</v>
      </c>
    </row>
    <row r="478" ht="14.25" hidden="1" customHeight="1" outlineLevel="1">
      <c r="A478" s="131" t="s">
        <v>44</v>
      </c>
      <c r="B478" s="132">
        <v>45527.0</v>
      </c>
      <c r="C478" s="41" t="s">
        <v>61</v>
      </c>
      <c r="D478" s="182">
        <v>1.0</v>
      </c>
      <c r="E478" s="183">
        <v>150.0</v>
      </c>
      <c r="F478" s="183">
        <v>150.0</v>
      </c>
      <c r="G478" s="183">
        <v>150.0</v>
      </c>
      <c r="H478" s="239" t="b">
        <v>1</v>
      </c>
      <c r="I478" s="143" t="s">
        <v>296</v>
      </c>
      <c r="J478" s="41" t="s">
        <v>384</v>
      </c>
      <c r="K478" s="8" t="b">
        <v>0</v>
      </c>
      <c r="L478" s="8" t="b">
        <v>1</v>
      </c>
    </row>
    <row r="479" ht="14.25" hidden="1" customHeight="1" outlineLevel="1">
      <c r="A479" s="131" t="s">
        <v>44</v>
      </c>
      <c r="B479" s="132">
        <v>45527.0</v>
      </c>
      <c r="C479" s="41" t="s">
        <v>231</v>
      </c>
      <c r="D479" s="182">
        <v>1.0</v>
      </c>
      <c r="E479" s="183">
        <v>98.04</v>
      </c>
      <c r="F479" s="183">
        <v>98.04</v>
      </c>
      <c r="G479" s="183">
        <v>98.04</v>
      </c>
      <c r="H479" s="8" t="b">
        <v>0</v>
      </c>
      <c r="I479" s="272" t="s">
        <v>393</v>
      </c>
      <c r="J479" s="41" t="s">
        <v>761</v>
      </c>
      <c r="K479" s="8" t="b">
        <v>1</v>
      </c>
      <c r="L479" s="8" t="b">
        <v>1</v>
      </c>
    </row>
    <row r="480" ht="14.25" hidden="1" customHeight="1" outlineLevel="1">
      <c r="A480" s="131" t="s">
        <v>44</v>
      </c>
      <c r="B480" s="132">
        <v>45529.0</v>
      </c>
      <c r="C480" s="41" t="s">
        <v>61</v>
      </c>
      <c r="D480" s="182">
        <v>1.0</v>
      </c>
      <c r="E480" s="183">
        <v>200.0</v>
      </c>
      <c r="F480" s="183">
        <v>200.0</v>
      </c>
      <c r="G480" s="183">
        <v>200.0</v>
      </c>
      <c r="H480" s="239" t="b">
        <v>1</v>
      </c>
      <c r="I480" s="143" t="s">
        <v>355</v>
      </c>
      <c r="J480" s="41" t="s">
        <v>329</v>
      </c>
      <c r="K480" s="8" t="b">
        <v>0</v>
      </c>
      <c r="L480" s="8" t="b">
        <v>1</v>
      </c>
    </row>
    <row r="481" ht="14.25" hidden="1" customHeight="1" outlineLevel="1">
      <c r="A481" s="131" t="s">
        <v>44</v>
      </c>
      <c r="B481" s="132">
        <v>45529.0</v>
      </c>
      <c r="C481" s="41" t="s">
        <v>61</v>
      </c>
      <c r="D481" s="182">
        <v>1.0</v>
      </c>
      <c r="E481" s="183">
        <v>200.0</v>
      </c>
      <c r="F481" s="183">
        <v>200.0</v>
      </c>
      <c r="G481" s="183">
        <v>200.0</v>
      </c>
      <c r="H481" s="239" t="b">
        <v>1</v>
      </c>
      <c r="I481" s="143" t="s">
        <v>355</v>
      </c>
      <c r="J481" s="41" t="s">
        <v>330</v>
      </c>
      <c r="K481" s="8" t="b">
        <v>0</v>
      </c>
      <c r="L481" s="8" t="b">
        <v>1</v>
      </c>
    </row>
    <row r="482" ht="14.25" hidden="1" customHeight="1" outlineLevel="1">
      <c r="A482" s="131" t="s">
        <v>44</v>
      </c>
      <c r="B482" s="132">
        <v>45531.0</v>
      </c>
      <c r="C482" s="41" t="s">
        <v>61</v>
      </c>
      <c r="D482" s="182">
        <v>1.0</v>
      </c>
      <c r="E482" s="183">
        <v>150.0</v>
      </c>
      <c r="F482" s="183">
        <v>150.0</v>
      </c>
      <c r="G482" s="183">
        <v>150.0</v>
      </c>
      <c r="H482" s="239" t="b">
        <v>1</v>
      </c>
      <c r="I482" s="143" t="s">
        <v>296</v>
      </c>
      <c r="J482" s="41" t="s">
        <v>410</v>
      </c>
      <c r="K482" s="8" t="b">
        <v>0</v>
      </c>
      <c r="L482" s="8" t="b">
        <v>1</v>
      </c>
    </row>
    <row r="483" ht="14.25" hidden="1" customHeight="1" outlineLevel="1">
      <c r="A483" s="131" t="s">
        <v>44</v>
      </c>
      <c r="B483" s="132">
        <v>45532.0</v>
      </c>
      <c r="C483" s="41" t="s">
        <v>97</v>
      </c>
      <c r="D483" s="182">
        <v>1.0</v>
      </c>
      <c r="E483" s="183">
        <v>3.5</v>
      </c>
      <c r="F483" s="183">
        <v>3.5</v>
      </c>
      <c r="G483" s="183">
        <v>3.5</v>
      </c>
      <c r="H483" s="8" t="b">
        <v>0</v>
      </c>
      <c r="I483" s="272" t="s">
        <v>763</v>
      </c>
      <c r="J483" s="41" t="s">
        <v>764</v>
      </c>
      <c r="K483" s="8" t="b">
        <v>1</v>
      </c>
      <c r="L483" s="8" t="b">
        <v>1</v>
      </c>
    </row>
    <row r="484" ht="14.25" hidden="1" customHeight="1" outlineLevel="1">
      <c r="A484" s="131" t="s">
        <v>44</v>
      </c>
      <c r="B484" s="132">
        <v>45532.0</v>
      </c>
      <c r="C484" s="41" t="s">
        <v>61</v>
      </c>
      <c r="D484" s="182">
        <v>1.0</v>
      </c>
      <c r="E484" s="183">
        <v>4250.0</v>
      </c>
      <c r="F484" s="183">
        <v>4250.0</v>
      </c>
      <c r="G484" s="183">
        <v>4250.0</v>
      </c>
      <c r="H484" s="239" t="b">
        <v>1</v>
      </c>
      <c r="I484" s="143" t="s">
        <v>119</v>
      </c>
      <c r="J484" s="41" t="s">
        <v>765</v>
      </c>
      <c r="K484" s="8" t="b">
        <v>0</v>
      </c>
      <c r="L484" s="8" t="b">
        <v>1</v>
      </c>
    </row>
    <row r="485" ht="14.25" hidden="1" customHeight="1" outlineLevel="1">
      <c r="A485" s="131" t="s">
        <v>44</v>
      </c>
      <c r="B485" s="132">
        <v>45534.0</v>
      </c>
      <c r="C485" s="41" t="s">
        <v>61</v>
      </c>
      <c r="D485" s="182">
        <v>1.0</v>
      </c>
      <c r="E485" s="183">
        <v>150.0</v>
      </c>
      <c r="F485" s="183">
        <v>150.0</v>
      </c>
      <c r="G485" s="183">
        <v>150.0</v>
      </c>
      <c r="H485" s="239" t="b">
        <v>1</v>
      </c>
      <c r="I485" s="143" t="s">
        <v>296</v>
      </c>
      <c r="J485" s="41" t="s">
        <v>384</v>
      </c>
      <c r="K485" s="8" t="b">
        <v>0</v>
      </c>
      <c r="L485" s="8" t="b">
        <v>1</v>
      </c>
    </row>
    <row r="486" ht="14.25" hidden="1" customHeight="1" outlineLevel="1">
      <c r="A486" s="131" t="s">
        <v>44</v>
      </c>
      <c r="B486" s="132">
        <v>45534.0</v>
      </c>
      <c r="C486" s="41" t="s">
        <v>61</v>
      </c>
      <c r="D486" s="182">
        <v>1.0</v>
      </c>
      <c r="E486" s="183">
        <v>57.2</v>
      </c>
      <c r="F486" s="183">
        <v>57.2</v>
      </c>
      <c r="G486" s="183">
        <v>57.2</v>
      </c>
      <c r="H486" s="239" t="b">
        <v>1</v>
      </c>
      <c r="I486" s="143" t="s">
        <v>225</v>
      </c>
      <c r="J486" s="41" t="s">
        <v>769</v>
      </c>
      <c r="K486" s="8" t="b">
        <v>0</v>
      </c>
      <c r="L486" s="8" t="b">
        <v>1</v>
      </c>
    </row>
    <row r="487" ht="14.25" hidden="1" customHeight="1" outlineLevel="1">
      <c r="A487" s="131" t="s">
        <v>44</v>
      </c>
      <c r="B487" s="132"/>
      <c r="C487" s="41"/>
      <c r="D487" s="182"/>
      <c r="E487" s="183"/>
      <c r="F487" s="183"/>
      <c r="G487" s="183"/>
      <c r="H487" s="8" t="b">
        <v>0</v>
      </c>
      <c r="I487" s="41"/>
      <c r="J487" s="41"/>
      <c r="K487" s="8" t="b">
        <v>0</v>
      </c>
      <c r="L487" s="8" t="b">
        <v>0</v>
      </c>
    </row>
    <row r="488" ht="14.25" hidden="1" customHeight="1" outlineLevel="1">
      <c r="A488" s="131" t="s">
        <v>44</v>
      </c>
      <c r="B488" s="132"/>
      <c r="C488" s="41"/>
      <c r="D488" s="182"/>
      <c r="E488" s="183"/>
      <c r="F488" s="183"/>
      <c r="G488" s="183"/>
      <c r="H488" s="8" t="b">
        <v>0</v>
      </c>
      <c r="I488" s="41"/>
      <c r="J488" s="41"/>
      <c r="K488" s="8" t="b">
        <v>0</v>
      </c>
      <c r="L488" s="8" t="b">
        <v>0</v>
      </c>
    </row>
    <row r="489" ht="14.25" customHeight="1">
      <c r="A489" s="180" t="s">
        <v>192</v>
      </c>
      <c r="B489" s="27"/>
      <c r="C489" s="27"/>
      <c r="D489" s="27"/>
      <c r="E489" s="28"/>
      <c r="F489" s="181">
        <f t="shared" ref="F489:G489" si="59">SUM(F455:F488)</f>
        <v>8155.99</v>
      </c>
      <c r="G489" s="181">
        <f t="shared" si="59"/>
        <v>8155.99</v>
      </c>
      <c r="H489" s="156"/>
      <c r="I489" s="107"/>
      <c r="J489" s="112"/>
    </row>
    <row r="490" ht="14.25" customHeight="1" collapsed="1">
      <c r="A490" s="245" t="s">
        <v>747</v>
      </c>
      <c r="B490" s="246"/>
      <c r="C490" s="246"/>
      <c r="D490" s="246"/>
      <c r="E490" s="246"/>
      <c r="F490" s="246"/>
      <c r="G490" s="246"/>
      <c r="H490" s="246"/>
      <c r="I490" s="246"/>
      <c r="J490" s="247"/>
      <c r="K490" s="238"/>
      <c r="L490" s="238"/>
    </row>
    <row r="491" ht="14.25" hidden="1" customHeight="1" outlineLevel="1">
      <c r="A491" s="131" t="s">
        <v>43</v>
      </c>
      <c r="B491" s="132">
        <v>45536.0</v>
      </c>
      <c r="C491" s="41" t="s">
        <v>61</v>
      </c>
      <c r="D491" s="182">
        <v>1.0</v>
      </c>
      <c r="E491" s="183">
        <v>200.0</v>
      </c>
      <c r="F491" s="183">
        <v>200.0</v>
      </c>
      <c r="G491" s="183">
        <v>200.0</v>
      </c>
      <c r="H491" s="278" t="b">
        <v>1</v>
      </c>
      <c r="I491" s="143" t="s">
        <v>490</v>
      </c>
      <c r="J491" s="41" t="s">
        <v>329</v>
      </c>
      <c r="K491" s="279" t="b">
        <v>0</v>
      </c>
      <c r="L491" s="279" t="b">
        <v>1</v>
      </c>
    </row>
    <row r="492" ht="14.25" hidden="1" customHeight="1" outlineLevel="1">
      <c r="A492" s="131" t="s">
        <v>43</v>
      </c>
      <c r="B492" s="132">
        <v>45536.0</v>
      </c>
      <c r="C492" s="41" t="s">
        <v>61</v>
      </c>
      <c r="D492" s="182">
        <v>1.0</v>
      </c>
      <c r="E492" s="183">
        <v>200.0</v>
      </c>
      <c r="F492" s="183">
        <v>200.0</v>
      </c>
      <c r="G492" s="183">
        <v>200.0</v>
      </c>
      <c r="H492" s="278" t="b">
        <v>1</v>
      </c>
      <c r="I492" s="143" t="s">
        <v>342</v>
      </c>
      <c r="J492" s="41" t="s">
        <v>330</v>
      </c>
      <c r="K492" s="279" t="b">
        <v>0</v>
      </c>
      <c r="L492" s="279" t="b">
        <v>1</v>
      </c>
    </row>
    <row r="493" ht="14.25" hidden="1" customHeight="1" outlineLevel="1">
      <c r="A493" s="131" t="s">
        <v>43</v>
      </c>
      <c r="B493" s="132">
        <v>45538.0</v>
      </c>
      <c r="C493" s="41" t="s">
        <v>61</v>
      </c>
      <c r="D493" s="182">
        <v>1.0</v>
      </c>
      <c r="E493" s="183">
        <v>150.0</v>
      </c>
      <c r="F493" s="183">
        <v>150.0</v>
      </c>
      <c r="G493" s="183">
        <v>150.0</v>
      </c>
      <c r="H493" s="278" t="b">
        <v>1</v>
      </c>
      <c r="I493" s="143" t="s">
        <v>296</v>
      </c>
      <c r="J493" s="41" t="s">
        <v>410</v>
      </c>
      <c r="K493" s="279" t="b">
        <v>0</v>
      </c>
      <c r="L493" s="279" t="b">
        <v>1</v>
      </c>
    </row>
    <row r="494" ht="14.25" hidden="1" customHeight="1" outlineLevel="1">
      <c r="A494" s="131" t="s">
        <v>43</v>
      </c>
      <c r="B494" s="132">
        <v>45539.0</v>
      </c>
      <c r="C494" s="41" t="s">
        <v>171</v>
      </c>
      <c r="D494" s="182">
        <v>1.0</v>
      </c>
      <c r="E494" s="183">
        <v>65.84</v>
      </c>
      <c r="F494" s="183">
        <v>65.84</v>
      </c>
      <c r="G494" s="183">
        <v>65.84</v>
      </c>
      <c r="H494" s="279" t="b">
        <v>0</v>
      </c>
      <c r="I494" s="143" t="s">
        <v>393</v>
      </c>
      <c r="J494" s="41" t="s">
        <v>776</v>
      </c>
      <c r="K494" s="279" t="b">
        <v>1</v>
      </c>
      <c r="L494" s="279" t="b">
        <v>1</v>
      </c>
    </row>
    <row r="495" ht="14.25" hidden="1" customHeight="1" outlineLevel="1">
      <c r="A495" s="131" t="s">
        <v>43</v>
      </c>
      <c r="B495" s="132">
        <v>45540.0</v>
      </c>
      <c r="C495" s="41" t="s">
        <v>80</v>
      </c>
      <c r="D495" s="182">
        <v>2.0</v>
      </c>
      <c r="E495" s="183">
        <v>15.0</v>
      </c>
      <c r="F495" s="183">
        <f>D495*E495</f>
        <v>30</v>
      </c>
      <c r="G495" s="183">
        <v>30.0</v>
      </c>
      <c r="H495" s="279" t="b">
        <v>0</v>
      </c>
      <c r="I495" s="143" t="s">
        <v>481</v>
      </c>
      <c r="J495" s="41" t="s">
        <v>779</v>
      </c>
      <c r="K495" s="279" t="b">
        <v>1</v>
      </c>
      <c r="L495" s="279" t="b">
        <v>1</v>
      </c>
    </row>
    <row r="496" ht="14.25" hidden="1" customHeight="1" outlineLevel="1">
      <c r="A496" s="131" t="s">
        <v>43</v>
      </c>
      <c r="B496" s="132">
        <v>45540.0</v>
      </c>
      <c r="C496" s="41" t="s">
        <v>171</v>
      </c>
      <c r="D496" s="182">
        <v>1.0</v>
      </c>
      <c r="E496" s="183">
        <v>87.55</v>
      </c>
      <c r="F496" s="183">
        <v>87.55</v>
      </c>
      <c r="G496" s="183">
        <v>87.55</v>
      </c>
      <c r="H496" s="279" t="b">
        <v>0</v>
      </c>
      <c r="I496" s="143" t="s">
        <v>479</v>
      </c>
      <c r="J496" s="41" t="s">
        <v>780</v>
      </c>
      <c r="K496" s="279" t="b">
        <v>1</v>
      </c>
      <c r="L496" s="279" t="b">
        <v>1</v>
      </c>
    </row>
    <row r="497" ht="14.25" hidden="1" customHeight="1" outlineLevel="1">
      <c r="A497" s="131" t="s">
        <v>43</v>
      </c>
      <c r="B497" s="132">
        <v>45540.0</v>
      </c>
      <c r="C497" s="41" t="s">
        <v>171</v>
      </c>
      <c r="D497" s="182">
        <v>1.0</v>
      </c>
      <c r="E497" s="183">
        <v>19.98</v>
      </c>
      <c r="F497" s="183">
        <v>19.98</v>
      </c>
      <c r="G497" s="183">
        <v>19.98</v>
      </c>
      <c r="H497" s="279" t="b">
        <v>0</v>
      </c>
      <c r="I497" s="143" t="s">
        <v>479</v>
      </c>
      <c r="J497" s="41" t="s">
        <v>780</v>
      </c>
      <c r="K497" s="279" t="b">
        <v>1</v>
      </c>
      <c r="L497" s="279" t="b">
        <v>1</v>
      </c>
    </row>
    <row r="498" ht="14.25" hidden="1" customHeight="1" outlineLevel="1">
      <c r="A498" s="131" t="s">
        <v>43</v>
      </c>
      <c r="B498" s="132">
        <v>45541.0</v>
      </c>
      <c r="C498" s="41" t="s">
        <v>75</v>
      </c>
      <c r="D498" s="182">
        <v>1.0</v>
      </c>
      <c r="E498" s="183">
        <v>140.0</v>
      </c>
      <c r="F498" s="183">
        <v>140.0</v>
      </c>
      <c r="G498" s="183">
        <v>140.0</v>
      </c>
      <c r="H498" s="279" t="b">
        <v>0</v>
      </c>
      <c r="I498" s="143" t="s">
        <v>599</v>
      </c>
      <c r="J498" s="41" t="s">
        <v>781</v>
      </c>
      <c r="K498" s="279" t="b">
        <v>0</v>
      </c>
      <c r="L498" s="279" t="b">
        <v>1</v>
      </c>
    </row>
    <row r="499" ht="14.25" hidden="1" customHeight="1" outlineLevel="1">
      <c r="A499" s="131" t="s">
        <v>43</v>
      </c>
      <c r="B499" s="132">
        <v>45541.0</v>
      </c>
      <c r="C499" s="41" t="s">
        <v>61</v>
      </c>
      <c r="D499" s="182">
        <v>1.0</v>
      </c>
      <c r="E499" s="183">
        <v>150.0</v>
      </c>
      <c r="F499" s="183">
        <v>150.0</v>
      </c>
      <c r="G499" s="183">
        <v>150.0</v>
      </c>
      <c r="H499" s="278" t="b">
        <v>1</v>
      </c>
      <c r="I499" s="143" t="s">
        <v>296</v>
      </c>
      <c r="J499" s="41" t="s">
        <v>384</v>
      </c>
      <c r="K499" s="279" t="b">
        <v>0</v>
      </c>
      <c r="L499" s="279" t="b">
        <v>1</v>
      </c>
    </row>
    <row r="500" ht="14.25" hidden="1" customHeight="1" outlineLevel="1">
      <c r="A500" s="131" t="s">
        <v>43</v>
      </c>
      <c r="B500" s="132">
        <v>45541.0</v>
      </c>
      <c r="C500" s="41" t="s">
        <v>55</v>
      </c>
      <c r="D500" s="182">
        <v>8.0</v>
      </c>
      <c r="E500" s="183">
        <v>18.9</v>
      </c>
      <c r="F500" s="183">
        <f>D500*E500</f>
        <v>151.2</v>
      </c>
      <c r="G500" s="183">
        <f>F500</f>
        <v>151.2</v>
      </c>
      <c r="H500" s="279" t="b">
        <v>0</v>
      </c>
      <c r="I500" s="143" t="s">
        <v>254</v>
      </c>
      <c r="J500" s="41" t="s">
        <v>784</v>
      </c>
      <c r="K500" s="279" t="b">
        <v>1</v>
      </c>
      <c r="L500" s="279" t="b">
        <v>1</v>
      </c>
    </row>
    <row r="501" ht="14.25" hidden="1" customHeight="1" outlineLevel="1">
      <c r="A501" s="131" t="s">
        <v>43</v>
      </c>
      <c r="B501" s="132">
        <v>45543.0</v>
      </c>
      <c r="C501" s="41" t="s">
        <v>61</v>
      </c>
      <c r="D501" s="182">
        <v>1.0</v>
      </c>
      <c r="E501" s="183">
        <v>200.0</v>
      </c>
      <c r="F501" s="183">
        <v>200.0</v>
      </c>
      <c r="G501" s="183">
        <v>200.0</v>
      </c>
      <c r="H501" s="278" t="b">
        <v>1</v>
      </c>
      <c r="I501" s="143" t="s">
        <v>490</v>
      </c>
      <c r="J501" s="41" t="s">
        <v>329</v>
      </c>
      <c r="K501" s="279" t="b">
        <v>0</v>
      </c>
      <c r="L501" s="279" t="b">
        <v>1</v>
      </c>
    </row>
    <row r="502" ht="14.25" hidden="1" customHeight="1" outlineLevel="1">
      <c r="A502" s="131" t="s">
        <v>43</v>
      </c>
      <c r="B502" s="132">
        <v>45543.0</v>
      </c>
      <c r="C502" s="41" t="s">
        <v>61</v>
      </c>
      <c r="D502" s="182">
        <v>1.0</v>
      </c>
      <c r="E502" s="183">
        <v>200.0</v>
      </c>
      <c r="F502" s="183">
        <v>200.0</v>
      </c>
      <c r="G502" s="183">
        <v>200.0</v>
      </c>
      <c r="H502" s="278" t="b">
        <v>1</v>
      </c>
      <c r="I502" s="143" t="s">
        <v>413</v>
      </c>
      <c r="J502" s="41" t="s">
        <v>330</v>
      </c>
      <c r="K502" s="279" t="b">
        <v>0</v>
      </c>
      <c r="L502" s="279" t="b">
        <v>1</v>
      </c>
    </row>
    <row r="503" ht="14.25" hidden="1" customHeight="1" outlineLevel="1">
      <c r="A503" s="131" t="s">
        <v>43</v>
      </c>
      <c r="B503" s="132">
        <v>45544.0</v>
      </c>
      <c r="C503" s="41" t="s">
        <v>315</v>
      </c>
      <c r="D503" s="182">
        <v>2.0</v>
      </c>
      <c r="E503" s="183">
        <v>46.99</v>
      </c>
      <c r="F503" s="183">
        <f>D503*E503</f>
        <v>93.98</v>
      </c>
      <c r="G503" s="183">
        <f>F503</f>
        <v>93.98</v>
      </c>
      <c r="H503" s="279" t="b">
        <v>0</v>
      </c>
      <c r="I503" s="143" t="s">
        <v>570</v>
      </c>
      <c r="J503" s="41" t="s">
        <v>333</v>
      </c>
      <c r="K503" s="279" t="b">
        <v>1</v>
      </c>
      <c r="L503" s="279" t="b">
        <v>1</v>
      </c>
    </row>
    <row r="504" ht="14.25" hidden="1" customHeight="1" outlineLevel="1">
      <c r="A504" s="131" t="s">
        <v>43</v>
      </c>
      <c r="B504" s="132">
        <v>45545.0</v>
      </c>
      <c r="C504" s="41" t="s">
        <v>61</v>
      </c>
      <c r="D504" s="182">
        <v>1.0</v>
      </c>
      <c r="E504" s="183">
        <v>150.0</v>
      </c>
      <c r="F504" s="183">
        <v>150.0</v>
      </c>
      <c r="G504" s="183">
        <v>150.0</v>
      </c>
      <c r="H504" s="278" t="b">
        <v>1</v>
      </c>
      <c r="I504" s="143" t="s">
        <v>296</v>
      </c>
      <c r="J504" s="41" t="s">
        <v>410</v>
      </c>
      <c r="K504" s="279" t="b">
        <v>0</v>
      </c>
      <c r="L504" s="279" t="b">
        <v>1</v>
      </c>
    </row>
    <row r="505" ht="14.25" hidden="1" customHeight="1" outlineLevel="1">
      <c r="A505" s="131" t="s">
        <v>43</v>
      </c>
      <c r="B505" s="132">
        <v>45545.0</v>
      </c>
      <c r="C505" s="41" t="s">
        <v>69</v>
      </c>
      <c r="D505" s="182">
        <v>3.0</v>
      </c>
      <c r="E505" s="183">
        <v>4.99</v>
      </c>
      <c r="F505" s="183">
        <f t="shared" ref="F505:F508" si="60">D505*E505</f>
        <v>14.97</v>
      </c>
      <c r="G505" s="196">
        <f>SUM(F505:F507)</f>
        <v>35.15</v>
      </c>
      <c r="H505" s="278" t="b">
        <v>0</v>
      </c>
      <c r="I505" s="164" t="s">
        <v>681</v>
      </c>
      <c r="J505" s="41" t="s">
        <v>788</v>
      </c>
      <c r="K505" s="278" t="b">
        <v>1</v>
      </c>
      <c r="L505" s="278" t="b">
        <v>1</v>
      </c>
    </row>
    <row r="506" ht="14.25" hidden="1" customHeight="1" outlineLevel="1">
      <c r="A506" s="131" t="s">
        <v>43</v>
      </c>
      <c r="B506" s="132">
        <v>45545.0</v>
      </c>
      <c r="C506" s="41" t="s">
        <v>112</v>
      </c>
      <c r="D506" s="182">
        <v>1.0</v>
      </c>
      <c r="E506" s="183">
        <v>12.39</v>
      </c>
      <c r="F506" s="183">
        <f t="shared" si="60"/>
        <v>12.39</v>
      </c>
      <c r="G506" s="58"/>
      <c r="H506" s="58"/>
      <c r="I506" s="194"/>
      <c r="J506" s="41" t="s">
        <v>791</v>
      </c>
      <c r="K506" s="58"/>
      <c r="L506" s="58"/>
    </row>
    <row r="507" ht="14.25" hidden="1" customHeight="1" outlineLevel="1">
      <c r="A507" s="131" t="s">
        <v>43</v>
      </c>
      <c r="B507" s="132">
        <v>45545.0</v>
      </c>
      <c r="C507" s="41" t="s">
        <v>112</v>
      </c>
      <c r="D507" s="182">
        <v>1.0</v>
      </c>
      <c r="E507" s="183">
        <v>7.79</v>
      </c>
      <c r="F507" s="183">
        <f t="shared" si="60"/>
        <v>7.79</v>
      </c>
      <c r="G507" s="10"/>
      <c r="H507" s="10"/>
      <c r="I507" s="74"/>
      <c r="J507" s="41" t="s">
        <v>792</v>
      </c>
      <c r="K507" s="10"/>
      <c r="L507" s="10"/>
    </row>
    <row r="508" ht="14.25" hidden="1" customHeight="1" outlineLevel="1">
      <c r="A508" s="131" t="s">
        <v>43</v>
      </c>
      <c r="B508" s="132">
        <v>45545.0</v>
      </c>
      <c r="C508" s="41" t="s">
        <v>116</v>
      </c>
      <c r="D508" s="182">
        <v>4.0</v>
      </c>
      <c r="E508" s="183">
        <v>7.29</v>
      </c>
      <c r="F508" s="183">
        <f t="shared" si="60"/>
        <v>29.16</v>
      </c>
      <c r="G508" s="183">
        <f>F508</f>
        <v>29.16</v>
      </c>
      <c r="H508" s="279" t="b">
        <v>0</v>
      </c>
      <c r="I508" s="143" t="s">
        <v>117</v>
      </c>
      <c r="J508" s="41" t="s">
        <v>797</v>
      </c>
      <c r="K508" s="279" t="b">
        <v>1</v>
      </c>
      <c r="L508" s="279" t="b">
        <v>1</v>
      </c>
    </row>
    <row r="509" ht="14.25" hidden="1" customHeight="1" outlineLevel="1">
      <c r="A509" s="131" t="s">
        <v>43</v>
      </c>
      <c r="B509" s="132">
        <v>45546.0</v>
      </c>
      <c r="C509" s="41" t="s">
        <v>231</v>
      </c>
      <c r="D509" s="182">
        <v>1.0</v>
      </c>
      <c r="E509" s="183">
        <v>20.0</v>
      </c>
      <c r="F509" s="183">
        <v>20.0</v>
      </c>
      <c r="G509" s="183">
        <v>20.0</v>
      </c>
      <c r="H509" s="279" t="b">
        <v>0</v>
      </c>
      <c r="I509" s="143" t="s">
        <v>403</v>
      </c>
      <c r="J509" s="41" t="s">
        <v>799</v>
      </c>
      <c r="K509" s="279" t="b">
        <v>1</v>
      </c>
      <c r="L509" s="279" t="b">
        <v>1</v>
      </c>
    </row>
    <row r="510" ht="14.25" hidden="1" customHeight="1" outlineLevel="1">
      <c r="A510" s="131" t="s">
        <v>43</v>
      </c>
      <c r="B510" s="132">
        <v>45547.0</v>
      </c>
      <c r="C510" s="41" t="s">
        <v>171</v>
      </c>
      <c r="D510" s="182">
        <v>1.0</v>
      </c>
      <c r="E510" s="183">
        <v>65.84</v>
      </c>
      <c r="F510" s="183">
        <v>65.84</v>
      </c>
      <c r="G510" s="183">
        <v>65.84</v>
      </c>
      <c r="H510" s="279" t="b">
        <v>0</v>
      </c>
      <c r="I510" s="143" t="s">
        <v>393</v>
      </c>
      <c r="J510" s="41" t="s">
        <v>776</v>
      </c>
      <c r="K510" s="279" t="b">
        <v>1</v>
      </c>
      <c r="L510" s="279" t="b">
        <v>1</v>
      </c>
    </row>
    <row r="511" ht="14.25" hidden="1" customHeight="1" outlineLevel="1">
      <c r="A511" s="131" t="s">
        <v>43</v>
      </c>
      <c r="B511" s="132">
        <v>45548.0</v>
      </c>
      <c r="C511" s="41" t="s">
        <v>61</v>
      </c>
      <c r="D511" s="182">
        <v>1.0</v>
      </c>
      <c r="E511" s="183">
        <v>150.0</v>
      </c>
      <c r="F511" s="183">
        <v>150.0</v>
      </c>
      <c r="G511" s="183">
        <v>150.0</v>
      </c>
      <c r="H511" s="278" t="b">
        <v>1</v>
      </c>
      <c r="I511" s="143" t="s">
        <v>296</v>
      </c>
      <c r="J511" s="41" t="s">
        <v>384</v>
      </c>
      <c r="K511" s="279" t="b">
        <v>0</v>
      </c>
      <c r="L511" s="279" t="b">
        <v>1</v>
      </c>
    </row>
    <row r="512" ht="14.25" hidden="1" customHeight="1" outlineLevel="1">
      <c r="A512" s="131" t="s">
        <v>43</v>
      </c>
      <c r="B512" s="132">
        <v>45550.0</v>
      </c>
      <c r="C512" s="41" t="s">
        <v>61</v>
      </c>
      <c r="D512" s="182">
        <v>1.0</v>
      </c>
      <c r="E512" s="183">
        <v>200.0</v>
      </c>
      <c r="F512" s="183">
        <v>200.0</v>
      </c>
      <c r="G512" s="183">
        <v>200.0</v>
      </c>
      <c r="H512" s="279" t="b">
        <v>1</v>
      </c>
      <c r="I512" s="143" t="s">
        <v>490</v>
      </c>
      <c r="J512" s="41" t="s">
        <v>329</v>
      </c>
      <c r="K512" s="279" t="b">
        <v>0</v>
      </c>
      <c r="L512" s="279" t="b">
        <v>1</v>
      </c>
    </row>
    <row r="513" ht="14.25" hidden="1" customHeight="1" outlineLevel="1">
      <c r="A513" s="131" t="s">
        <v>43</v>
      </c>
      <c r="B513" s="132">
        <v>45550.0</v>
      </c>
      <c r="C513" s="41" t="s">
        <v>61</v>
      </c>
      <c r="D513" s="182">
        <v>1.0</v>
      </c>
      <c r="E513" s="183">
        <v>200.0</v>
      </c>
      <c r="F513" s="183">
        <v>200.0</v>
      </c>
      <c r="G513" s="183">
        <v>200.0</v>
      </c>
      <c r="H513" s="279" t="b">
        <v>1</v>
      </c>
      <c r="I513" s="281" t="s">
        <v>342</v>
      </c>
      <c r="J513" s="41" t="s">
        <v>330</v>
      </c>
      <c r="K513" s="279" t="b">
        <v>0</v>
      </c>
      <c r="L513" s="279" t="b">
        <v>1</v>
      </c>
    </row>
    <row r="514" ht="14.25" hidden="1" customHeight="1" outlineLevel="1">
      <c r="A514" s="131" t="s">
        <v>43</v>
      </c>
      <c r="B514" s="132">
        <v>45552.0</v>
      </c>
      <c r="C514" s="41" t="s">
        <v>112</v>
      </c>
      <c r="D514" s="182">
        <v>3.0</v>
      </c>
      <c r="E514" s="183">
        <v>9.29</v>
      </c>
      <c r="F514" s="183">
        <f>D514*E514</f>
        <v>27.87</v>
      </c>
      <c r="G514" s="196">
        <f>SUM(F514:F515)</f>
        <v>37.85</v>
      </c>
      <c r="H514" s="278" t="b">
        <v>0</v>
      </c>
      <c r="I514" s="164" t="s">
        <v>681</v>
      </c>
      <c r="J514" s="41" t="s">
        <v>84</v>
      </c>
      <c r="K514" s="278" t="b">
        <v>1</v>
      </c>
      <c r="L514" s="278" t="b">
        <v>1</v>
      </c>
    </row>
    <row r="515" ht="14.25" hidden="1" customHeight="1" outlineLevel="1">
      <c r="A515" s="131" t="s">
        <v>43</v>
      </c>
      <c r="B515" s="132">
        <v>45552.0</v>
      </c>
      <c r="C515" s="41" t="s">
        <v>112</v>
      </c>
      <c r="D515" s="182">
        <v>2.0</v>
      </c>
      <c r="E515" s="183">
        <v>4.99</v>
      </c>
      <c r="F515" s="183">
        <f>E515*D515</f>
        <v>9.98</v>
      </c>
      <c r="G515" s="10"/>
      <c r="H515" s="10"/>
      <c r="I515" s="74"/>
      <c r="J515" s="41" t="s">
        <v>788</v>
      </c>
      <c r="K515" s="10"/>
      <c r="L515" s="10"/>
    </row>
    <row r="516" ht="14.25" hidden="1" customHeight="1" outlineLevel="1">
      <c r="A516" s="131" t="s">
        <v>43</v>
      </c>
      <c r="B516" s="132">
        <v>45552.0</v>
      </c>
      <c r="C516" s="41" t="s">
        <v>61</v>
      </c>
      <c r="D516" s="182">
        <v>1.0</v>
      </c>
      <c r="E516" s="183">
        <v>150.0</v>
      </c>
      <c r="F516" s="183">
        <v>150.0</v>
      </c>
      <c r="G516" s="183">
        <v>150.0</v>
      </c>
      <c r="H516" s="278" t="b">
        <v>1</v>
      </c>
      <c r="I516" s="143" t="s">
        <v>296</v>
      </c>
      <c r="J516" s="41" t="s">
        <v>410</v>
      </c>
      <c r="K516" s="279" t="b">
        <v>0</v>
      </c>
      <c r="L516" s="279" t="b">
        <v>1</v>
      </c>
    </row>
    <row r="517" ht="14.25" hidden="1" customHeight="1" outlineLevel="1">
      <c r="A517" s="131" t="s">
        <v>43</v>
      </c>
      <c r="B517" s="132">
        <v>45555.0</v>
      </c>
      <c r="C517" s="41" t="s">
        <v>61</v>
      </c>
      <c r="D517" s="182">
        <v>1.0</v>
      </c>
      <c r="E517" s="183">
        <v>150.0</v>
      </c>
      <c r="F517" s="183">
        <v>150.0</v>
      </c>
      <c r="G517" s="183">
        <v>150.0</v>
      </c>
      <c r="H517" s="278" t="b">
        <v>1</v>
      </c>
      <c r="I517" s="143" t="s">
        <v>296</v>
      </c>
      <c r="J517" s="41" t="s">
        <v>384</v>
      </c>
      <c r="K517" s="279" t="b">
        <v>0</v>
      </c>
      <c r="L517" s="279" t="b">
        <v>1</v>
      </c>
    </row>
    <row r="518" ht="14.25" hidden="1" customHeight="1" outlineLevel="1">
      <c r="A518" s="131" t="s">
        <v>43</v>
      </c>
      <c r="B518" s="132">
        <v>45557.0</v>
      </c>
      <c r="C518" s="41" t="s">
        <v>61</v>
      </c>
      <c r="D518" s="182">
        <v>1.0</v>
      </c>
      <c r="E518" s="183">
        <v>200.0</v>
      </c>
      <c r="F518" s="183">
        <v>200.0</v>
      </c>
      <c r="G518" s="183">
        <v>200.0</v>
      </c>
      <c r="H518" s="279" t="b">
        <v>1</v>
      </c>
      <c r="I518" s="143" t="s">
        <v>720</v>
      </c>
      <c r="J518" s="41" t="s">
        <v>329</v>
      </c>
      <c r="K518" s="279" t="b">
        <v>0</v>
      </c>
      <c r="L518" s="279" t="b">
        <v>1</v>
      </c>
    </row>
    <row r="519" ht="14.25" hidden="1" customHeight="1" outlineLevel="1">
      <c r="A519" s="131" t="s">
        <v>43</v>
      </c>
      <c r="B519" s="132">
        <v>45557.0</v>
      </c>
      <c r="C519" s="41" t="s">
        <v>61</v>
      </c>
      <c r="D519" s="182">
        <v>1.0</v>
      </c>
      <c r="E519" s="183">
        <v>200.0</v>
      </c>
      <c r="F519" s="183">
        <v>200.0</v>
      </c>
      <c r="G519" s="183">
        <v>200.0</v>
      </c>
      <c r="H519" s="279" t="b">
        <v>1</v>
      </c>
      <c r="I519" s="281" t="s">
        <v>413</v>
      </c>
      <c r="J519" s="41" t="s">
        <v>330</v>
      </c>
      <c r="K519" s="279" t="b">
        <v>0</v>
      </c>
      <c r="L519" s="279" t="b">
        <v>1</v>
      </c>
    </row>
    <row r="520" ht="14.25" hidden="1" customHeight="1" outlineLevel="1">
      <c r="A520" s="131" t="s">
        <v>43</v>
      </c>
      <c r="B520" s="132">
        <v>45558.0</v>
      </c>
      <c r="C520" s="41" t="s">
        <v>75</v>
      </c>
      <c r="D520" s="182">
        <v>1.0</v>
      </c>
      <c r="E520" s="183">
        <v>140.0</v>
      </c>
      <c r="F520" s="183">
        <v>140.0</v>
      </c>
      <c r="G520" s="183">
        <v>140.0</v>
      </c>
      <c r="H520" s="279" t="b">
        <v>0</v>
      </c>
      <c r="I520" s="143" t="s">
        <v>599</v>
      </c>
      <c r="J520" s="41" t="s">
        <v>807</v>
      </c>
      <c r="K520" s="279" t="b">
        <v>0</v>
      </c>
      <c r="L520" s="279" t="b">
        <v>1</v>
      </c>
    </row>
    <row r="521" ht="14.25" hidden="1" customHeight="1" outlineLevel="1">
      <c r="A521" s="131" t="s">
        <v>43</v>
      </c>
      <c r="B521" s="132">
        <v>45559.0</v>
      </c>
      <c r="C521" s="41" t="s">
        <v>61</v>
      </c>
      <c r="D521" s="182">
        <v>1.0</v>
      </c>
      <c r="E521" s="183">
        <v>150.0</v>
      </c>
      <c r="F521" s="183">
        <v>150.0</v>
      </c>
      <c r="G521" s="183">
        <v>150.0</v>
      </c>
      <c r="H521" s="278" t="b">
        <v>1</v>
      </c>
      <c r="I521" s="143" t="s">
        <v>296</v>
      </c>
      <c r="J521" s="41" t="s">
        <v>410</v>
      </c>
      <c r="K521" s="279" t="b">
        <v>0</v>
      </c>
      <c r="L521" s="279" t="b">
        <v>1</v>
      </c>
    </row>
    <row r="522" ht="14.25" hidden="1" customHeight="1" outlineLevel="1">
      <c r="A522" s="131" t="s">
        <v>43</v>
      </c>
      <c r="B522" s="132">
        <v>45561.0</v>
      </c>
      <c r="C522" s="41" t="s">
        <v>61</v>
      </c>
      <c r="D522" s="182">
        <v>1.0</v>
      </c>
      <c r="E522" s="183">
        <v>3750.0</v>
      </c>
      <c r="F522" s="183">
        <v>3750.0</v>
      </c>
      <c r="G522" s="183">
        <v>3750.0</v>
      </c>
      <c r="H522" s="279" t="b">
        <v>1</v>
      </c>
      <c r="I522" s="281" t="s">
        <v>119</v>
      </c>
      <c r="J522" s="41" t="s">
        <v>809</v>
      </c>
      <c r="K522" s="279" t="b">
        <v>0</v>
      </c>
      <c r="L522" s="279" t="b">
        <v>1</v>
      </c>
    </row>
    <row r="523" ht="14.25" hidden="1" customHeight="1" outlineLevel="1">
      <c r="A523" s="131" t="s">
        <v>43</v>
      </c>
      <c r="B523" s="132">
        <v>45562.0</v>
      </c>
      <c r="C523" s="41" t="s">
        <v>93</v>
      </c>
      <c r="D523" s="182">
        <v>1.0</v>
      </c>
      <c r="E523" s="183">
        <v>386.2</v>
      </c>
      <c r="F523" s="183">
        <v>386.2</v>
      </c>
      <c r="G523" s="183">
        <v>386.2</v>
      </c>
      <c r="H523" s="279" t="b">
        <v>0</v>
      </c>
      <c r="I523" s="143" t="s">
        <v>337</v>
      </c>
      <c r="J523" s="41" t="s">
        <v>810</v>
      </c>
      <c r="K523" s="279" t="b">
        <v>1</v>
      </c>
      <c r="L523" s="279" t="b">
        <v>1</v>
      </c>
    </row>
    <row r="524" ht="14.25" hidden="1" customHeight="1" outlineLevel="1">
      <c r="A524" s="131" t="s">
        <v>43</v>
      </c>
      <c r="B524" s="132">
        <v>45562.0</v>
      </c>
      <c r="C524" s="41" t="s">
        <v>61</v>
      </c>
      <c r="D524" s="182">
        <v>1.0</v>
      </c>
      <c r="E524" s="183">
        <v>150.0</v>
      </c>
      <c r="F524" s="183">
        <v>150.0</v>
      </c>
      <c r="G524" s="183">
        <v>150.0</v>
      </c>
      <c r="H524" s="278" t="b">
        <v>1</v>
      </c>
      <c r="I524" s="143" t="s">
        <v>296</v>
      </c>
      <c r="J524" s="41" t="s">
        <v>384</v>
      </c>
      <c r="K524" s="279" t="b">
        <v>0</v>
      </c>
      <c r="L524" s="279" t="b">
        <v>1</v>
      </c>
    </row>
    <row r="525" ht="14.25" hidden="1" customHeight="1" outlineLevel="1">
      <c r="A525" s="131" t="s">
        <v>43</v>
      </c>
      <c r="B525" s="132">
        <v>45562.0</v>
      </c>
      <c r="C525" s="41" t="s">
        <v>75</v>
      </c>
      <c r="D525" s="182">
        <v>1.0</v>
      </c>
      <c r="E525" s="183">
        <v>70.0</v>
      </c>
      <c r="F525" s="183">
        <v>70.0</v>
      </c>
      <c r="G525" s="183">
        <v>70.0</v>
      </c>
      <c r="H525" s="279" t="b">
        <v>0</v>
      </c>
      <c r="I525" s="143" t="s">
        <v>599</v>
      </c>
      <c r="J525" s="41" t="s">
        <v>811</v>
      </c>
      <c r="K525" s="279" t="b">
        <v>0</v>
      </c>
      <c r="L525" s="279" t="b">
        <v>1</v>
      </c>
    </row>
    <row r="526" ht="14.25" hidden="1" customHeight="1" outlineLevel="1">
      <c r="A526" s="131" t="s">
        <v>43</v>
      </c>
      <c r="B526" s="132">
        <v>45563.0</v>
      </c>
      <c r="C526" s="41" t="s">
        <v>80</v>
      </c>
      <c r="D526" s="182">
        <v>2.0</v>
      </c>
      <c r="E526" s="183">
        <v>15.0</v>
      </c>
      <c r="F526" s="183">
        <f>D526*E526</f>
        <v>30</v>
      </c>
      <c r="G526" s="183">
        <v>30.0</v>
      </c>
      <c r="H526" s="279" t="b">
        <v>0</v>
      </c>
      <c r="I526" s="143" t="s">
        <v>481</v>
      </c>
      <c r="J526" s="41" t="s">
        <v>779</v>
      </c>
      <c r="K526" s="279" t="b">
        <v>1</v>
      </c>
      <c r="L526" s="279" t="b">
        <v>1</v>
      </c>
    </row>
    <row r="527" ht="14.25" hidden="1" customHeight="1" outlineLevel="1">
      <c r="A527" s="131" t="s">
        <v>43</v>
      </c>
      <c r="B527" s="132">
        <v>45564.0</v>
      </c>
      <c r="C527" s="41" t="s">
        <v>61</v>
      </c>
      <c r="D527" s="182">
        <v>1.0</v>
      </c>
      <c r="E527" s="183">
        <v>200.0</v>
      </c>
      <c r="F527" s="183">
        <v>200.0</v>
      </c>
      <c r="G527" s="183">
        <v>200.0</v>
      </c>
      <c r="H527" s="279" t="b">
        <v>1</v>
      </c>
      <c r="I527" s="143" t="s">
        <v>720</v>
      </c>
      <c r="J527" s="41" t="s">
        <v>329</v>
      </c>
      <c r="K527" s="279" t="b">
        <v>0</v>
      </c>
      <c r="L527" s="279" t="b">
        <v>1</v>
      </c>
    </row>
    <row r="528" ht="14.25" hidden="1" customHeight="1" outlineLevel="1">
      <c r="A528" s="131" t="s">
        <v>43</v>
      </c>
      <c r="B528" s="132">
        <v>45564.0</v>
      </c>
      <c r="C528" s="41" t="s">
        <v>61</v>
      </c>
      <c r="D528" s="182">
        <v>1.0</v>
      </c>
      <c r="E528" s="183">
        <v>200.0</v>
      </c>
      <c r="F528" s="183">
        <v>200.0</v>
      </c>
      <c r="G528" s="183">
        <v>200.0</v>
      </c>
      <c r="H528" s="279" t="b">
        <v>1</v>
      </c>
      <c r="I528" s="281" t="s">
        <v>413</v>
      </c>
      <c r="J528" s="41" t="s">
        <v>330</v>
      </c>
      <c r="K528" s="279" t="b">
        <v>0</v>
      </c>
      <c r="L528" s="279" t="b">
        <v>1</v>
      </c>
    </row>
    <row r="529" ht="14.25" hidden="1" customHeight="1" outlineLevel="1">
      <c r="A529" s="131" t="s">
        <v>43</v>
      </c>
      <c r="B529" s="132">
        <v>45565.0</v>
      </c>
      <c r="C529" s="41" t="s">
        <v>55</v>
      </c>
      <c r="D529" s="182">
        <v>1.0</v>
      </c>
      <c r="E529" s="183">
        <v>212.0</v>
      </c>
      <c r="F529" s="183">
        <v>212.0</v>
      </c>
      <c r="G529" s="183">
        <v>212.0</v>
      </c>
      <c r="H529" s="279" t="b">
        <v>0</v>
      </c>
      <c r="I529" s="143" t="s">
        <v>814</v>
      </c>
      <c r="J529" s="41" t="s">
        <v>815</v>
      </c>
      <c r="K529" s="279" t="b">
        <v>1</v>
      </c>
      <c r="L529" s="279" t="b">
        <v>1</v>
      </c>
    </row>
    <row r="530" ht="14.25" customHeight="1">
      <c r="A530" s="180" t="s">
        <v>192</v>
      </c>
      <c r="B530" s="27"/>
      <c r="C530" s="27"/>
      <c r="D530" s="27"/>
      <c r="E530" s="28"/>
      <c r="F530" s="181">
        <f t="shared" ref="F530:G530" si="61">SUM(F491:F529)</f>
        <v>8564.75</v>
      </c>
      <c r="G530" s="181">
        <f t="shared" si="61"/>
        <v>8564.75</v>
      </c>
      <c r="H530" s="156"/>
      <c r="I530" s="107"/>
      <c r="J530" s="112"/>
    </row>
    <row r="531" ht="14.25" customHeight="1" collapsed="1">
      <c r="A531" s="245" t="s">
        <v>774</v>
      </c>
      <c r="B531" s="246"/>
      <c r="C531" s="246"/>
      <c r="D531" s="246"/>
      <c r="E531" s="246"/>
      <c r="F531" s="246"/>
      <c r="G531" s="246"/>
      <c r="H531" s="246"/>
      <c r="I531" s="246"/>
      <c r="J531" s="247"/>
      <c r="K531" s="238"/>
      <c r="L531" s="238"/>
    </row>
    <row r="532" ht="14.25" hidden="1" customHeight="1" outlineLevel="1">
      <c r="A532" s="131" t="s">
        <v>42</v>
      </c>
      <c r="B532" s="132">
        <v>45566.0</v>
      </c>
      <c r="C532" s="41" t="s">
        <v>61</v>
      </c>
      <c r="D532" s="182">
        <v>1.0</v>
      </c>
      <c r="E532" s="183">
        <v>150.0</v>
      </c>
      <c r="F532" s="183">
        <v>150.0</v>
      </c>
      <c r="G532" s="183">
        <v>150.0</v>
      </c>
      <c r="H532" s="279" t="b">
        <v>1</v>
      </c>
      <c r="I532" s="41" t="s">
        <v>296</v>
      </c>
      <c r="J532" s="41" t="s">
        <v>410</v>
      </c>
      <c r="K532" s="279" t="b">
        <v>0</v>
      </c>
      <c r="L532" s="279" t="b">
        <v>1</v>
      </c>
    </row>
    <row r="533" ht="14.25" hidden="1" customHeight="1" outlineLevel="1">
      <c r="A533" s="131" t="s">
        <v>42</v>
      </c>
      <c r="B533" s="132">
        <v>45566.0</v>
      </c>
      <c r="C533" s="41" t="s">
        <v>61</v>
      </c>
      <c r="D533" s="182">
        <v>1.0</v>
      </c>
      <c r="E533" s="183">
        <v>150.0</v>
      </c>
      <c r="F533" s="183">
        <v>150.0</v>
      </c>
      <c r="G533" s="183">
        <v>150.0</v>
      </c>
      <c r="H533" s="279" t="b">
        <v>1</v>
      </c>
      <c r="I533" s="41" t="s">
        <v>820</v>
      </c>
      <c r="J533" s="41" t="s">
        <v>821</v>
      </c>
      <c r="K533" s="279" t="b">
        <v>0</v>
      </c>
      <c r="L533" s="279" t="b">
        <v>1</v>
      </c>
    </row>
    <row r="534" ht="14.25" hidden="1" customHeight="1" outlineLevel="1">
      <c r="A534" s="131" t="s">
        <v>42</v>
      </c>
      <c r="B534" s="132">
        <v>45566.0</v>
      </c>
      <c r="C534" s="41" t="s">
        <v>112</v>
      </c>
      <c r="D534" s="182">
        <v>1.0</v>
      </c>
      <c r="E534" s="183">
        <v>54.93</v>
      </c>
      <c r="F534" s="183">
        <v>54.93</v>
      </c>
      <c r="G534" s="183">
        <v>54.93</v>
      </c>
      <c r="H534" s="279" t="b">
        <v>0</v>
      </c>
      <c r="I534" s="41" t="s">
        <v>570</v>
      </c>
      <c r="J534" s="41" t="s">
        <v>825</v>
      </c>
      <c r="K534" s="279" t="b">
        <v>0</v>
      </c>
      <c r="L534" s="279" t="b">
        <v>0</v>
      </c>
    </row>
    <row r="535" ht="14.25" hidden="1" customHeight="1" outlineLevel="1">
      <c r="A535" s="131" t="s">
        <v>42</v>
      </c>
      <c r="B535" s="132">
        <v>45566.0</v>
      </c>
      <c r="C535" s="41" t="s">
        <v>171</v>
      </c>
      <c r="D535" s="182">
        <v>2.0</v>
      </c>
      <c r="E535" s="183">
        <v>170.0</v>
      </c>
      <c r="F535" s="183">
        <f>D535*E535</f>
        <v>340</v>
      </c>
      <c r="G535" s="183">
        <f>F535</f>
        <v>340</v>
      </c>
      <c r="H535" s="279" t="b">
        <v>0</v>
      </c>
      <c r="I535" s="41" t="s">
        <v>827</v>
      </c>
      <c r="J535" s="41" t="s">
        <v>828</v>
      </c>
      <c r="K535" s="279" t="b">
        <v>0</v>
      </c>
      <c r="L535" s="279" t="b">
        <v>0</v>
      </c>
    </row>
    <row r="536" ht="14.25" hidden="1" customHeight="1" outlineLevel="1">
      <c r="A536" s="131" t="s">
        <v>42</v>
      </c>
      <c r="B536" s="132">
        <v>45568.0</v>
      </c>
      <c r="C536" s="285" t="s">
        <v>171</v>
      </c>
      <c r="D536" s="286">
        <v>1.0</v>
      </c>
      <c r="E536" s="287">
        <v>73.85</v>
      </c>
      <c r="F536" s="287">
        <v>73.85</v>
      </c>
      <c r="G536" s="287">
        <v>73.85</v>
      </c>
      <c r="H536" s="288" t="b">
        <v>0</v>
      </c>
      <c r="I536" s="289" t="s">
        <v>172</v>
      </c>
      <c r="J536" s="285" t="s">
        <v>780</v>
      </c>
      <c r="K536" s="288" t="b">
        <v>1</v>
      </c>
      <c r="L536" s="288" t="b">
        <v>1</v>
      </c>
    </row>
    <row r="537" ht="14.25" hidden="1" customHeight="1" outlineLevel="1">
      <c r="A537" s="131" t="s">
        <v>42</v>
      </c>
      <c r="B537" s="132">
        <v>45569.0</v>
      </c>
      <c r="C537" s="41" t="s">
        <v>61</v>
      </c>
      <c r="D537" s="182">
        <v>1.0</v>
      </c>
      <c r="E537" s="183">
        <v>150.0</v>
      </c>
      <c r="F537" s="183">
        <v>150.0</v>
      </c>
      <c r="G537" s="183">
        <v>150.0</v>
      </c>
      <c r="H537" s="279" t="b">
        <v>1</v>
      </c>
      <c r="I537" s="41" t="s">
        <v>296</v>
      </c>
      <c r="J537" s="41" t="s">
        <v>384</v>
      </c>
      <c r="K537" s="279" t="b">
        <v>0</v>
      </c>
      <c r="L537" s="279" t="b">
        <v>1</v>
      </c>
    </row>
    <row r="538" ht="14.25" hidden="1" customHeight="1" outlineLevel="1">
      <c r="A538" s="131" t="s">
        <v>42</v>
      </c>
      <c r="B538" s="132">
        <v>45569.0</v>
      </c>
      <c r="C538" s="41" t="s">
        <v>61</v>
      </c>
      <c r="D538" s="182">
        <v>1.0</v>
      </c>
      <c r="E538" s="183">
        <v>150.0</v>
      </c>
      <c r="F538" s="183">
        <v>150.0</v>
      </c>
      <c r="G538" s="183">
        <v>150.0</v>
      </c>
      <c r="H538" s="279" t="b">
        <v>1</v>
      </c>
      <c r="I538" s="41" t="s">
        <v>820</v>
      </c>
      <c r="J538" s="41" t="s">
        <v>834</v>
      </c>
      <c r="K538" s="279" t="b">
        <v>0</v>
      </c>
      <c r="L538" s="279" t="b">
        <v>1</v>
      </c>
    </row>
    <row r="539" ht="14.25" hidden="1" customHeight="1" outlineLevel="1">
      <c r="A539" s="131" t="s">
        <v>42</v>
      </c>
      <c r="B539" s="132">
        <v>45571.0</v>
      </c>
      <c r="C539" s="41" t="s">
        <v>61</v>
      </c>
      <c r="D539" s="182">
        <v>1.0</v>
      </c>
      <c r="E539" s="183">
        <v>200.0</v>
      </c>
      <c r="F539" s="183">
        <v>200.0</v>
      </c>
      <c r="G539" s="183">
        <v>200.0</v>
      </c>
      <c r="H539" s="279" t="b">
        <v>1</v>
      </c>
      <c r="I539" s="143" t="s">
        <v>490</v>
      </c>
      <c r="J539" s="41" t="s">
        <v>329</v>
      </c>
      <c r="K539" s="279" t="b">
        <v>0</v>
      </c>
      <c r="L539" s="279" t="b">
        <v>1</v>
      </c>
    </row>
    <row r="540" ht="14.25" hidden="1" customHeight="1" outlineLevel="1">
      <c r="A540" s="131" t="s">
        <v>42</v>
      </c>
      <c r="B540" s="132">
        <v>45571.0</v>
      </c>
      <c r="C540" s="41" t="s">
        <v>61</v>
      </c>
      <c r="D540" s="182">
        <v>1.0</v>
      </c>
      <c r="E540" s="183">
        <v>200.0</v>
      </c>
      <c r="F540" s="183">
        <v>200.0</v>
      </c>
      <c r="G540" s="183">
        <v>200.0</v>
      </c>
      <c r="H540" s="279" t="b">
        <v>1</v>
      </c>
      <c r="I540" s="281" t="s">
        <v>413</v>
      </c>
      <c r="J540" s="41" t="s">
        <v>330</v>
      </c>
      <c r="K540" s="279" t="b">
        <v>0</v>
      </c>
      <c r="L540" s="279" t="b">
        <v>1</v>
      </c>
    </row>
    <row r="541" ht="14.25" hidden="1" customHeight="1" outlineLevel="1">
      <c r="A541" s="131" t="s">
        <v>42</v>
      </c>
      <c r="B541" s="132">
        <v>45573.0</v>
      </c>
      <c r="C541" s="41" t="s">
        <v>61</v>
      </c>
      <c r="D541" s="182">
        <v>1.0</v>
      </c>
      <c r="E541" s="183">
        <v>150.0</v>
      </c>
      <c r="F541" s="183">
        <v>150.0</v>
      </c>
      <c r="G541" s="183">
        <v>150.0</v>
      </c>
      <c r="H541" s="279" t="b">
        <v>1</v>
      </c>
      <c r="I541" s="41" t="s">
        <v>296</v>
      </c>
      <c r="J541" s="41" t="s">
        <v>410</v>
      </c>
      <c r="K541" s="279" t="b">
        <v>0</v>
      </c>
      <c r="L541" s="279" t="b">
        <v>1</v>
      </c>
    </row>
    <row r="542" ht="14.25" hidden="1" customHeight="1" outlineLevel="1">
      <c r="A542" s="131" t="s">
        <v>42</v>
      </c>
      <c r="B542" s="132">
        <v>45576.0</v>
      </c>
      <c r="C542" s="41" t="s">
        <v>171</v>
      </c>
      <c r="D542" s="182">
        <v>1.0</v>
      </c>
      <c r="E542" s="183">
        <v>110.2</v>
      </c>
      <c r="F542" s="183">
        <v>110.2</v>
      </c>
      <c r="G542" s="183">
        <v>110.2</v>
      </c>
      <c r="H542" s="279" t="b">
        <v>0</v>
      </c>
      <c r="I542" s="41" t="s">
        <v>172</v>
      </c>
      <c r="J542" s="41" t="s">
        <v>780</v>
      </c>
      <c r="K542" s="279" t="b">
        <v>1</v>
      </c>
      <c r="L542" s="279" t="b">
        <v>1</v>
      </c>
    </row>
    <row r="543" ht="14.25" hidden="1" customHeight="1" outlineLevel="1">
      <c r="A543" s="131" t="s">
        <v>42</v>
      </c>
      <c r="B543" s="132">
        <v>45576.0</v>
      </c>
      <c r="C543" s="41" t="s">
        <v>61</v>
      </c>
      <c r="D543" s="182">
        <v>1.0</v>
      </c>
      <c r="E543" s="183">
        <v>150.0</v>
      </c>
      <c r="F543" s="183">
        <v>150.0</v>
      </c>
      <c r="G543" s="183">
        <v>150.0</v>
      </c>
      <c r="H543" s="279" t="b">
        <v>1</v>
      </c>
      <c r="I543" s="41" t="s">
        <v>296</v>
      </c>
      <c r="J543" s="41" t="s">
        <v>384</v>
      </c>
      <c r="K543" s="279" t="b">
        <v>0</v>
      </c>
      <c r="L543" s="279" t="b">
        <v>1</v>
      </c>
    </row>
    <row r="544" ht="14.25" hidden="1" customHeight="1" outlineLevel="1">
      <c r="A544" s="131" t="s">
        <v>42</v>
      </c>
      <c r="B544" s="132">
        <v>45577.0</v>
      </c>
      <c r="C544" s="41" t="s">
        <v>171</v>
      </c>
      <c r="D544" s="182">
        <v>1.0</v>
      </c>
      <c r="E544" s="183">
        <v>47.0</v>
      </c>
      <c r="F544" s="183">
        <v>47.0</v>
      </c>
      <c r="G544" s="183">
        <v>47.0</v>
      </c>
      <c r="H544" s="279" t="b">
        <v>0</v>
      </c>
      <c r="I544" s="41" t="s">
        <v>840</v>
      </c>
      <c r="J544" s="283" t="s">
        <v>841</v>
      </c>
      <c r="K544" s="279" t="b">
        <v>0</v>
      </c>
      <c r="L544" s="279" t="b">
        <v>1</v>
      </c>
    </row>
    <row r="545" ht="14.25" hidden="1" customHeight="1" outlineLevel="1">
      <c r="A545" s="131" t="s">
        <v>42</v>
      </c>
      <c r="B545" s="132">
        <v>45578.0</v>
      </c>
      <c r="C545" s="41" t="s">
        <v>61</v>
      </c>
      <c r="D545" s="182">
        <v>1.0</v>
      </c>
      <c r="E545" s="183">
        <v>200.0</v>
      </c>
      <c r="F545" s="183">
        <v>200.0</v>
      </c>
      <c r="G545" s="183">
        <v>200.0</v>
      </c>
      <c r="H545" s="279" t="b">
        <v>1</v>
      </c>
      <c r="I545" s="143" t="s">
        <v>355</v>
      </c>
      <c r="J545" s="41" t="s">
        <v>329</v>
      </c>
      <c r="K545" s="279" t="b">
        <v>0</v>
      </c>
      <c r="L545" s="279" t="b">
        <v>1</v>
      </c>
    </row>
    <row r="546" ht="14.25" hidden="1" customHeight="1" outlineLevel="1">
      <c r="A546" s="131" t="s">
        <v>42</v>
      </c>
      <c r="B546" s="132">
        <v>45580.0</v>
      </c>
      <c r="C546" s="41" t="s">
        <v>61</v>
      </c>
      <c r="D546" s="182">
        <v>1.0</v>
      </c>
      <c r="E546" s="183">
        <v>150.0</v>
      </c>
      <c r="F546" s="183">
        <v>150.0</v>
      </c>
      <c r="G546" s="183">
        <v>150.0</v>
      </c>
      <c r="H546" s="279" t="b">
        <v>1</v>
      </c>
      <c r="I546" s="41" t="s">
        <v>296</v>
      </c>
      <c r="J546" s="41" t="s">
        <v>410</v>
      </c>
      <c r="K546" s="279" t="b">
        <v>0</v>
      </c>
      <c r="L546" s="279" t="b">
        <v>1</v>
      </c>
    </row>
    <row r="547" ht="14.25" hidden="1" customHeight="1" outlineLevel="1">
      <c r="A547" s="131" t="s">
        <v>42</v>
      </c>
      <c r="B547" s="132">
        <v>45580.0</v>
      </c>
      <c r="C547" s="41" t="s">
        <v>188</v>
      </c>
      <c r="D547" s="182">
        <v>1.0</v>
      </c>
      <c r="E547" s="183">
        <v>1746.5</v>
      </c>
      <c r="F547" s="183">
        <v>1746.5</v>
      </c>
      <c r="G547" s="183">
        <v>1746.5</v>
      </c>
      <c r="H547" s="279" t="b">
        <v>0</v>
      </c>
      <c r="I547" s="41" t="s">
        <v>843</v>
      </c>
      <c r="J547" s="41" t="s">
        <v>844</v>
      </c>
      <c r="K547" s="279" t="b">
        <v>0</v>
      </c>
      <c r="L547" s="279" t="b">
        <v>1</v>
      </c>
    </row>
    <row r="548" ht="14.25" hidden="1" customHeight="1" outlineLevel="1">
      <c r="A548" s="131" t="s">
        <v>42</v>
      </c>
      <c r="B548" s="132">
        <v>45580.0</v>
      </c>
      <c r="C548" s="41" t="s">
        <v>315</v>
      </c>
      <c r="D548" s="182">
        <v>2.0</v>
      </c>
      <c r="E548" s="183">
        <v>46.99</v>
      </c>
      <c r="F548" s="183">
        <f>D548*E548</f>
        <v>93.98</v>
      </c>
      <c r="G548" s="183">
        <f>F548</f>
        <v>93.98</v>
      </c>
      <c r="H548" s="279" t="b">
        <v>0</v>
      </c>
      <c r="I548" s="41" t="s">
        <v>570</v>
      </c>
      <c r="J548" s="41" t="s">
        <v>333</v>
      </c>
      <c r="K548" s="279" t="b">
        <v>1</v>
      </c>
      <c r="L548" s="279" t="b">
        <v>1</v>
      </c>
    </row>
    <row r="549" ht="14.25" hidden="1" customHeight="1" outlineLevel="1">
      <c r="A549" s="131" t="s">
        <v>42</v>
      </c>
      <c r="B549" s="132">
        <v>45580.0</v>
      </c>
      <c r="C549" s="41" t="s">
        <v>75</v>
      </c>
      <c r="D549" s="182">
        <v>1.0</v>
      </c>
      <c r="E549" s="183">
        <v>140.0</v>
      </c>
      <c r="F549" s="183">
        <v>140.0</v>
      </c>
      <c r="G549" s="183">
        <v>140.0</v>
      </c>
      <c r="H549" s="279" t="b">
        <v>0</v>
      </c>
      <c r="I549" s="41" t="s">
        <v>599</v>
      </c>
      <c r="J549" s="41" t="s">
        <v>807</v>
      </c>
      <c r="K549" s="279" t="b">
        <v>0</v>
      </c>
      <c r="L549" s="279" t="b">
        <v>1</v>
      </c>
    </row>
    <row r="550" ht="14.25" hidden="1" customHeight="1" outlineLevel="1">
      <c r="A550" s="131" t="s">
        <v>42</v>
      </c>
      <c r="B550" s="132">
        <v>45580.0</v>
      </c>
      <c r="C550" s="41" t="s">
        <v>58</v>
      </c>
      <c r="D550" s="182">
        <v>4.0</v>
      </c>
      <c r="E550" s="183">
        <v>9.1</v>
      </c>
      <c r="F550" s="183">
        <f t="shared" ref="F550:F551" si="62">D550*E550</f>
        <v>36.4</v>
      </c>
      <c r="G550" s="183">
        <f t="shared" ref="G550:G551" si="63">F550</f>
        <v>36.4</v>
      </c>
      <c r="H550" s="279" t="b">
        <v>0</v>
      </c>
      <c r="I550" s="41" t="s">
        <v>225</v>
      </c>
      <c r="J550" s="41" t="s">
        <v>668</v>
      </c>
      <c r="K550" s="279" t="b">
        <v>1</v>
      </c>
      <c r="L550" s="279" t="b">
        <v>1</v>
      </c>
    </row>
    <row r="551" ht="14.25" hidden="1" customHeight="1" outlineLevel="1">
      <c r="A551" s="131" t="s">
        <v>42</v>
      </c>
      <c r="B551" s="132">
        <v>45581.0</v>
      </c>
      <c r="C551" s="41" t="s">
        <v>80</v>
      </c>
      <c r="D551" s="182">
        <v>2.0</v>
      </c>
      <c r="E551" s="183">
        <v>15.0</v>
      </c>
      <c r="F551" s="183">
        <f t="shared" si="62"/>
        <v>30</v>
      </c>
      <c r="G551" s="183">
        <f t="shared" si="63"/>
        <v>30</v>
      </c>
      <c r="H551" s="279" t="b">
        <v>0</v>
      </c>
      <c r="I551" s="41" t="s">
        <v>481</v>
      </c>
      <c r="J551" s="41" t="s">
        <v>848</v>
      </c>
      <c r="K551" s="279" t="b">
        <v>1</v>
      </c>
      <c r="L551" s="279" t="b">
        <v>1</v>
      </c>
    </row>
    <row r="552" ht="14.25" hidden="1" customHeight="1" outlineLevel="1">
      <c r="A552" s="131" t="s">
        <v>42</v>
      </c>
      <c r="B552" s="132">
        <v>45582.0</v>
      </c>
      <c r="C552" s="41" t="s">
        <v>93</v>
      </c>
      <c r="D552" s="182">
        <v>1.0</v>
      </c>
      <c r="E552" s="183">
        <v>60.0</v>
      </c>
      <c r="F552" s="183">
        <v>60.0</v>
      </c>
      <c r="G552" s="183">
        <v>60.0</v>
      </c>
      <c r="H552" s="279" t="b">
        <v>0</v>
      </c>
      <c r="I552" s="41" t="s">
        <v>337</v>
      </c>
      <c r="J552" s="41"/>
      <c r="K552" s="279" t="b">
        <v>1</v>
      </c>
      <c r="L552" s="279" t="b">
        <v>0</v>
      </c>
    </row>
    <row r="553" ht="14.25" hidden="1" customHeight="1" outlineLevel="1">
      <c r="A553" s="131" t="s">
        <v>42</v>
      </c>
      <c r="B553" s="132">
        <v>45583.0</v>
      </c>
      <c r="C553" s="41" t="s">
        <v>61</v>
      </c>
      <c r="D553" s="182">
        <v>1.0</v>
      </c>
      <c r="E553" s="183">
        <v>150.0</v>
      </c>
      <c r="F553" s="183">
        <v>150.0</v>
      </c>
      <c r="G553" s="183">
        <v>150.0</v>
      </c>
      <c r="H553" s="279" t="b">
        <v>1</v>
      </c>
      <c r="I553" s="41" t="s">
        <v>296</v>
      </c>
      <c r="J553" s="41" t="s">
        <v>384</v>
      </c>
      <c r="K553" s="279" t="b">
        <v>0</v>
      </c>
      <c r="L553" s="279" t="b">
        <v>1</v>
      </c>
    </row>
    <row r="554" ht="14.25" hidden="1" customHeight="1" outlineLevel="1">
      <c r="A554" s="131" t="s">
        <v>42</v>
      </c>
      <c r="B554" s="132">
        <v>45585.0</v>
      </c>
      <c r="C554" s="41" t="s">
        <v>61</v>
      </c>
      <c r="D554" s="182">
        <v>1.0</v>
      </c>
      <c r="E554" s="183">
        <v>200.0</v>
      </c>
      <c r="F554" s="183">
        <v>200.0</v>
      </c>
      <c r="G554" s="183">
        <v>200.0</v>
      </c>
      <c r="H554" s="279" t="b">
        <v>1</v>
      </c>
      <c r="I554" s="41" t="s">
        <v>413</v>
      </c>
      <c r="J554" s="41"/>
      <c r="K554" s="279" t="b">
        <v>0</v>
      </c>
      <c r="L554" s="279" t="b">
        <v>0</v>
      </c>
    </row>
    <row r="555" ht="14.25" hidden="1" customHeight="1" outlineLevel="1">
      <c r="A555" s="131" t="s">
        <v>42</v>
      </c>
      <c r="B555" s="132">
        <v>45586.0</v>
      </c>
      <c r="C555" s="41" t="s">
        <v>93</v>
      </c>
      <c r="D555" s="182">
        <v>1.0</v>
      </c>
      <c r="E555" s="183">
        <v>188.8</v>
      </c>
      <c r="F555" s="183">
        <v>188.8</v>
      </c>
      <c r="G555" s="183">
        <v>188.8</v>
      </c>
      <c r="H555" s="279" t="b">
        <v>0</v>
      </c>
      <c r="I555" s="41" t="s">
        <v>337</v>
      </c>
      <c r="J555" s="290" t="s">
        <v>850</v>
      </c>
      <c r="K555" s="279" t="b">
        <v>1</v>
      </c>
      <c r="L555" s="279" t="b">
        <v>0</v>
      </c>
    </row>
    <row r="556" ht="14.25" hidden="1" customHeight="1" outlineLevel="1">
      <c r="A556" s="131" t="s">
        <v>42</v>
      </c>
      <c r="B556" s="132">
        <v>45586.0</v>
      </c>
      <c r="C556" s="41" t="s">
        <v>171</v>
      </c>
      <c r="D556" s="182">
        <v>1.0</v>
      </c>
      <c r="E556" s="183">
        <v>59.97</v>
      </c>
      <c r="F556" s="183">
        <v>59.97</v>
      </c>
      <c r="G556" s="183">
        <v>59.97</v>
      </c>
      <c r="H556" s="279" t="b">
        <v>0</v>
      </c>
      <c r="I556" s="41" t="s">
        <v>117</v>
      </c>
      <c r="J556" s="41" t="s">
        <v>851</v>
      </c>
      <c r="K556" s="279" t="b">
        <v>1</v>
      </c>
      <c r="L556" s="279" t="b">
        <v>1</v>
      </c>
    </row>
    <row r="557" ht="14.25" hidden="1" customHeight="1" outlineLevel="1">
      <c r="A557" s="131" t="s">
        <v>42</v>
      </c>
      <c r="B557" s="132">
        <v>45586.0</v>
      </c>
      <c r="C557" s="41" t="s">
        <v>231</v>
      </c>
      <c r="D557" s="182">
        <v>1.0</v>
      </c>
      <c r="E557" s="183">
        <v>21.5</v>
      </c>
      <c r="F557" s="183">
        <f t="shared" ref="F557:F560" si="64">D557*E557</f>
        <v>21.5</v>
      </c>
      <c r="G557" s="196">
        <f>SUM(F557:F560)</f>
        <v>66.1</v>
      </c>
      <c r="H557" s="278" t="b">
        <v>0</v>
      </c>
      <c r="I557" s="54" t="s">
        <v>405</v>
      </c>
      <c r="J557" s="41" t="s">
        <v>852</v>
      </c>
      <c r="K557" s="278" t="b">
        <v>1</v>
      </c>
      <c r="L557" s="278" t="b">
        <v>1</v>
      </c>
    </row>
    <row r="558" ht="14.25" hidden="1" customHeight="1" outlineLevel="1">
      <c r="A558" s="131" t="s">
        <v>42</v>
      </c>
      <c r="B558" s="132">
        <v>45586.0</v>
      </c>
      <c r="C558" s="41" t="s">
        <v>112</v>
      </c>
      <c r="D558" s="182">
        <v>2.0</v>
      </c>
      <c r="E558" s="183">
        <v>7.5</v>
      </c>
      <c r="F558" s="183">
        <f t="shared" si="64"/>
        <v>15</v>
      </c>
      <c r="G558" s="58"/>
      <c r="H558" s="58"/>
      <c r="I558" s="58"/>
      <c r="J558" s="41" t="s">
        <v>853</v>
      </c>
      <c r="K558" s="58"/>
      <c r="L558" s="58"/>
    </row>
    <row r="559" ht="14.25" hidden="1" customHeight="1" outlineLevel="1">
      <c r="A559" s="131" t="s">
        <v>42</v>
      </c>
      <c r="B559" s="132">
        <v>45586.0</v>
      </c>
      <c r="C559" s="41" t="s">
        <v>231</v>
      </c>
      <c r="D559" s="182">
        <v>3.0</v>
      </c>
      <c r="E559" s="183">
        <v>2.6</v>
      </c>
      <c r="F559" s="183">
        <f t="shared" si="64"/>
        <v>7.8</v>
      </c>
      <c r="G559" s="58"/>
      <c r="H559" s="58"/>
      <c r="I559" s="58"/>
      <c r="J559" s="41" t="s">
        <v>854</v>
      </c>
      <c r="K559" s="58"/>
      <c r="L559" s="58"/>
    </row>
    <row r="560" ht="14.25" hidden="1" customHeight="1" outlineLevel="1">
      <c r="A560" s="131" t="s">
        <v>42</v>
      </c>
      <c r="B560" s="132">
        <v>45586.0</v>
      </c>
      <c r="C560" s="41" t="s">
        <v>231</v>
      </c>
      <c r="D560" s="182">
        <v>2.0</v>
      </c>
      <c r="E560" s="183">
        <v>10.9</v>
      </c>
      <c r="F560" s="183">
        <f t="shared" si="64"/>
        <v>21.8</v>
      </c>
      <c r="G560" s="10"/>
      <c r="H560" s="10"/>
      <c r="I560" s="10"/>
      <c r="J560" s="41" t="s">
        <v>855</v>
      </c>
      <c r="K560" s="10"/>
      <c r="L560" s="10"/>
    </row>
    <row r="561" ht="14.25" hidden="1" customHeight="1" outlineLevel="1">
      <c r="A561" s="131" t="s">
        <v>42</v>
      </c>
      <c r="B561" s="132">
        <v>45587.0</v>
      </c>
      <c r="C561" s="41" t="s">
        <v>171</v>
      </c>
      <c r="D561" s="182">
        <v>1.0</v>
      </c>
      <c r="E561" s="183">
        <v>24.64</v>
      </c>
      <c r="F561" s="183">
        <v>24.64</v>
      </c>
      <c r="G561" s="183">
        <v>24.64</v>
      </c>
      <c r="H561" s="279" t="b">
        <v>0</v>
      </c>
      <c r="I561" s="41" t="s">
        <v>393</v>
      </c>
      <c r="J561" s="41" t="s">
        <v>857</v>
      </c>
      <c r="K561" s="279" t="b">
        <v>1</v>
      </c>
      <c r="L561" s="279" t="b">
        <v>1</v>
      </c>
    </row>
    <row r="562" ht="14.25" hidden="1" customHeight="1" outlineLevel="1">
      <c r="A562" s="131" t="s">
        <v>42</v>
      </c>
      <c r="B562" s="132">
        <v>45587.0</v>
      </c>
      <c r="C562" s="41" t="s">
        <v>171</v>
      </c>
      <c r="D562" s="182">
        <v>1.0</v>
      </c>
      <c r="E562" s="183">
        <v>214.0</v>
      </c>
      <c r="F562" s="183">
        <v>214.0</v>
      </c>
      <c r="G562" s="183">
        <v>214.0</v>
      </c>
      <c r="H562" s="279" t="b">
        <v>0</v>
      </c>
      <c r="I562" s="41" t="s">
        <v>594</v>
      </c>
      <c r="J562" s="41" t="s">
        <v>858</v>
      </c>
      <c r="K562" s="279" t="b">
        <v>1</v>
      </c>
      <c r="L562" s="279" t="b">
        <v>1</v>
      </c>
    </row>
    <row r="563" ht="14.25" hidden="1" customHeight="1" outlineLevel="1">
      <c r="A563" s="131" t="s">
        <v>42</v>
      </c>
      <c r="B563" s="132">
        <v>45587.0</v>
      </c>
      <c r="C563" s="41" t="s">
        <v>61</v>
      </c>
      <c r="D563" s="182">
        <v>1.0</v>
      </c>
      <c r="E563" s="183">
        <v>150.0</v>
      </c>
      <c r="F563" s="183">
        <v>150.0</v>
      </c>
      <c r="G563" s="183">
        <v>150.0</v>
      </c>
      <c r="H563" s="279" t="b">
        <v>1</v>
      </c>
      <c r="I563" s="41" t="s">
        <v>859</v>
      </c>
      <c r="J563" s="41" t="s">
        <v>860</v>
      </c>
      <c r="K563" s="279" t="b">
        <v>0</v>
      </c>
      <c r="L563" s="279" t="b">
        <v>1</v>
      </c>
    </row>
    <row r="564" ht="14.25" hidden="1" customHeight="1" outlineLevel="1">
      <c r="A564" s="131" t="s">
        <v>42</v>
      </c>
      <c r="B564" s="132">
        <v>45587.0</v>
      </c>
      <c r="C564" s="41" t="s">
        <v>61</v>
      </c>
      <c r="D564" s="182">
        <v>1.0</v>
      </c>
      <c r="E564" s="183">
        <v>150.0</v>
      </c>
      <c r="F564" s="183">
        <v>150.0</v>
      </c>
      <c r="G564" s="183">
        <v>150.0</v>
      </c>
      <c r="H564" s="279" t="b">
        <v>1</v>
      </c>
      <c r="I564" s="41" t="s">
        <v>413</v>
      </c>
      <c r="J564" s="41" t="s">
        <v>410</v>
      </c>
      <c r="K564" s="279" t="b">
        <v>0</v>
      </c>
      <c r="L564" s="279" t="b">
        <v>1</v>
      </c>
    </row>
    <row r="565" ht="14.25" hidden="1" customHeight="1" outlineLevel="1">
      <c r="A565" s="131" t="s">
        <v>42</v>
      </c>
      <c r="B565" s="132">
        <v>45589.0</v>
      </c>
      <c r="C565" s="41" t="s">
        <v>248</v>
      </c>
      <c r="D565" s="182">
        <v>1.0</v>
      </c>
      <c r="E565" s="183">
        <v>1685.0</v>
      </c>
      <c r="F565" s="183">
        <v>1685.0</v>
      </c>
      <c r="G565" s="183">
        <v>1685.0</v>
      </c>
      <c r="H565" s="279" t="b">
        <v>0</v>
      </c>
      <c r="I565" s="41" t="s">
        <v>704</v>
      </c>
      <c r="J565" s="41"/>
      <c r="K565" s="279" t="b">
        <v>0</v>
      </c>
      <c r="L565" s="279" t="b">
        <v>1</v>
      </c>
    </row>
    <row r="566" ht="14.25" hidden="1" customHeight="1" outlineLevel="1">
      <c r="A566" s="131" t="s">
        <v>42</v>
      </c>
      <c r="B566" s="132">
        <v>45590.0</v>
      </c>
      <c r="C566" s="41" t="s">
        <v>61</v>
      </c>
      <c r="D566" s="182">
        <v>1.0</v>
      </c>
      <c r="E566" s="183">
        <v>150.0</v>
      </c>
      <c r="F566" s="183">
        <v>150.0</v>
      </c>
      <c r="G566" s="183">
        <v>150.0</v>
      </c>
      <c r="H566" s="279" t="b">
        <v>1</v>
      </c>
      <c r="I566" s="41" t="s">
        <v>413</v>
      </c>
      <c r="J566" s="41" t="s">
        <v>384</v>
      </c>
      <c r="K566" s="279" t="b">
        <v>0</v>
      </c>
      <c r="L566" s="279" t="b">
        <v>1</v>
      </c>
    </row>
    <row r="567" ht="14.25" hidden="1" customHeight="1" outlineLevel="1">
      <c r="A567" s="131" t="s">
        <v>42</v>
      </c>
      <c r="B567" s="132">
        <v>45592.0</v>
      </c>
      <c r="C567" s="41" t="s">
        <v>61</v>
      </c>
      <c r="D567" s="182">
        <v>1.0</v>
      </c>
      <c r="E567" s="183">
        <v>200.0</v>
      </c>
      <c r="F567" s="183">
        <v>200.0</v>
      </c>
      <c r="G567" s="183">
        <v>200.0</v>
      </c>
      <c r="H567" s="279" t="b">
        <v>1</v>
      </c>
      <c r="I567" s="143" t="s">
        <v>490</v>
      </c>
      <c r="J567" s="41" t="s">
        <v>329</v>
      </c>
      <c r="K567" s="279" t="b">
        <v>0</v>
      </c>
      <c r="L567" s="279" t="b">
        <v>1</v>
      </c>
    </row>
    <row r="568" ht="14.25" hidden="1" customHeight="1" outlineLevel="1">
      <c r="A568" s="131" t="s">
        <v>42</v>
      </c>
      <c r="B568" s="132">
        <v>45592.0</v>
      </c>
      <c r="C568" s="41" t="s">
        <v>61</v>
      </c>
      <c r="D568" s="182">
        <v>1.0</v>
      </c>
      <c r="E568" s="183">
        <v>200.0</v>
      </c>
      <c r="F568" s="183">
        <v>200.0</v>
      </c>
      <c r="G568" s="183">
        <v>200.0</v>
      </c>
      <c r="H568" s="279" t="b">
        <v>1</v>
      </c>
      <c r="I568" s="281" t="s">
        <v>413</v>
      </c>
      <c r="J568" s="41" t="s">
        <v>330</v>
      </c>
      <c r="K568" s="279" t="b">
        <v>0</v>
      </c>
      <c r="L568" s="279" t="b">
        <v>1</v>
      </c>
    </row>
    <row r="569" ht="14.25" hidden="1" customHeight="1" outlineLevel="1">
      <c r="A569" s="131" t="s">
        <v>42</v>
      </c>
      <c r="B569" s="132">
        <v>45594.0</v>
      </c>
      <c r="C569" s="41" t="s">
        <v>61</v>
      </c>
      <c r="D569" s="182">
        <v>1.0</v>
      </c>
      <c r="E569" s="183">
        <v>150.0</v>
      </c>
      <c r="F569" s="183">
        <v>150.0</v>
      </c>
      <c r="G569" s="183">
        <v>150.0</v>
      </c>
      <c r="H569" s="279" t="b">
        <v>1</v>
      </c>
      <c r="I569" s="41" t="s">
        <v>236</v>
      </c>
      <c r="J569" s="41" t="s">
        <v>410</v>
      </c>
      <c r="K569" s="279" t="b">
        <v>0</v>
      </c>
      <c r="L569" s="279" t="b">
        <v>1</v>
      </c>
    </row>
    <row r="570" ht="14.25" hidden="1" customHeight="1" outlineLevel="1">
      <c r="A570" s="131" t="s">
        <v>42</v>
      </c>
      <c r="B570" s="132">
        <v>45591.0</v>
      </c>
      <c r="C570" s="41" t="s">
        <v>171</v>
      </c>
      <c r="D570" s="182">
        <v>1.0</v>
      </c>
      <c r="E570" s="183">
        <v>54.72</v>
      </c>
      <c r="F570" s="183">
        <v>54.72</v>
      </c>
      <c r="G570" s="183">
        <v>54.72</v>
      </c>
      <c r="H570" s="279" t="b">
        <v>0</v>
      </c>
      <c r="I570" s="41" t="s">
        <v>172</v>
      </c>
      <c r="J570" s="41" t="s">
        <v>864</v>
      </c>
      <c r="K570" s="279" t="b">
        <v>1</v>
      </c>
      <c r="L570" s="279" t="b">
        <v>1</v>
      </c>
    </row>
    <row r="571" ht="14.25" hidden="1" customHeight="1" outlineLevel="1">
      <c r="A571" s="131" t="s">
        <v>42</v>
      </c>
      <c r="B571" s="132">
        <v>45594.0</v>
      </c>
      <c r="C571" s="41" t="s">
        <v>75</v>
      </c>
      <c r="D571" s="182">
        <v>1.0</v>
      </c>
      <c r="E571" s="183">
        <v>140.0</v>
      </c>
      <c r="F571" s="183">
        <v>140.0</v>
      </c>
      <c r="G571" s="183">
        <v>140.0</v>
      </c>
      <c r="H571" s="279" t="b">
        <v>0</v>
      </c>
      <c r="I571" s="41" t="s">
        <v>76</v>
      </c>
      <c r="J571" s="41" t="s">
        <v>866</v>
      </c>
      <c r="K571" s="279" t="b">
        <v>0</v>
      </c>
      <c r="L571" s="279" t="b">
        <v>1</v>
      </c>
    </row>
    <row r="572" ht="14.25" hidden="1" customHeight="1" outlineLevel="1">
      <c r="A572" s="131" t="s">
        <v>42</v>
      </c>
      <c r="B572" s="132">
        <v>45594.0</v>
      </c>
      <c r="C572" s="41" t="s">
        <v>69</v>
      </c>
      <c r="D572" s="182">
        <v>3.0</v>
      </c>
      <c r="E572" s="183">
        <v>4.49</v>
      </c>
      <c r="F572" s="183">
        <f>D572*E572</f>
        <v>13.47</v>
      </c>
      <c r="G572" s="183">
        <f>F572</f>
        <v>13.47</v>
      </c>
      <c r="H572" s="279" t="b">
        <v>0</v>
      </c>
      <c r="I572" s="41" t="s">
        <v>681</v>
      </c>
      <c r="J572" s="41"/>
      <c r="K572" s="279" t="b">
        <v>1</v>
      </c>
      <c r="L572" s="279" t="b">
        <v>1</v>
      </c>
    </row>
    <row r="573" ht="14.25" hidden="1" customHeight="1" outlineLevel="1">
      <c r="A573" s="131" t="s">
        <v>42</v>
      </c>
      <c r="B573" s="132">
        <v>45594.0</v>
      </c>
      <c r="C573" s="41" t="s">
        <v>93</v>
      </c>
      <c r="D573" s="182">
        <v>1.0</v>
      </c>
      <c r="E573" s="183">
        <v>20.0</v>
      </c>
      <c r="F573" s="183">
        <v>20.0</v>
      </c>
      <c r="G573" s="183">
        <v>20.0</v>
      </c>
      <c r="H573" s="279" t="b">
        <v>0</v>
      </c>
      <c r="I573" s="41" t="s">
        <v>337</v>
      </c>
      <c r="J573" s="41" t="s">
        <v>867</v>
      </c>
      <c r="K573" s="279" t="b">
        <v>1</v>
      </c>
      <c r="L573" s="279" t="b">
        <v>1</v>
      </c>
    </row>
    <row r="574" ht="14.25" hidden="1" customHeight="1" outlineLevel="1">
      <c r="A574" s="131" t="s">
        <v>42</v>
      </c>
      <c r="B574" s="132">
        <v>45595.0</v>
      </c>
      <c r="C574" s="41" t="s">
        <v>61</v>
      </c>
      <c r="D574" s="182">
        <v>1.0</v>
      </c>
      <c r="E574" s="183">
        <v>4150.0</v>
      </c>
      <c r="F574" s="183">
        <v>4150.0</v>
      </c>
      <c r="G574" s="183">
        <v>4150.0</v>
      </c>
      <c r="H574" s="279" t="b">
        <v>1</v>
      </c>
      <c r="I574" s="41" t="s">
        <v>119</v>
      </c>
      <c r="J574" s="41" t="s">
        <v>868</v>
      </c>
      <c r="K574" s="279" t="b">
        <v>0</v>
      </c>
      <c r="L574" s="279" t="b">
        <v>1</v>
      </c>
    </row>
    <row r="575" ht="14.25" hidden="1" customHeight="1" outlineLevel="1">
      <c r="A575" s="131" t="s">
        <v>42</v>
      </c>
      <c r="B575" s="132">
        <v>45596.0</v>
      </c>
      <c r="C575" s="41" t="s">
        <v>231</v>
      </c>
      <c r="D575" s="182">
        <v>1.0</v>
      </c>
      <c r="E575" s="183">
        <v>102.3</v>
      </c>
      <c r="F575" s="183">
        <v>102.3</v>
      </c>
      <c r="G575" s="183">
        <v>102.3</v>
      </c>
      <c r="H575" s="279" t="b">
        <v>0</v>
      </c>
      <c r="I575" s="41" t="s">
        <v>869</v>
      </c>
      <c r="J575" s="41" t="s">
        <v>870</v>
      </c>
      <c r="K575" s="279" t="b">
        <v>0</v>
      </c>
      <c r="L575" s="279" t="b">
        <v>1</v>
      </c>
    </row>
    <row r="576" ht="14.25" customHeight="1">
      <c r="A576" s="180" t="s">
        <v>192</v>
      </c>
      <c r="B576" s="27"/>
      <c r="C576" s="27"/>
      <c r="D576" s="27"/>
      <c r="E576" s="28"/>
      <c r="F576" s="181">
        <f t="shared" ref="F576:G576" si="65">SUM(F532:F575)</f>
        <v>12451.86</v>
      </c>
      <c r="G576" s="181">
        <f t="shared" si="65"/>
        <v>12451.86</v>
      </c>
      <c r="H576" s="156"/>
      <c r="I576" s="107"/>
      <c r="J576" s="112"/>
    </row>
    <row r="577" ht="14.25" customHeight="1" collapsed="1">
      <c r="A577" s="245" t="s">
        <v>806</v>
      </c>
      <c r="B577" s="246"/>
      <c r="C577" s="246"/>
      <c r="D577" s="246"/>
      <c r="E577" s="246"/>
      <c r="F577" s="246"/>
      <c r="G577" s="246"/>
      <c r="H577" s="246"/>
      <c r="I577" s="246"/>
      <c r="J577" s="247"/>
      <c r="K577" s="238"/>
      <c r="L577" s="238"/>
    </row>
    <row r="578" ht="14.25" hidden="1" customHeight="1" outlineLevel="1">
      <c r="A578" s="131" t="s">
        <v>41</v>
      </c>
      <c r="B578" s="132">
        <v>45597.0</v>
      </c>
      <c r="C578" s="41" t="s">
        <v>61</v>
      </c>
      <c r="D578" s="182">
        <v>1.0</v>
      </c>
      <c r="E578" s="183">
        <v>150.0</v>
      </c>
      <c r="F578" s="183">
        <v>150.0</v>
      </c>
      <c r="G578" s="183">
        <v>150.0</v>
      </c>
      <c r="H578" s="279" t="b">
        <v>1</v>
      </c>
      <c r="I578" s="41" t="s">
        <v>236</v>
      </c>
      <c r="J578" s="41" t="s">
        <v>384</v>
      </c>
      <c r="K578" s="279" t="b">
        <v>0</v>
      </c>
      <c r="L578" s="279" t="b">
        <v>1</v>
      </c>
    </row>
    <row r="579" ht="14.25" hidden="1" customHeight="1" outlineLevel="1">
      <c r="A579" s="131" t="s">
        <v>41</v>
      </c>
      <c r="B579" s="132">
        <v>45599.0</v>
      </c>
      <c r="C579" s="41" t="s">
        <v>61</v>
      </c>
      <c r="D579" s="182">
        <v>1.0</v>
      </c>
      <c r="E579" s="183">
        <v>200.0</v>
      </c>
      <c r="F579" s="183">
        <v>200.0</v>
      </c>
      <c r="G579" s="183">
        <v>200.0</v>
      </c>
      <c r="H579" s="279" t="b">
        <v>1</v>
      </c>
      <c r="I579" s="143" t="s">
        <v>490</v>
      </c>
      <c r="J579" s="41" t="s">
        <v>329</v>
      </c>
      <c r="K579" s="279" t="b">
        <v>0</v>
      </c>
      <c r="L579" s="279" t="b">
        <v>1</v>
      </c>
    </row>
    <row r="580" ht="14.25" hidden="1" customHeight="1" outlineLevel="1">
      <c r="A580" s="131" t="s">
        <v>41</v>
      </c>
      <c r="B580" s="132">
        <v>45599.0</v>
      </c>
      <c r="C580" s="41" t="s">
        <v>61</v>
      </c>
      <c r="D580" s="182">
        <v>1.0</v>
      </c>
      <c r="E580" s="183">
        <v>200.0</v>
      </c>
      <c r="F580" s="183">
        <v>200.0</v>
      </c>
      <c r="G580" s="183">
        <v>200.0</v>
      </c>
      <c r="H580" s="279" t="b">
        <v>1</v>
      </c>
      <c r="I580" s="143" t="s">
        <v>413</v>
      </c>
      <c r="J580" s="41" t="s">
        <v>330</v>
      </c>
      <c r="K580" s="279" t="b">
        <v>0</v>
      </c>
      <c r="L580" s="279" t="b">
        <v>1</v>
      </c>
    </row>
    <row r="581" ht="14.25" hidden="1" customHeight="1" outlineLevel="1">
      <c r="A581" s="131" t="s">
        <v>41</v>
      </c>
      <c r="B581" s="132">
        <v>45601.0</v>
      </c>
      <c r="C581" s="41" t="s">
        <v>61</v>
      </c>
      <c r="D581" s="182">
        <v>1.0</v>
      </c>
      <c r="E581" s="183">
        <v>150.0</v>
      </c>
      <c r="F581" s="183">
        <v>150.0</v>
      </c>
      <c r="G581" s="183">
        <v>150.0</v>
      </c>
      <c r="H581" s="279" t="b">
        <v>1</v>
      </c>
      <c r="I581" s="41" t="s">
        <v>236</v>
      </c>
      <c r="J581" s="41" t="s">
        <v>410</v>
      </c>
      <c r="K581" s="279" t="b">
        <v>0</v>
      </c>
      <c r="L581" s="279" t="b">
        <v>1</v>
      </c>
    </row>
    <row r="582" ht="14.25" hidden="1" customHeight="1" outlineLevel="1">
      <c r="A582" s="131" t="s">
        <v>41</v>
      </c>
      <c r="B582" s="132">
        <v>45601.0</v>
      </c>
      <c r="C582" s="41" t="s">
        <v>55</v>
      </c>
      <c r="D582" s="182">
        <v>4.0</v>
      </c>
      <c r="E582" s="183">
        <f>7.7 *0.9</f>
        <v>6.93</v>
      </c>
      <c r="F582" s="183">
        <f t="shared" ref="F582:F585" si="66">D582*E582</f>
        <v>27.72</v>
      </c>
      <c r="G582" s="196">
        <f>SUM(F582:F583)</f>
        <v>333.9</v>
      </c>
      <c r="H582" s="278"/>
      <c r="I582" s="54" t="s">
        <v>614</v>
      </c>
      <c r="J582" s="41" t="s">
        <v>882</v>
      </c>
      <c r="K582" s="278" t="b">
        <v>1</v>
      </c>
      <c r="L582" s="278" t="b">
        <v>1</v>
      </c>
    </row>
    <row r="583" ht="14.25" hidden="1" customHeight="1" outlineLevel="1">
      <c r="A583" s="131" t="s">
        <v>41</v>
      </c>
      <c r="B583" s="132">
        <v>45601.0</v>
      </c>
      <c r="C583" s="41" t="s">
        <v>55</v>
      </c>
      <c r="D583" s="182">
        <v>18.0</v>
      </c>
      <c r="E583" s="183">
        <f>18.9*0.9</f>
        <v>17.01</v>
      </c>
      <c r="F583" s="183">
        <f t="shared" si="66"/>
        <v>306.18</v>
      </c>
      <c r="G583" s="10"/>
      <c r="H583" s="10"/>
      <c r="I583" s="10"/>
      <c r="J583" s="41" t="s">
        <v>887</v>
      </c>
      <c r="K583" s="10"/>
      <c r="L583" s="10"/>
    </row>
    <row r="584" ht="14.25" hidden="1" customHeight="1" outlineLevel="1">
      <c r="A584" s="131" t="s">
        <v>41</v>
      </c>
      <c r="B584" s="132">
        <v>45602.0</v>
      </c>
      <c r="C584" s="41" t="s">
        <v>80</v>
      </c>
      <c r="D584" s="182">
        <v>2.0</v>
      </c>
      <c r="E584" s="183">
        <v>15.0</v>
      </c>
      <c r="F584" s="183">
        <f t="shared" si="66"/>
        <v>30</v>
      </c>
      <c r="G584" s="183">
        <f t="shared" ref="G584:G585" si="67">F584</f>
        <v>30</v>
      </c>
      <c r="H584" s="279"/>
      <c r="I584" s="41" t="s">
        <v>481</v>
      </c>
      <c r="J584" s="41" t="s">
        <v>848</v>
      </c>
      <c r="K584" s="279" t="b">
        <v>1</v>
      </c>
      <c r="L584" s="279" t="b">
        <v>1</v>
      </c>
    </row>
    <row r="585" ht="14.25" hidden="1" customHeight="1" outlineLevel="1">
      <c r="A585" s="131" t="s">
        <v>41</v>
      </c>
      <c r="B585" s="132">
        <v>45603.0</v>
      </c>
      <c r="C585" s="41" t="s">
        <v>231</v>
      </c>
      <c r="D585" s="182">
        <v>2.0</v>
      </c>
      <c r="E585" s="183">
        <v>85.0</v>
      </c>
      <c r="F585" s="183">
        <f t="shared" si="66"/>
        <v>170</v>
      </c>
      <c r="G585" s="183">
        <f t="shared" si="67"/>
        <v>170</v>
      </c>
      <c r="H585" s="279"/>
      <c r="I585" s="41" t="s">
        <v>889</v>
      </c>
      <c r="J585" s="41" t="s">
        <v>890</v>
      </c>
      <c r="K585" s="279" t="b">
        <v>1</v>
      </c>
      <c r="L585" s="279" t="b">
        <v>1</v>
      </c>
    </row>
    <row r="586" ht="14.25" hidden="1" customHeight="1" outlineLevel="1">
      <c r="A586" s="131" t="s">
        <v>41</v>
      </c>
      <c r="B586" s="132">
        <v>45604.0</v>
      </c>
      <c r="C586" s="41" t="s">
        <v>61</v>
      </c>
      <c r="D586" s="182">
        <v>1.0</v>
      </c>
      <c r="E586" s="183">
        <v>150.0</v>
      </c>
      <c r="F586" s="183">
        <v>150.0</v>
      </c>
      <c r="G586" s="183">
        <v>150.0</v>
      </c>
      <c r="H586" s="279" t="b">
        <v>1</v>
      </c>
      <c r="I586" s="41" t="s">
        <v>236</v>
      </c>
      <c r="J586" s="41" t="s">
        <v>384</v>
      </c>
      <c r="K586" s="279" t="b">
        <v>0</v>
      </c>
      <c r="L586" s="279" t="b">
        <v>1</v>
      </c>
    </row>
    <row r="587" ht="14.25" hidden="1" customHeight="1" outlineLevel="1">
      <c r="A587" s="131" t="s">
        <v>41</v>
      </c>
      <c r="B587" s="132">
        <v>45606.0</v>
      </c>
      <c r="C587" s="41" t="s">
        <v>61</v>
      </c>
      <c r="D587" s="182">
        <v>1.0</v>
      </c>
      <c r="E587" s="183">
        <v>200.0</v>
      </c>
      <c r="F587" s="183">
        <v>200.0</v>
      </c>
      <c r="G587" s="183">
        <v>200.0</v>
      </c>
      <c r="H587" s="279" t="b">
        <v>1</v>
      </c>
      <c r="I587" s="143" t="s">
        <v>490</v>
      </c>
      <c r="J587" s="41" t="s">
        <v>329</v>
      </c>
      <c r="K587" s="279" t="b">
        <v>0</v>
      </c>
      <c r="L587" s="279" t="b">
        <v>1</v>
      </c>
    </row>
    <row r="588" ht="14.25" hidden="1" customHeight="1" outlineLevel="1">
      <c r="A588" s="131" t="s">
        <v>41</v>
      </c>
      <c r="B588" s="132">
        <v>45606.0</v>
      </c>
      <c r="C588" s="41" t="s">
        <v>61</v>
      </c>
      <c r="D588" s="182">
        <v>1.0</v>
      </c>
      <c r="E588" s="183">
        <v>200.0</v>
      </c>
      <c r="F588" s="183">
        <v>200.0</v>
      </c>
      <c r="G588" s="183">
        <v>200.0</v>
      </c>
      <c r="H588" s="279" t="b">
        <v>1</v>
      </c>
      <c r="I588" s="143" t="s">
        <v>413</v>
      </c>
      <c r="J588" s="41" t="s">
        <v>330</v>
      </c>
      <c r="K588" s="279" t="b">
        <v>0</v>
      </c>
      <c r="L588" s="279" t="b">
        <v>1</v>
      </c>
    </row>
    <row r="589" ht="14.25" hidden="1" customHeight="1" outlineLevel="1">
      <c r="A589" s="131" t="s">
        <v>41</v>
      </c>
      <c r="B589" s="132">
        <v>45607.0</v>
      </c>
      <c r="C589" s="41" t="s">
        <v>112</v>
      </c>
      <c r="D589" s="182">
        <v>1.0</v>
      </c>
      <c r="E589" s="183">
        <v>42.85</v>
      </c>
      <c r="F589" s="183">
        <f>D589*E589</f>
        <v>42.85</v>
      </c>
      <c r="G589" s="183">
        <f>F589</f>
        <v>42.85</v>
      </c>
      <c r="H589" s="279"/>
      <c r="I589" s="41" t="s">
        <v>892</v>
      </c>
      <c r="J589" s="41" t="s">
        <v>893</v>
      </c>
      <c r="K589" s="279" t="b">
        <v>0</v>
      </c>
      <c r="L589" s="279" t="b">
        <v>0</v>
      </c>
    </row>
    <row r="590" ht="14.25" hidden="1" customHeight="1" outlineLevel="1">
      <c r="A590" s="131" t="s">
        <v>41</v>
      </c>
      <c r="B590" s="132">
        <v>45608.0</v>
      </c>
      <c r="C590" s="41" t="s">
        <v>61</v>
      </c>
      <c r="D590" s="182">
        <v>1.0</v>
      </c>
      <c r="E590" s="183">
        <v>150.0</v>
      </c>
      <c r="F590" s="183">
        <v>150.0</v>
      </c>
      <c r="G590" s="183">
        <v>150.0</v>
      </c>
      <c r="H590" s="279" t="b">
        <v>1</v>
      </c>
      <c r="I590" s="41" t="s">
        <v>236</v>
      </c>
      <c r="J590" s="41" t="s">
        <v>410</v>
      </c>
      <c r="K590" s="279" t="b">
        <v>0</v>
      </c>
      <c r="L590" s="279" t="b">
        <v>1</v>
      </c>
    </row>
    <row r="591" ht="14.25" hidden="1" customHeight="1" outlineLevel="1">
      <c r="A591" s="131" t="s">
        <v>41</v>
      </c>
      <c r="B591" s="132">
        <v>45608.0</v>
      </c>
      <c r="C591" s="41" t="s">
        <v>75</v>
      </c>
      <c r="D591" s="182">
        <v>4.0</v>
      </c>
      <c r="E591" s="183">
        <v>35.0</v>
      </c>
      <c r="F591" s="183">
        <f t="shared" ref="F591:F596" si="68">D591*E591</f>
        <v>140</v>
      </c>
      <c r="G591" s="183">
        <f t="shared" ref="G591:G592" si="69">F591</f>
        <v>140</v>
      </c>
      <c r="H591" s="279"/>
      <c r="I591" s="41" t="s">
        <v>895</v>
      </c>
      <c r="J591" s="41" t="s">
        <v>896</v>
      </c>
      <c r="K591" s="279" t="b">
        <v>0</v>
      </c>
      <c r="L591" s="279" t="b">
        <v>1</v>
      </c>
    </row>
    <row r="592" ht="14.25" hidden="1" customHeight="1" outlineLevel="1">
      <c r="A592" s="131" t="s">
        <v>41</v>
      </c>
      <c r="B592" s="132">
        <v>45609.0</v>
      </c>
      <c r="C592" s="41" t="s">
        <v>171</v>
      </c>
      <c r="D592" s="182">
        <v>1.0</v>
      </c>
      <c r="E592" s="183">
        <v>46.55</v>
      </c>
      <c r="F592" s="183">
        <f t="shared" si="68"/>
        <v>46.55</v>
      </c>
      <c r="G592" s="295">
        <f t="shared" si="69"/>
        <v>46.55</v>
      </c>
      <c r="H592" s="279"/>
      <c r="I592" s="41" t="s">
        <v>172</v>
      </c>
      <c r="J592" s="41" t="s">
        <v>898</v>
      </c>
      <c r="K592" s="279" t="b">
        <v>1</v>
      </c>
      <c r="L592" s="279" t="b">
        <v>1</v>
      </c>
    </row>
    <row r="593" ht="14.25" hidden="1" customHeight="1" outlineLevel="1">
      <c r="A593" s="131" t="s">
        <v>41</v>
      </c>
      <c r="B593" s="132">
        <v>45610.0</v>
      </c>
      <c r="C593" s="41" t="s">
        <v>231</v>
      </c>
      <c r="D593" s="182">
        <v>1.0</v>
      </c>
      <c r="E593" s="183">
        <v>72.9</v>
      </c>
      <c r="F593" s="183">
        <f t="shared" si="68"/>
        <v>72.9</v>
      </c>
      <c r="G593" s="196">
        <f>SUM(F593:F594)</f>
        <v>103.5</v>
      </c>
      <c r="H593" s="278"/>
      <c r="I593" s="54" t="s">
        <v>225</v>
      </c>
      <c r="J593" s="41" t="s">
        <v>900</v>
      </c>
      <c r="K593" s="278" t="b">
        <v>1</v>
      </c>
      <c r="L593" s="278" t="b">
        <v>1</v>
      </c>
    </row>
    <row r="594" ht="14.25" hidden="1" customHeight="1" outlineLevel="1">
      <c r="A594" s="131" t="s">
        <v>41</v>
      </c>
      <c r="B594" s="132">
        <v>45610.0</v>
      </c>
      <c r="C594" s="41" t="s">
        <v>75</v>
      </c>
      <c r="D594" s="182">
        <v>1.0</v>
      </c>
      <c r="E594" s="183">
        <v>30.6</v>
      </c>
      <c r="F594" s="183">
        <f t="shared" si="68"/>
        <v>30.6</v>
      </c>
      <c r="G594" s="10"/>
      <c r="H594" s="10"/>
      <c r="I594" s="10"/>
      <c r="J594" s="41" t="s">
        <v>903</v>
      </c>
      <c r="K594" s="10"/>
      <c r="L594" s="10"/>
    </row>
    <row r="595" ht="14.25" hidden="1" customHeight="1" outlineLevel="1">
      <c r="A595" s="131" t="s">
        <v>41</v>
      </c>
      <c r="B595" s="132">
        <v>45610.0</v>
      </c>
      <c r="C595" s="41" t="s">
        <v>97</v>
      </c>
      <c r="D595" s="182">
        <v>1.0</v>
      </c>
      <c r="E595" s="183">
        <v>259.9</v>
      </c>
      <c r="F595" s="183">
        <f t="shared" si="68"/>
        <v>259.9</v>
      </c>
      <c r="G595" s="183">
        <f t="shared" ref="G595:G596" si="70">F595</f>
        <v>259.9</v>
      </c>
      <c r="H595" s="279"/>
      <c r="I595" s="41" t="s">
        <v>905</v>
      </c>
      <c r="J595" s="41" t="s">
        <v>906</v>
      </c>
      <c r="K595" s="279" t="b">
        <v>1</v>
      </c>
      <c r="L595" s="279" t="b">
        <v>1</v>
      </c>
    </row>
    <row r="596" ht="14.25" hidden="1" customHeight="1" outlineLevel="1">
      <c r="A596" s="131" t="s">
        <v>41</v>
      </c>
      <c r="B596" s="132">
        <v>45610.0</v>
      </c>
      <c r="C596" s="41" t="s">
        <v>171</v>
      </c>
      <c r="D596" s="182">
        <v>1.0</v>
      </c>
      <c r="E596" s="183">
        <v>185.96</v>
      </c>
      <c r="F596" s="183">
        <f t="shared" si="68"/>
        <v>185.96</v>
      </c>
      <c r="G596" s="183">
        <f t="shared" si="70"/>
        <v>185.96</v>
      </c>
      <c r="H596" s="279"/>
      <c r="I596" s="41" t="s">
        <v>594</v>
      </c>
      <c r="J596" s="41" t="s">
        <v>898</v>
      </c>
      <c r="K596" s="279" t="b">
        <v>1</v>
      </c>
      <c r="L596" s="279" t="b">
        <v>1</v>
      </c>
    </row>
    <row r="597" ht="14.25" hidden="1" customHeight="1" outlineLevel="1">
      <c r="A597" s="131" t="s">
        <v>41</v>
      </c>
      <c r="B597" s="132">
        <v>45613.0</v>
      </c>
      <c r="C597" s="41" t="s">
        <v>61</v>
      </c>
      <c r="D597" s="182">
        <v>1.0</v>
      </c>
      <c r="E597" s="183">
        <v>200.0</v>
      </c>
      <c r="F597" s="183">
        <v>200.0</v>
      </c>
      <c r="G597" s="183">
        <v>200.0</v>
      </c>
      <c r="H597" s="279" t="b">
        <v>1</v>
      </c>
      <c r="I597" s="143" t="s">
        <v>490</v>
      </c>
      <c r="J597" s="41" t="s">
        <v>329</v>
      </c>
      <c r="K597" s="279" t="b">
        <v>0</v>
      </c>
      <c r="L597" s="279" t="b">
        <v>1</v>
      </c>
    </row>
    <row r="598" ht="14.25" hidden="1" customHeight="1" outlineLevel="1">
      <c r="A598" s="131" t="s">
        <v>41</v>
      </c>
      <c r="B598" s="132">
        <v>45613.0</v>
      </c>
      <c r="C598" s="41" t="s">
        <v>61</v>
      </c>
      <c r="D598" s="182">
        <v>1.0</v>
      </c>
      <c r="E598" s="183">
        <v>200.0</v>
      </c>
      <c r="F598" s="183">
        <v>200.0</v>
      </c>
      <c r="G598" s="183">
        <v>200.0</v>
      </c>
      <c r="H598" s="279" t="b">
        <v>1</v>
      </c>
      <c r="I598" s="143" t="s">
        <v>413</v>
      </c>
      <c r="J598" s="41" t="s">
        <v>330</v>
      </c>
      <c r="K598" s="279" t="b">
        <v>0</v>
      </c>
      <c r="L598" s="279" t="b">
        <v>1</v>
      </c>
    </row>
    <row r="599" ht="14.25" hidden="1" customHeight="1" outlineLevel="1">
      <c r="A599" s="131" t="s">
        <v>41</v>
      </c>
      <c r="B599" s="132">
        <v>45614.0</v>
      </c>
      <c r="C599" s="41" t="s">
        <v>80</v>
      </c>
      <c r="D599" s="182">
        <v>2.0</v>
      </c>
      <c r="E599" s="183">
        <v>15.0</v>
      </c>
      <c r="F599" s="183">
        <f>D599*E599</f>
        <v>30</v>
      </c>
      <c r="G599" s="183">
        <f>F599</f>
        <v>30</v>
      </c>
      <c r="H599" s="279"/>
      <c r="I599" s="41" t="s">
        <v>481</v>
      </c>
      <c r="J599" s="41" t="s">
        <v>912</v>
      </c>
      <c r="K599" s="279" t="b">
        <v>1</v>
      </c>
      <c r="L599" s="279" t="b">
        <v>1</v>
      </c>
    </row>
    <row r="600" ht="14.25" hidden="1" customHeight="1" outlineLevel="1">
      <c r="A600" s="131" t="s">
        <v>41</v>
      </c>
      <c r="B600" s="132">
        <v>45615.0</v>
      </c>
      <c r="C600" s="41" t="s">
        <v>61</v>
      </c>
      <c r="D600" s="182">
        <v>1.0</v>
      </c>
      <c r="E600" s="183">
        <v>150.0</v>
      </c>
      <c r="F600" s="183">
        <v>150.0</v>
      </c>
      <c r="G600" s="183">
        <v>150.0</v>
      </c>
      <c r="H600" s="279" t="b">
        <v>1</v>
      </c>
      <c r="I600" s="41" t="s">
        <v>236</v>
      </c>
      <c r="J600" s="41" t="s">
        <v>410</v>
      </c>
      <c r="K600" s="279" t="b">
        <v>0</v>
      </c>
      <c r="L600" s="279" t="b">
        <v>1</v>
      </c>
    </row>
    <row r="601" ht="14.25" hidden="1" customHeight="1" outlineLevel="1">
      <c r="A601" s="131" t="s">
        <v>41</v>
      </c>
      <c r="B601" s="132">
        <v>45615.0</v>
      </c>
      <c r="C601" s="41" t="s">
        <v>231</v>
      </c>
      <c r="D601" s="182">
        <v>4.0</v>
      </c>
      <c r="E601" s="183">
        <v>2.04</v>
      </c>
      <c r="F601" s="183">
        <v>8.17</v>
      </c>
      <c r="G601" s="196">
        <f>SUM(F601:F604)</f>
        <v>110</v>
      </c>
      <c r="H601" s="278"/>
      <c r="I601" s="54" t="s">
        <v>403</v>
      </c>
      <c r="J601" s="41" t="s">
        <v>917</v>
      </c>
      <c r="K601" s="278" t="b">
        <v>1</v>
      </c>
      <c r="L601" s="278" t="b">
        <v>1</v>
      </c>
    </row>
    <row r="602" ht="14.25" hidden="1" customHeight="1" outlineLevel="1">
      <c r="A602" s="131" t="s">
        <v>41</v>
      </c>
      <c r="B602" s="132">
        <v>45615.0</v>
      </c>
      <c r="C602" s="41" t="s">
        <v>231</v>
      </c>
      <c r="D602" s="182">
        <v>4.0</v>
      </c>
      <c r="E602" s="183">
        <f>87.01/4</f>
        <v>21.7525</v>
      </c>
      <c r="F602" s="183">
        <v>87.01</v>
      </c>
      <c r="G602" s="58"/>
      <c r="H602" s="58"/>
      <c r="I602" s="58"/>
      <c r="J602" s="41" t="s">
        <v>920</v>
      </c>
      <c r="K602" s="58"/>
      <c r="L602" s="58"/>
    </row>
    <row r="603" ht="14.25" hidden="1" customHeight="1" outlineLevel="1">
      <c r="A603" s="131" t="s">
        <v>41</v>
      </c>
      <c r="B603" s="132">
        <v>45615.0</v>
      </c>
      <c r="C603" s="41" t="s">
        <v>231</v>
      </c>
      <c r="D603" s="182">
        <v>1.0</v>
      </c>
      <c r="E603" s="183">
        <v>6.93</v>
      </c>
      <c r="F603" s="183">
        <v>6.93</v>
      </c>
      <c r="G603" s="58"/>
      <c r="H603" s="58"/>
      <c r="I603" s="58"/>
      <c r="J603" s="41" t="s">
        <v>921</v>
      </c>
      <c r="K603" s="58"/>
      <c r="L603" s="58"/>
    </row>
    <row r="604" ht="14.25" hidden="1" customHeight="1" outlineLevel="1">
      <c r="A604" s="131" t="s">
        <v>41</v>
      </c>
      <c r="B604" s="132">
        <v>45615.0</v>
      </c>
      <c r="C604" s="41" t="s">
        <v>231</v>
      </c>
      <c r="D604" s="182">
        <v>1.0</v>
      </c>
      <c r="E604" s="183">
        <v>7.89</v>
      </c>
      <c r="F604" s="183">
        <v>7.89</v>
      </c>
      <c r="G604" s="10"/>
      <c r="H604" s="10"/>
      <c r="I604" s="10"/>
      <c r="J604" s="41" t="s">
        <v>923</v>
      </c>
      <c r="K604" s="10"/>
      <c r="L604" s="10"/>
    </row>
    <row r="605" ht="14.25" hidden="1" customHeight="1" outlineLevel="1">
      <c r="A605" s="131" t="s">
        <v>41</v>
      </c>
      <c r="B605" s="132">
        <v>45616.0</v>
      </c>
      <c r="C605" s="41" t="s">
        <v>97</v>
      </c>
      <c r="D605" s="182">
        <v>1.0</v>
      </c>
      <c r="E605" s="183">
        <v>211.0</v>
      </c>
      <c r="F605" s="183">
        <v>211.0</v>
      </c>
      <c r="G605" s="295">
        <v>211.0</v>
      </c>
      <c r="H605" s="279"/>
      <c r="I605" s="41" t="s">
        <v>925</v>
      </c>
      <c r="J605" s="41" t="s">
        <v>926</v>
      </c>
      <c r="K605" s="279" t="b">
        <v>0</v>
      </c>
      <c r="L605" s="279" t="b">
        <v>1</v>
      </c>
    </row>
    <row r="606" ht="14.25" hidden="1" customHeight="1" outlineLevel="1">
      <c r="A606" s="131" t="s">
        <v>41</v>
      </c>
      <c r="B606" s="132">
        <v>45618.0</v>
      </c>
      <c r="C606" s="41" t="s">
        <v>171</v>
      </c>
      <c r="D606" s="182">
        <v>1.0</v>
      </c>
      <c r="E606" s="183">
        <v>179.55</v>
      </c>
      <c r="F606" s="183">
        <v>179.55</v>
      </c>
      <c r="G606" s="297">
        <v>179.55</v>
      </c>
      <c r="H606" s="279"/>
      <c r="I606" s="41" t="s">
        <v>172</v>
      </c>
      <c r="J606" s="41" t="s">
        <v>898</v>
      </c>
      <c r="K606" s="279" t="b">
        <v>0</v>
      </c>
      <c r="L606" s="279" t="b">
        <v>1</v>
      </c>
    </row>
    <row r="607" ht="14.25" hidden="1" customHeight="1" outlineLevel="1">
      <c r="A607" s="131" t="s">
        <v>41</v>
      </c>
      <c r="B607" s="132">
        <v>45618.0</v>
      </c>
      <c r="C607" s="41" t="s">
        <v>61</v>
      </c>
      <c r="D607" s="182">
        <v>1.0</v>
      </c>
      <c r="E607" s="183">
        <v>150.0</v>
      </c>
      <c r="F607" s="183">
        <v>150.0</v>
      </c>
      <c r="G607" s="183">
        <v>150.0</v>
      </c>
      <c r="H607" s="279" t="b">
        <v>1</v>
      </c>
      <c r="I607" s="41" t="s">
        <v>236</v>
      </c>
      <c r="J607" s="41" t="s">
        <v>384</v>
      </c>
      <c r="K607" s="279" t="b">
        <v>0</v>
      </c>
      <c r="L607" s="279" t="b">
        <v>1</v>
      </c>
    </row>
    <row r="608" ht="14.25" hidden="1" customHeight="1" outlineLevel="1">
      <c r="A608" s="131" t="s">
        <v>41</v>
      </c>
      <c r="B608" s="132">
        <v>45620.0</v>
      </c>
      <c r="C608" s="41" t="s">
        <v>61</v>
      </c>
      <c r="D608" s="182">
        <v>1.0</v>
      </c>
      <c r="E608" s="183">
        <v>200.0</v>
      </c>
      <c r="F608" s="183">
        <v>200.0</v>
      </c>
      <c r="G608" s="183">
        <v>200.0</v>
      </c>
      <c r="H608" s="279" t="b">
        <v>1</v>
      </c>
      <c r="I608" s="143" t="s">
        <v>490</v>
      </c>
      <c r="J608" s="41" t="s">
        <v>329</v>
      </c>
      <c r="K608" s="279" t="b">
        <v>0</v>
      </c>
      <c r="L608" s="279" t="b">
        <v>1</v>
      </c>
    </row>
    <row r="609" ht="14.25" hidden="1" customHeight="1" outlineLevel="1">
      <c r="A609" s="131" t="s">
        <v>41</v>
      </c>
      <c r="B609" s="132">
        <v>45620.0</v>
      </c>
      <c r="C609" s="41" t="s">
        <v>61</v>
      </c>
      <c r="D609" s="182">
        <v>1.0</v>
      </c>
      <c r="E609" s="183">
        <v>200.0</v>
      </c>
      <c r="F609" s="183">
        <v>200.0</v>
      </c>
      <c r="G609" s="183">
        <v>200.0</v>
      </c>
      <c r="H609" s="279" t="b">
        <v>1</v>
      </c>
      <c r="I609" s="143" t="s">
        <v>820</v>
      </c>
      <c r="J609" s="41" t="s">
        <v>330</v>
      </c>
      <c r="K609" s="279" t="b">
        <v>0</v>
      </c>
      <c r="L609" s="279" t="b">
        <v>1</v>
      </c>
    </row>
    <row r="610" ht="14.25" hidden="1" customHeight="1" outlineLevel="1">
      <c r="A610" s="131" t="s">
        <v>41</v>
      </c>
      <c r="B610" s="132">
        <v>45621.0</v>
      </c>
      <c r="C610" s="41" t="s">
        <v>61</v>
      </c>
      <c r="D610" s="182">
        <v>1.0</v>
      </c>
      <c r="E610" s="183">
        <v>150.0</v>
      </c>
      <c r="F610" s="183">
        <v>150.0</v>
      </c>
      <c r="G610" s="183">
        <v>150.0</v>
      </c>
      <c r="H610" s="279" t="b">
        <v>1</v>
      </c>
      <c r="I610" s="143" t="s">
        <v>490</v>
      </c>
      <c r="J610" s="41" t="s">
        <v>928</v>
      </c>
      <c r="K610" s="279" t="b">
        <v>0</v>
      </c>
      <c r="L610" s="279" t="b">
        <v>1</v>
      </c>
    </row>
    <row r="611" ht="14.25" hidden="1" customHeight="1" outlineLevel="1">
      <c r="A611" s="131" t="s">
        <v>41</v>
      </c>
      <c r="B611" s="132">
        <v>45622.0</v>
      </c>
      <c r="C611" s="41" t="s">
        <v>61</v>
      </c>
      <c r="D611" s="182">
        <v>1.0</v>
      </c>
      <c r="E611" s="183">
        <v>150.0</v>
      </c>
      <c r="F611" s="183">
        <v>150.0</v>
      </c>
      <c r="G611" s="183">
        <v>150.0</v>
      </c>
      <c r="H611" s="279" t="b">
        <v>1</v>
      </c>
      <c r="I611" s="41" t="s">
        <v>236</v>
      </c>
      <c r="J611" s="41" t="s">
        <v>410</v>
      </c>
      <c r="K611" s="279" t="b">
        <v>0</v>
      </c>
      <c r="L611" s="279" t="b">
        <v>1</v>
      </c>
    </row>
    <row r="612" ht="14.25" hidden="1" customHeight="1" outlineLevel="1">
      <c r="A612" s="131" t="s">
        <v>41</v>
      </c>
      <c r="B612" s="132">
        <v>45624.0</v>
      </c>
      <c r="C612" s="41" t="s">
        <v>171</v>
      </c>
      <c r="D612" s="182">
        <v>1.0</v>
      </c>
      <c r="E612" s="183">
        <v>69.27</v>
      </c>
      <c r="F612" s="183">
        <v>69.27</v>
      </c>
      <c r="G612" s="183">
        <v>69.27</v>
      </c>
      <c r="H612" s="279"/>
      <c r="I612" s="41" t="s">
        <v>929</v>
      </c>
      <c r="J612" s="41" t="s">
        <v>930</v>
      </c>
      <c r="K612" s="279" t="b">
        <v>1</v>
      </c>
      <c r="L612" s="279" t="b">
        <v>1</v>
      </c>
    </row>
    <row r="613" ht="14.25" hidden="1" customHeight="1" outlineLevel="1">
      <c r="A613" s="131" t="s">
        <v>41</v>
      </c>
      <c r="B613" s="132">
        <v>45624.0</v>
      </c>
      <c r="C613" s="41" t="s">
        <v>171</v>
      </c>
      <c r="D613" s="182">
        <v>1.0</v>
      </c>
      <c r="E613" s="183">
        <v>338.2</v>
      </c>
      <c r="F613" s="183">
        <v>338.2</v>
      </c>
      <c r="G613" s="183">
        <v>338.2</v>
      </c>
      <c r="H613" s="279"/>
      <c r="I613" s="41" t="s">
        <v>172</v>
      </c>
      <c r="J613" s="41" t="s">
        <v>932</v>
      </c>
      <c r="K613" s="279" t="b">
        <v>1</v>
      </c>
      <c r="L613" s="279" t="b">
        <v>1</v>
      </c>
    </row>
    <row r="614" ht="14.25" hidden="1" customHeight="1" outlineLevel="1">
      <c r="A614" s="131" t="s">
        <v>41</v>
      </c>
      <c r="B614" s="132">
        <v>45624.0</v>
      </c>
      <c r="C614" s="41" t="s">
        <v>61</v>
      </c>
      <c r="D614" s="182">
        <v>1.0</v>
      </c>
      <c r="E614" s="183">
        <v>3900.0</v>
      </c>
      <c r="F614" s="183">
        <v>3900.0</v>
      </c>
      <c r="G614" s="183">
        <v>3900.0</v>
      </c>
      <c r="H614" s="279" t="b">
        <v>1</v>
      </c>
      <c r="I614" s="41" t="s">
        <v>119</v>
      </c>
      <c r="J614" s="41" t="s">
        <v>933</v>
      </c>
      <c r="K614" s="279" t="b">
        <v>0</v>
      </c>
      <c r="L614" s="279" t="b">
        <v>1</v>
      </c>
    </row>
    <row r="615" ht="14.25" hidden="1" customHeight="1" outlineLevel="1">
      <c r="A615" s="131" t="s">
        <v>41</v>
      </c>
      <c r="B615" s="132">
        <v>45623.0</v>
      </c>
      <c r="C615" s="41" t="s">
        <v>93</v>
      </c>
      <c r="D615" s="182">
        <v>1.0</v>
      </c>
      <c r="E615" s="183">
        <v>104.0</v>
      </c>
      <c r="F615" s="183">
        <v>104.0</v>
      </c>
      <c r="G615" s="183">
        <v>104.0</v>
      </c>
      <c r="H615" s="279"/>
      <c r="I615" s="41" t="s">
        <v>337</v>
      </c>
      <c r="J615" s="41" t="s">
        <v>93</v>
      </c>
      <c r="K615" s="279" t="b">
        <v>1</v>
      </c>
      <c r="L615" s="279" t="b">
        <v>1</v>
      </c>
    </row>
    <row r="616" ht="14.25" hidden="1" customHeight="1" outlineLevel="1">
      <c r="A616" s="131" t="s">
        <v>41</v>
      </c>
      <c r="B616" s="132">
        <v>45625.0</v>
      </c>
      <c r="C616" s="41" t="s">
        <v>61</v>
      </c>
      <c r="D616" s="182">
        <v>1.0</v>
      </c>
      <c r="E616" s="183">
        <v>150.0</v>
      </c>
      <c r="F616" s="183">
        <v>150.0</v>
      </c>
      <c r="G616" s="183">
        <v>150.0</v>
      </c>
      <c r="H616" s="279" t="b">
        <v>1</v>
      </c>
      <c r="I616" s="41" t="s">
        <v>236</v>
      </c>
      <c r="J616" s="41" t="s">
        <v>384</v>
      </c>
      <c r="K616" s="279" t="b">
        <v>0</v>
      </c>
      <c r="L616" s="279" t="b">
        <v>1</v>
      </c>
    </row>
    <row r="617" ht="14.25" hidden="1" customHeight="1" outlineLevel="1">
      <c r="A617" s="131" t="s">
        <v>41</v>
      </c>
      <c r="B617" s="132">
        <v>45625.0</v>
      </c>
      <c r="C617" s="41" t="s">
        <v>75</v>
      </c>
      <c r="D617" s="182">
        <v>3.0</v>
      </c>
      <c r="E617" s="183">
        <v>35.0</v>
      </c>
      <c r="F617" s="183">
        <f t="shared" ref="F617:F621" si="71">D617*E617</f>
        <v>105</v>
      </c>
      <c r="G617" s="183">
        <f>F617</f>
        <v>105</v>
      </c>
      <c r="H617" s="279"/>
      <c r="I617" s="41" t="s">
        <v>76</v>
      </c>
      <c r="J617" s="41" t="s">
        <v>936</v>
      </c>
      <c r="K617" s="279" t="b">
        <v>0</v>
      </c>
      <c r="L617" s="279" t="b">
        <v>1</v>
      </c>
    </row>
    <row r="618" ht="14.25" hidden="1" customHeight="1" outlineLevel="1">
      <c r="A618" s="131" t="s">
        <v>41</v>
      </c>
      <c r="B618" s="132">
        <v>45625.0</v>
      </c>
      <c r="C618" s="41" t="s">
        <v>231</v>
      </c>
      <c r="D618" s="182">
        <v>4.0</v>
      </c>
      <c r="E618" s="183">
        <v>4.0</v>
      </c>
      <c r="F618" s="183">
        <f t="shared" si="71"/>
        <v>16</v>
      </c>
      <c r="G618" s="196">
        <f>SUM(F618:F620)</f>
        <v>79.2</v>
      </c>
      <c r="H618" s="278"/>
      <c r="I618" s="54" t="s">
        <v>225</v>
      </c>
      <c r="J618" s="41" t="s">
        <v>939</v>
      </c>
      <c r="K618" s="278" t="b">
        <v>1</v>
      </c>
      <c r="L618" s="278" t="b">
        <v>1</v>
      </c>
    </row>
    <row r="619" ht="14.25" hidden="1" customHeight="1" outlineLevel="1">
      <c r="A619" s="131" t="s">
        <v>41</v>
      </c>
      <c r="B619" s="132">
        <v>45625.0</v>
      </c>
      <c r="C619" s="41" t="s">
        <v>231</v>
      </c>
      <c r="D619" s="182">
        <v>1.0</v>
      </c>
      <c r="E619" s="183">
        <v>45.0</v>
      </c>
      <c r="F619" s="183">
        <f t="shared" si="71"/>
        <v>45</v>
      </c>
      <c r="G619" s="58"/>
      <c r="H619" s="58"/>
      <c r="I619" s="58"/>
      <c r="J619" s="41" t="s">
        <v>941</v>
      </c>
      <c r="K619" s="58"/>
      <c r="L619" s="58"/>
    </row>
    <row r="620" ht="14.25" hidden="1" customHeight="1" outlineLevel="1">
      <c r="A620" s="131" t="s">
        <v>41</v>
      </c>
      <c r="B620" s="132">
        <v>45625.0</v>
      </c>
      <c r="C620" s="41" t="s">
        <v>231</v>
      </c>
      <c r="D620" s="182">
        <v>1.0</v>
      </c>
      <c r="E620" s="183">
        <v>18.2</v>
      </c>
      <c r="F620" s="183">
        <f t="shared" si="71"/>
        <v>18.2</v>
      </c>
      <c r="G620" s="10"/>
      <c r="H620" s="10"/>
      <c r="I620" s="10"/>
      <c r="J620" s="41" t="s">
        <v>942</v>
      </c>
      <c r="K620" s="10"/>
      <c r="L620" s="10"/>
    </row>
    <row r="621" ht="14.25" hidden="1" customHeight="1" outlineLevel="1">
      <c r="A621" s="131" t="s">
        <v>41</v>
      </c>
      <c r="B621" s="132">
        <v>45625.0</v>
      </c>
      <c r="C621" s="41" t="s">
        <v>171</v>
      </c>
      <c r="D621" s="182">
        <v>1.0</v>
      </c>
      <c r="E621" s="183">
        <v>39.9</v>
      </c>
      <c r="F621" s="183">
        <f t="shared" si="71"/>
        <v>39.9</v>
      </c>
      <c r="G621" s="183">
        <f>F621</f>
        <v>39.9</v>
      </c>
      <c r="H621" s="279"/>
      <c r="I621" s="41" t="s">
        <v>185</v>
      </c>
      <c r="J621" s="41" t="s">
        <v>944</v>
      </c>
      <c r="K621" s="279" t="b">
        <v>1</v>
      </c>
      <c r="L621" s="279" t="b">
        <v>1</v>
      </c>
    </row>
    <row r="622" ht="14.25" customHeight="1">
      <c r="A622" s="180" t="s">
        <v>192</v>
      </c>
      <c r="B622" s="27"/>
      <c r="C622" s="27"/>
      <c r="D622" s="27"/>
      <c r="E622" s="28"/>
      <c r="F622" s="181">
        <f t="shared" ref="F622:G622" si="72">SUM(F578:F621)</f>
        <v>9428.78</v>
      </c>
      <c r="G622" s="181">
        <f t="shared" si="72"/>
        <v>9428.78</v>
      </c>
      <c r="H622" s="156"/>
      <c r="I622" s="107"/>
      <c r="J622" s="112"/>
    </row>
    <row r="623" ht="14.25" customHeight="1" collapsed="1">
      <c r="A623" s="245" t="s">
        <v>849</v>
      </c>
      <c r="B623" s="246"/>
      <c r="C623" s="246"/>
      <c r="D623" s="246"/>
      <c r="E623" s="246"/>
      <c r="F623" s="246"/>
      <c r="G623" s="246"/>
      <c r="H623" s="246"/>
      <c r="I623" s="246"/>
      <c r="J623" s="247"/>
      <c r="K623" s="238"/>
      <c r="L623" s="238"/>
    </row>
    <row r="624" ht="14.25" hidden="1" customHeight="1" outlineLevel="1">
      <c r="A624" s="131" t="s">
        <v>40</v>
      </c>
      <c r="B624" s="132">
        <v>45627.0</v>
      </c>
      <c r="C624" s="41" t="s">
        <v>61</v>
      </c>
      <c r="D624" s="182">
        <v>1.0</v>
      </c>
      <c r="E624" s="183">
        <v>200.0</v>
      </c>
      <c r="F624" s="183">
        <v>200.0</v>
      </c>
      <c r="G624" s="183">
        <v>200.0</v>
      </c>
      <c r="H624" s="279" t="b">
        <v>1</v>
      </c>
      <c r="I624" s="143" t="s">
        <v>490</v>
      </c>
      <c r="J624" s="41" t="s">
        <v>329</v>
      </c>
      <c r="K624" s="279" t="b">
        <v>0</v>
      </c>
      <c r="L624" s="279" t="b">
        <v>1</v>
      </c>
    </row>
    <row r="625" ht="14.25" hidden="1" customHeight="1" outlineLevel="1">
      <c r="A625" s="131" t="s">
        <v>40</v>
      </c>
      <c r="B625" s="132">
        <v>45627.0</v>
      </c>
      <c r="C625" s="41" t="s">
        <v>61</v>
      </c>
      <c r="D625" s="182">
        <v>1.0</v>
      </c>
      <c r="E625" s="183">
        <v>200.0</v>
      </c>
      <c r="F625" s="183">
        <v>200.0</v>
      </c>
      <c r="G625" s="183">
        <v>200.0</v>
      </c>
      <c r="H625" s="279" t="b">
        <v>1</v>
      </c>
      <c r="I625" s="143" t="s">
        <v>413</v>
      </c>
      <c r="J625" s="41" t="s">
        <v>330</v>
      </c>
      <c r="K625" s="279" t="b">
        <v>0</v>
      </c>
      <c r="L625" s="279" t="b">
        <v>1</v>
      </c>
    </row>
    <row r="626" ht="14.25" hidden="1" customHeight="1" outlineLevel="1">
      <c r="A626" s="131" t="s">
        <v>40</v>
      </c>
      <c r="B626" s="132">
        <v>45627.0</v>
      </c>
      <c r="C626" s="41" t="s">
        <v>116</v>
      </c>
      <c r="D626" s="182">
        <v>1.0</v>
      </c>
      <c r="E626" s="183">
        <v>24.99</v>
      </c>
      <c r="F626" s="183">
        <v>24.99</v>
      </c>
      <c r="G626" s="183">
        <v>24.99</v>
      </c>
      <c r="H626" s="279" t="b">
        <v>0</v>
      </c>
      <c r="I626" s="41" t="s">
        <v>949</v>
      </c>
      <c r="J626" s="41" t="s">
        <v>950</v>
      </c>
      <c r="K626" s="279" t="b">
        <v>0</v>
      </c>
      <c r="L626" s="279" t="b">
        <v>0</v>
      </c>
    </row>
    <row r="627" ht="14.25" hidden="1" customHeight="1" outlineLevel="1">
      <c r="A627" s="131" t="s">
        <v>40</v>
      </c>
      <c r="B627" s="132">
        <v>45630.0</v>
      </c>
      <c r="C627" s="41" t="s">
        <v>61</v>
      </c>
      <c r="D627" s="182">
        <v>1.0</v>
      </c>
      <c r="E627" s="183">
        <v>150.0</v>
      </c>
      <c r="F627" s="183">
        <v>150.0</v>
      </c>
      <c r="G627" s="183">
        <v>150.0</v>
      </c>
      <c r="H627" s="279" t="b">
        <v>1</v>
      </c>
      <c r="I627" s="41" t="s">
        <v>236</v>
      </c>
      <c r="J627" s="41" t="s">
        <v>951</v>
      </c>
      <c r="K627" s="279" t="b">
        <v>0</v>
      </c>
      <c r="L627" s="279" t="b">
        <v>1</v>
      </c>
    </row>
    <row r="628" ht="14.25" hidden="1" customHeight="1" outlineLevel="1">
      <c r="A628" s="131" t="s">
        <v>40</v>
      </c>
      <c r="B628" s="132">
        <v>45632.0</v>
      </c>
      <c r="C628" s="41" t="s">
        <v>61</v>
      </c>
      <c r="D628" s="182">
        <v>1.0</v>
      </c>
      <c r="E628" s="183">
        <v>150.0</v>
      </c>
      <c r="F628" s="183">
        <v>150.0</v>
      </c>
      <c r="G628" s="183">
        <v>150.0</v>
      </c>
      <c r="H628" s="279" t="b">
        <v>1</v>
      </c>
      <c r="I628" s="41" t="s">
        <v>296</v>
      </c>
      <c r="J628" s="41" t="s">
        <v>954</v>
      </c>
      <c r="K628" s="279" t="b">
        <v>0</v>
      </c>
      <c r="L628" s="279" t="b">
        <v>1</v>
      </c>
    </row>
    <row r="629" ht="14.25" hidden="1" customHeight="1" outlineLevel="1">
      <c r="A629" s="131" t="s">
        <v>40</v>
      </c>
      <c r="B629" s="132">
        <v>45634.0</v>
      </c>
      <c r="C629" s="41" t="s">
        <v>61</v>
      </c>
      <c r="D629" s="182">
        <v>1.0</v>
      </c>
      <c r="E629" s="183">
        <v>200.0</v>
      </c>
      <c r="F629" s="183">
        <v>200.0</v>
      </c>
      <c r="G629" s="183">
        <v>200.0</v>
      </c>
      <c r="H629" s="279" t="b">
        <v>1</v>
      </c>
      <c r="I629" s="143" t="s">
        <v>820</v>
      </c>
      <c r="J629" s="41" t="s">
        <v>329</v>
      </c>
      <c r="K629" s="279" t="b">
        <v>0</v>
      </c>
      <c r="L629" s="279" t="b">
        <v>1</v>
      </c>
    </row>
    <row r="630" ht="14.25" hidden="1" customHeight="1" outlineLevel="1">
      <c r="A630" s="131" t="s">
        <v>40</v>
      </c>
      <c r="B630" s="132">
        <v>45636.0</v>
      </c>
      <c r="C630" s="41" t="s">
        <v>61</v>
      </c>
      <c r="D630" s="182">
        <v>1.0</v>
      </c>
      <c r="E630" s="183">
        <v>150.0</v>
      </c>
      <c r="F630" s="183">
        <v>150.0</v>
      </c>
      <c r="G630" s="183">
        <v>150.0</v>
      </c>
      <c r="H630" s="279" t="b">
        <v>1</v>
      </c>
      <c r="I630" s="143" t="s">
        <v>236</v>
      </c>
      <c r="J630" s="41" t="s">
        <v>955</v>
      </c>
      <c r="K630" s="279" t="b">
        <v>0</v>
      </c>
      <c r="L630" s="279" t="b">
        <v>1</v>
      </c>
    </row>
    <row r="631" ht="14.25" hidden="1" customHeight="1" outlineLevel="1">
      <c r="A631" s="131" t="s">
        <v>40</v>
      </c>
      <c r="B631" s="132">
        <v>45637.0</v>
      </c>
      <c r="C631" s="41" t="s">
        <v>61</v>
      </c>
      <c r="D631" s="182">
        <v>1.0</v>
      </c>
      <c r="E631" s="183">
        <v>150.0</v>
      </c>
      <c r="F631" s="183">
        <v>150.0</v>
      </c>
      <c r="G631" s="183">
        <v>150.0</v>
      </c>
      <c r="H631" s="279" t="b">
        <v>1</v>
      </c>
      <c r="I631" s="143" t="s">
        <v>413</v>
      </c>
      <c r="J631" s="41" t="s">
        <v>957</v>
      </c>
      <c r="K631" s="279" t="b">
        <v>0</v>
      </c>
      <c r="L631" s="279" t="b">
        <v>1</v>
      </c>
    </row>
    <row r="632" ht="14.25" hidden="1" customHeight="1" outlineLevel="1">
      <c r="A632" s="131" t="s">
        <v>40</v>
      </c>
      <c r="B632" s="132">
        <v>45639.0</v>
      </c>
      <c r="C632" s="41" t="s">
        <v>61</v>
      </c>
      <c r="D632" s="182">
        <v>1.0</v>
      </c>
      <c r="E632" s="183">
        <v>150.0</v>
      </c>
      <c r="F632" s="183">
        <v>150.0</v>
      </c>
      <c r="G632" s="183">
        <v>150.0</v>
      </c>
      <c r="H632" s="279" t="b">
        <v>1</v>
      </c>
      <c r="I632" s="143" t="s">
        <v>236</v>
      </c>
      <c r="J632" s="41" t="s">
        <v>954</v>
      </c>
      <c r="K632" s="279" t="b">
        <v>0</v>
      </c>
      <c r="L632" s="279" t="b">
        <v>1</v>
      </c>
    </row>
    <row r="633" ht="14.25" hidden="1" customHeight="1" outlineLevel="1">
      <c r="A633" s="131" t="s">
        <v>40</v>
      </c>
      <c r="B633" s="132">
        <v>45635.0</v>
      </c>
      <c r="C633" s="41" t="s">
        <v>93</v>
      </c>
      <c r="D633" s="182">
        <v>1.0</v>
      </c>
      <c r="E633" s="183">
        <v>100.0</v>
      </c>
      <c r="F633" s="183">
        <v>100.0</v>
      </c>
      <c r="G633" s="183">
        <v>100.0</v>
      </c>
      <c r="H633" s="279" t="b">
        <v>0</v>
      </c>
      <c r="I633" s="143" t="s">
        <v>337</v>
      </c>
      <c r="J633" s="41" t="s">
        <v>959</v>
      </c>
      <c r="K633" s="279" t="b">
        <v>0</v>
      </c>
      <c r="L633" s="279" t="b">
        <v>0</v>
      </c>
    </row>
    <row r="634" ht="14.25" hidden="1" customHeight="1" outlineLevel="1">
      <c r="A634" s="131" t="s">
        <v>40</v>
      </c>
      <c r="B634" s="132">
        <v>45635.0</v>
      </c>
      <c r="C634" s="41" t="s">
        <v>112</v>
      </c>
      <c r="D634" s="182">
        <v>1.0</v>
      </c>
      <c r="E634" s="183">
        <v>2.29</v>
      </c>
      <c r="F634" s="183">
        <f t="shared" ref="F634:F637" si="73">D634*E634</f>
        <v>2.29</v>
      </c>
      <c r="G634" s="196">
        <f>SUM(F634:F636)</f>
        <v>51.24</v>
      </c>
      <c r="H634" s="278" t="b">
        <v>0</v>
      </c>
      <c r="I634" s="164" t="s">
        <v>117</v>
      </c>
      <c r="J634" s="41" t="s">
        <v>961</v>
      </c>
      <c r="K634" s="279" t="b">
        <v>0</v>
      </c>
      <c r="L634" s="279" t="b">
        <v>0</v>
      </c>
    </row>
    <row r="635" ht="14.25" hidden="1" customHeight="1" outlineLevel="1">
      <c r="A635" s="131" t="s">
        <v>40</v>
      </c>
      <c r="B635" s="132">
        <v>45635.0</v>
      </c>
      <c r="C635" s="41" t="s">
        <v>84</v>
      </c>
      <c r="D635" s="182">
        <v>3.0</v>
      </c>
      <c r="E635" s="183">
        <v>12.99</v>
      </c>
      <c r="F635" s="183">
        <f t="shared" si="73"/>
        <v>38.97</v>
      </c>
      <c r="G635" s="58"/>
      <c r="H635" s="58"/>
      <c r="I635" s="194"/>
      <c r="J635" s="41" t="s">
        <v>962</v>
      </c>
      <c r="K635" s="279" t="b">
        <v>0</v>
      </c>
      <c r="L635" s="279" t="b">
        <v>0</v>
      </c>
    </row>
    <row r="636" ht="14.25" hidden="1" customHeight="1" outlineLevel="1">
      <c r="A636" s="131" t="s">
        <v>40</v>
      </c>
      <c r="B636" s="132">
        <v>45635.0</v>
      </c>
      <c r="C636" s="41" t="s">
        <v>69</v>
      </c>
      <c r="D636" s="182">
        <v>2.0</v>
      </c>
      <c r="E636" s="183">
        <v>4.99</v>
      </c>
      <c r="F636" s="183">
        <f t="shared" si="73"/>
        <v>9.98</v>
      </c>
      <c r="G636" s="10"/>
      <c r="H636" s="10"/>
      <c r="I636" s="74"/>
      <c r="J636" s="41" t="s">
        <v>230</v>
      </c>
      <c r="K636" s="279" t="b">
        <v>0</v>
      </c>
      <c r="L636" s="279" t="b">
        <v>0</v>
      </c>
    </row>
    <row r="637" ht="14.25" hidden="1" customHeight="1" outlineLevel="1">
      <c r="A637" s="131" t="s">
        <v>40</v>
      </c>
      <c r="B637" s="132">
        <v>45636.0</v>
      </c>
      <c r="C637" s="41" t="s">
        <v>75</v>
      </c>
      <c r="D637" s="182">
        <v>2.0</v>
      </c>
      <c r="E637" s="183">
        <v>35.0</v>
      </c>
      <c r="F637" s="183">
        <f t="shared" si="73"/>
        <v>70</v>
      </c>
      <c r="G637" s="183">
        <f>F637</f>
        <v>70</v>
      </c>
      <c r="H637" s="279" t="b">
        <v>0</v>
      </c>
      <c r="I637" s="41" t="s">
        <v>599</v>
      </c>
      <c r="J637" s="41" t="s">
        <v>964</v>
      </c>
      <c r="K637" s="279" t="b">
        <v>0</v>
      </c>
      <c r="L637" s="279" t="b">
        <v>1</v>
      </c>
    </row>
    <row r="638" ht="14.25" hidden="1" customHeight="1" outlineLevel="1">
      <c r="A638" s="131" t="s">
        <v>40</v>
      </c>
      <c r="B638" s="132">
        <v>45636.0</v>
      </c>
      <c r="C638" s="41" t="s">
        <v>315</v>
      </c>
      <c r="D638" s="182">
        <v>1.0</v>
      </c>
      <c r="E638" s="183">
        <v>46.99</v>
      </c>
      <c r="F638" s="183">
        <v>46.99</v>
      </c>
      <c r="G638" s="183">
        <v>46.99</v>
      </c>
      <c r="H638" s="279" t="b">
        <v>0</v>
      </c>
      <c r="I638" s="41" t="s">
        <v>570</v>
      </c>
      <c r="J638" s="41" t="s">
        <v>966</v>
      </c>
      <c r="K638" s="279" t="b">
        <v>1</v>
      </c>
      <c r="L638" s="279" t="b">
        <v>1</v>
      </c>
    </row>
    <row r="639" ht="14.25" hidden="1" customHeight="1" outlineLevel="1">
      <c r="A639" s="131" t="s">
        <v>40</v>
      </c>
      <c r="B639" s="132">
        <v>45637.0</v>
      </c>
      <c r="C639" s="41" t="s">
        <v>80</v>
      </c>
      <c r="D639" s="182">
        <v>2.0</v>
      </c>
      <c r="E639" s="183">
        <v>15.0</v>
      </c>
      <c r="F639" s="183">
        <v>30.0</v>
      </c>
      <c r="G639" s="183">
        <v>30.0</v>
      </c>
      <c r="H639" s="279" t="b">
        <v>0</v>
      </c>
      <c r="I639" s="41" t="s">
        <v>481</v>
      </c>
      <c r="J639" s="41" t="s">
        <v>967</v>
      </c>
      <c r="K639" s="279" t="b">
        <v>0</v>
      </c>
      <c r="L639" s="279" t="b">
        <v>0</v>
      </c>
    </row>
    <row r="640" ht="14.25" hidden="1" customHeight="1" outlineLevel="1">
      <c r="A640" s="131" t="s">
        <v>40</v>
      </c>
      <c r="B640" s="132">
        <v>45641.0</v>
      </c>
      <c r="C640" s="41" t="s">
        <v>61</v>
      </c>
      <c r="D640" s="182">
        <v>1.0</v>
      </c>
      <c r="E640" s="183">
        <v>200.0</v>
      </c>
      <c r="F640" s="183">
        <v>200.0</v>
      </c>
      <c r="G640" s="183">
        <v>200.0</v>
      </c>
      <c r="H640" s="279" t="b">
        <v>1</v>
      </c>
      <c r="I640" s="143" t="s">
        <v>413</v>
      </c>
      <c r="J640" s="41" t="s">
        <v>330</v>
      </c>
      <c r="K640" s="279" t="b">
        <v>0</v>
      </c>
      <c r="L640" s="279" t="b">
        <v>1</v>
      </c>
    </row>
    <row r="641" ht="14.25" hidden="1" customHeight="1" outlineLevel="1">
      <c r="A641" s="131" t="s">
        <v>40</v>
      </c>
      <c r="B641" s="132">
        <v>45643.0</v>
      </c>
      <c r="C641" s="41" t="s">
        <v>61</v>
      </c>
      <c r="D641" s="182">
        <v>1.0</v>
      </c>
      <c r="E641" s="183">
        <v>150.0</v>
      </c>
      <c r="F641" s="183">
        <v>150.0</v>
      </c>
      <c r="G641" s="183">
        <v>150.0</v>
      </c>
      <c r="H641" s="279" t="b">
        <v>1</v>
      </c>
      <c r="I641" s="41" t="s">
        <v>236</v>
      </c>
      <c r="J641" s="41" t="s">
        <v>951</v>
      </c>
      <c r="K641" s="279" t="b">
        <v>0</v>
      </c>
      <c r="L641" s="279" t="b">
        <v>1</v>
      </c>
    </row>
    <row r="642" ht="14.25" hidden="1" customHeight="1" outlineLevel="1">
      <c r="A642" s="131" t="s">
        <v>40</v>
      </c>
      <c r="B642" s="132">
        <v>45643.0</v>
      </c>
      <c r="C642" s="41" t="s">
        <v>248</v>
      </c>
      <c r="D642" s="182">
        <v>1.0</v>
      </c>
      <c r="E642" s="183">
        <v>1022.0</v>
      </c>
      <c r="F642" s="183">
        <v>1022.0</v>
      </c>
      <c r="G642" s="183">
        <v>1022.0</v>
      </c>
      <c r="H642" s="279" t="b">
        <v>0</v>
      </c>
      <c r="I642" s="41" t="s">
        <v>704</v>
      </c>
      <c r="J642" s="41" t="s">
        <v>968</v>
      </c>
      <c r="K642" s="279" t="b">
        <v>0</v>
      </c>
      <c r="L642" s="279" t="b">
        <v>0</v>
      </c>
    </row>
    <row r="643" ht="14.25" hidden="1" customHeight="1" outlineLevel="1">
      <c r="A643" s="131" t="s">
        <v>40</v>
      </c>
      <c r="B643" s="132">
        <v>45646.0</v>
      </c>
      <c r="C643" s="41" t="s">
        <v>61</v>
      </c>
      <c r="D643" s="182">
        <v>1.0</v>
      </c>
      <c r="E643" s="183">
        <v>150.0</v>
      </c>
      <c r="F643" s="183">
        <v>150.0</v>
      </c>
      <c r="G643" s="183">
        <v>150.0</v>
      </c>
      <c r="H643" s="279" t="b">
        <v>1</v>
      </c>
      <c r="I643" s="41" t="s">
        <v>296</v>
      </c>
      <c r="J643" s="41" t="s">
        <v>954</v>
      </c>
      <c r="K643" s="279" t="b">
        <v>0</v>
      </c>
      <c r="L643" s="279" t="b">
        <v>1</v>
      </c>
    </row>
    <row r="644" ht="14.25" hidden="1" customHeight="1" outlineLevel="1">
      <c r="A644" s="131" t="s">
        <v>40</v>
      </c>
      <c r="B644" s="132">
        <v>45648.0</v>
      </c>
      <c r="C644" s="41" t="s">
        <v>61</v>
      </c>
      <c r="D644" s="182">
        <v>1.0</v>
      </c>
      <c r="E644" s="183">
        <v>200.0</v>
      </c>
      <c r="F644" s="183">
        <v>200.0</v>
      </c>
      <c r="G644" s="183">
        <v>200.0</v>
      </c>
      <c r="H644" s="279" t="b">
        <v>1</v>
      </c>
      <c r="I644" s="143" t="s">
        <v>342</v>
      </c>
      <c r="J644" s="41" t="s">
        <v>330</v>
      </c>
      <c r="K644" s="279" t="b">
        <v>0</v>
      </c>
      <c r="L644" s="279" t="b">
        <v>1</v>
      </c>
    </row>
    <row r="645" ht="14.25" hidden="1" customHeight="1" outlineLevel="1">
      <c r="A645" s="131" t="s">
        <v>40</v>
      </c>
      <c r="B645" s="132">
        <v>45650.0</v>
      </c>
      <c r="C645" s="41" t="s">
        <v>171</v>
      </c>
      <c r="D645" s="182">
        <v>1.0</v>
      </c>
      <c r="E645" s="183">
        <v>203.3</v>
      </c>
      <c r="F645" s="183">
        <v>203.3</v>
      </c>
      <c r="G645" s="183">
        <v>203.3</v>
      </c>
      <c r="H645" s="279" t="b">
        <v>0</v>
      </c>
      <c r="I645" s="41" t="s">
        <v>172</v>
      </c>
      <c r="J645" s="41" t="s">
        <v>898</v>
      </c>
      <c r="K645" s="279" t="b">
        <v>1</v>
      </c>
      <c r="L645" s="279" t="b">
        <v>1</v>
      </c>
    </row>
    <row r="646" ht="14.25" hidden="1" customHeight="1" outlineLevel="1">
      <c r="A646" s="131" t="s">
        <v>40</v>
      </c>
      <c r="B646" s="132">
        <v>45650.0</v>
      </c>
      <c r="C646" s="41" t="s">
        <v>61</v>
      </c>
      <c r="D646" s="182">
        <v>1.0</v>
      </c>
      <c r="E646" s="183">
        <v>200.0</v>
      </c>
      <c r="F646" s="183">
        <v>200.0</v>
      </c>
      <c r="G646" s="183">
        <v>200.0</v>
      </c>
      <c r="H646" s="279" t="b">
        <v>1</v>
      </c>
      <c r="I646" s="143" t="s">
        <v>490</v>
      </c>
      <c r="J646" s="41" t="s">
        <v>972</v>
      </c>
      <c r="K646" s="279" t="b">
        <v>0</v>
      </c>
      <c r="L646" s="279" t="b">
        <v>1</v>
      </c>
    </row>
    <row r="647" ht="14.25" hidden="1" customHeight="1" outlineLevel="1">
      <c r="A647" s="131" t="s">
        <v>40</v>
      </c>
      <c r="B647" s="132">
        <v>45651.0</v>
      </c>
      <c r="C647" s="41" t="s">
        <v>61</v>
      </c>
      <c r="D647" s="182">
        <v>1.0</v>
      </c>
      <c r="E647" s="183">
        <v>200.0</v>
      </c>
      <c r="F647" s="183">
        <v>200.0</v>
      </c>
      <c r="G647" s="183">
        <v>200.0</v>
      </c>
      <c r="H647" s="279" t="b">
        <v>1</v>
      </c>
      <c r="I647" s="143" t="s">
        <v>490</v>
      </c>
      <c r="J647" s="41" t="s">
        <v>973</v>
      </c>
      <c r="K647" s="279" t="b">
        <v>0</v>
      </c>
      <c r="L647" s="279" t="b">
        <v>1</v>
      </c>
    </row>
    <row r="648" ht="14.25" hidden="1" customHeight="1" outlineLevel="1">
      <c r="A648" s="131" t="s">
        <v>40</v>
      </c>
      <c r="B648" s="132">
        <v>45652.0</v>
      </c>
      <c r="C648" s="41" t="s">
        <v>75</v>
      </c>
      <c r="D648" s="182">
        <v>5.0</v>
      </c>
      <c r="E648" s="183">
        <v>35.0</v>
      </c>
      <c r="F648" s="183">
        <f t="shared" ref="F648:F655" si="74">D648*E648</f>
        <v>175</v>
      </c>
      <c r="G648" s="183">
        <f t="shared" ref="G648:G649" si="75">F648</f>
        <v>175</v>
      </c>
      <c r="H648" s="279" t="b">
        <v>0</v>
      </c>
      <c r="I648" s="41" t="s">
        <v>599</v>
      </c>
      <c r="J648" s="41" t="s">
        <v>976</v>
      </c>
      <c r="K648" s="279" t="b">
        <v>0</v>
      </c>
      <c r="L648" s="279" t="b">
        <v>1</v>
      </c>
    </row>
    <row r="649" ht="14.25" hidden="1" customHeight="1" outlineLevel="1">
      <c r="A649" s="131" t="s">
        <v>40</v>
      </c>
      <c r="B649" s="132">
        <v>45652.0</v>
      </c>
      <c r="C649" s="41" t="s">
        <v>75</v>
      </c>
      <c r="D649" s="182">
        <v>2.0</v>
      </c>
      <c r="E649" s="183">
        <v>30.6</v>
      </c>
      <c r="F649" s="183">
        <f t="shared" si="74"/>
        <v>61.2</v>
      </c>
      <c r="G649" s="183">
        <f t="shared" si="75"/>
        <v>61.2</v>
      </c>
      <c r="H649" s="279" t="b">
        <v>0</v>
      </c>
      <c r="I649" s="41" t="s">
        <v>225</v>
      </c>
      <c r="J649" s="41" t="s">
        <v>978</v>
      </c>
      <c r="K649" s="279" t="b">
        <v>1</v>
      </c>
      <c r="L649" s="279" t="b">
        <v>1</v>
      </c>
    </row>
    <row r="650" ht="14.25" hidden="1" customHeight="1" outlineLevel="1">
      <c r="A650" s="131" t="s">
        <v>40</v>
      </c>
      <c r="B650" s="132">
        <v>45652.0</v>
      </c>
      <c r="C650" s="41" t="s">
        <v>55</v>
      </c>
      <c r="D650" s="182">
        <v>5.0</v>
      </c>
      <c r="E650" s="183">
        <v>7.7</v>
      </c>
      <c r="F650" s="183">
        <f t="shared" si="74"/>
        <v>38.5</v>
      </c>
      <c r="G650" s="196">
        <f>SUM(F650:F651)</f>
        <v>114.1</v>
      </c>
      <c r="H650" s="278" t="b">
        <v>0</v>
      </c>
      <c r="I650" s="54" t="s">
        <v>614</v>
      </c>
      <c r="J650" s="41" t="s">
        <v>981</v>
      </c>
      <c r="K650" s="278" t="b">
        <v>1</v>
      </c>
      <c r="L650" s="278" t="b">
        <v>1</v>
      </c>
    </row>
    <row r="651" ht="14.25" hidden="1" customHeight="1" outlineLevel="1">
      <c r="A651" s="131" t="s">
        <v>40</v>
      </c>
      <c r="B651" s="132">
        <v>45652.0</v>
      </c>
      <c r="C651" s="41" t="s">
        <v>55</v>
      </c>
      <c r="D651" s="182">
        <v>4.0</v>
      </c>
      <c r="E651" s="183">
        <v>18.9</v>
      </c>
      <c r="F651" s="183">
        <f t="shared" si="74"/>
        <v>75.6</v>
      </c>
      <c r="G651" s="10"/>
      <c r="H651" s="10"/>
      <c r="I651" s="10"/>
      <c r="J651" s="41" t="s">
        <v>982</v>
      </c>
      <c r="K651" s="10"/>
      <c r="L651" s="10"/>
    </row>
    <row r="652" ht="14.25" hidden="1" customHeight="1" outlineLevel="1">
      <c r="A652" s="131" t="s">
        <v>40</v>
      </c>
      <c r="B652" s="132">
        <v>45652.0</v>
      </c>
      <c r="C652" s="41" t="s">
        <v>116</v>
      </c>
      <c r="D652" s="182">
        <v>3.0</v>
      </c>
      <c r="E652" s="183">
        <v>7.25</v>
      </c>
      <c r="F652" s="183">
        <f t="shared" si="74"/>
        <v>21.75</v>
      </c>
      <c r="G652" s="196">
        <f>SUM(F652:F653)</f>
        <v>29.74</v>
      </c>
      <c r="H652" s="278" t="b">
        <v>0</v>
      </c>
      <c r="I652" s="54" t="s">
        <v>570</v>
      </c>
      <c r="J652" s="41" t="s">
        <v>985</v>
      </c>
      <c r="K652" s="278" t="b">
        <v>1</v>
      </c>
      <c r="L652" s="278" t="b">
        <v>1</v>
      </c>
    </row>
    <row r="653" ht="14.25" hidden="1" customHeight="1" outlineLevel="1">
      <c r="A653" s="131" t="s">
        <v>40</v>
      </c>
      <c r="B653" s="132">
        <v>45652.0</v>
      </c>
      <c r="C653" s="41" t="s">
        <v>116</v>
      </c>
      <c r="D653" s="182">
        <v>1.0</v>
      </c>
      <c r="E653" s="183">
        <v>7.99</v>
      </c>
      <c r="F653" s="183">
        <f t="shared" si="74"/>
        <v>7.99</v>
      </c>
      <c r="G653" s="10"/>
      <c r="H653" s="10"/>
      <c r="I653" s="10"/>
      <c r="J653" s="41" t="s">
        <v>986</v>
      </c>
      <c r="K653" s="10"/>
      <c r="L653" s="10"/>
    </row>
    <row r="654" ht="14.25" hidden="1" customHeight="1" outlineLevel="1">
      <c r="A654" s="131" t="s">
        <v>40</v>
      </c>
      <c r="B654" s="132">
        <v>45652.0</v>
      </c>
      <c r="C654" s="41" t="s">
        <v>315</v>
      </c>
      <c r="D654" s="182">
        <v>3.0</v>
      </c>
      <c r="E654" s="183">
        <v>46.99</v>
      </c>
      <c r="F654" s="183">
        <f t="shared" si="74"/>
        <v>140.97</v>
      </c>
      <c r="G654" s="183">
        <f t="shared" ref="G654:G655" si="76">F654</f>
        <v>140.97</v>
      </c>
      <c r="H654" s="279" t="b">
        <v>0</v>
      </c>
      <c r="I654" s="41" t="s">
        <v>570</v>
      </c>
      <c r="J654" s="41" t="s">
        <v>333</v>
      </c>
      <c r="K654" s="279" t="b">
        <v>1</v>
      </c>
      <c r="L654" s="279" t="b">
        <v>1</v>
      </c>
    </row>
    <row r="655" ht="14.25" hidden="1" customHeight="1" outlineLevel="1">
      <c r="A655" s="131" t="s">
        <v>40</v>
      </c>
      <c r="B655" s="132">
        <v>45652.0</v>
      </c>
      <c r="C655" s="41" t="s">
        <v>61</v>
      </c>
      <c r="D655" s="182">
        <v>1.0</v>
      </c>
      <c r="E655" s="183">
        <v>3650.0</v>
      </c>
      <c r="F655" s="183">
        <f t="shared" si="74"/>
        <v>3650</v>
      </c>
      <c r="G655" s="183">
        <f t="shared" si="76"/>
        <v>3650</v>
      </c>
      <c r="H655" s="279" t="b">
        <v>1</v>
      </c>
      <c r="I655" s="41" t="s">
        <v>119</v>
      </c>
      <c r="J655" s="41" t="s">
        <v>989</v>
      </c>
      <c r="K655" s="279" t="b">
        <v>0</v>
      </c>
      <c r="L655" s="279" t="b">
        <v>1</v>
      </c>
    </row>
    <row r="656" ht="14.25" hidden="1" customHeight="1" outlineLevel="1">
      <c r="A656" s="131" t="s">
        <v>40</v>
      </c>
      <c r="B656" s="132">
        <v>45653.0</v>
      </c>
      <c r="C656" s="41" t="s">
        <v>61</v>
      </c>
      <c r="D656" s="182">
        <v>1.0</v>
      </c>
      <c r="E656" s="183">
        <v>150.0</v>
      </c>
      <c r="F656" s="183">
        <v>150.0</v>
      </c>
      <c r="G656" s="183">
        <v>150.0</v>
      </c>
      <c r="H656" s="279" t="b">
        <v>1</v>
      </c>
      <c r="I656" s="41" t="s">
        <v>236</v>
      </c>
      <c r="J656" s="41" t="s">
        <v>954</v>
      </c>
      <c r="K656" s="279" t="b">
        <v>0</v>
      </c>
      <c r="L656" s="279" t="b">
        <v>1</v>
      </c>
    </row>
    <row r="657" ht="14.25" hidden="1" customHeight="1" outlineLevel="1">
      <c r="A657" s="131" t="s">
        <v>40</v>
      </c>
      <c r="B657" s="132">
        <v>45655.0</v>
      </c>
      <c r="C657" s="41" t="s">
        <v>61</v>
      </c>
      <c r="D657" s="182">
        <v>1.0</v>
      </c>
      <c r="E657" s="183">
        <v>200.0</v>
      </c>
      <c r="F657" s="183">
        <v>200.0</v>
      </c>
      <c r="G657" s="183">
        <v>200.0</v>
      </c>
      <c r="H657" s="279" t="b">
        <v>1</v>
      </c>
      <c r="I657" s="143" t="s">
        <v>342</v>
      </c>
      <c r="J657" s="41" t="s">
        <v>330</v>
      </c>
      <c r="K657" s="279" t="b">
        <v>0</v>
      </c>
      <c r="L657" s="279" t="b">
        <v>1</v>
      </c>
    </row>
    <row r="658" ht="14.25" hidden="1" customHeight="1" outlineLevel="1">
      <c r="A658" s="131" t="s">
        <v>40</v>
      </c>
      <c r="B658" s="132">
        <v>45657.0</v>
      </c>
      <c r="C658" s="41" t="s">
        <v>61</v>
      </c>
      <c r="D658" s="182">
        <v>1.0</v>
      </c>
      <c r="E658" s="183">
        <v>150.0</v>
      </c>
      <c r="F658" s="183">
        <v>150.0</v>
      </c>
      <c r="G658" s="183">
        <v>150.0</v>
      </c>
      <c r="H658" s="279" t="b">
        <v>1</v>
      </c>
      <c r="I658" s="41" t="s">
        <v>236</v>
      </c>
      <c r="J658" s="41" t="s">
        <v>955</v>
      </c>
      <c r="K658" s="279" t="b">
        <v>0</v>
      </c>
      <c r="L658" s="279" t="b">
        <v>1</v>
      </c>
    </row>
    <row r="659" ht="14.25" hidden="1" customHeight="1" outlineLevel="1">
      <c r="A659" s="131" t="s">
        <v>40</v>
      </c>
      <c r="B659" s="132">
        <v>45627.0</v>
      </c>
      <c r="C659" s="41"/>
      <c r="D659" s="182"/>
      <c r="E659" s="183"/>
      <c r="F659" s="183"/>
      <c r="G659" s="183"/>
      <c r="H659" s="279" t="b">
        <v>0</v>
      </c>
      <c r="I659" s="41"/>
      <c r="J659" s="41"/>
      <c r="K659" s="279" t="b">
        <v>0</v>
      </c>
      <c r="L659" s="279" t="b">
        <v>0</v>
      </c>
    </row>
    <row r="660" ht="14.25" hidden="1" customHeight="1" outlineLevel="1">
      <c r="A660" s="131" t="s">
        <v>40</v>
      </c>
      <c r="B660" s="132">
        <v>45627.0</v>
      </c>
      <c r="C660" s="41"/>
      <c r="D660" s="182"/>
      <c r="E660" s="183"/>
      <c r="F660" s="183"/>
      <c r="G660" s="183"/>
      <c r="H660" s="279" t="b">
        <v>0</v>
      </c>
      <c r="I660" s="41"/>
      <c r="J660" s="41"/>
      <c r="K660" s="279" t="b">
        <v>0</v>
      </c>
      <c r="L660" s="279" t="b">
        <v>0</v>
      </c>
    </row>
    <row r="661" ht="14.25" hidden="1" customHeight="1" outlineLevel="1">
      <c r="A661" s="131" t="s">
        <v>40</v>
      </c>
      <c r="B661" s="132">
        <v>45627.0</v>
      </c>
      <c r="C661" s="41"/>
      <c r="D661" s="182"/>
      <c r="E661" s="183"/>
      <c r="F661" s="183"/>
      <c r="G661" s="183"/>
      <c r="H661" s="279" t="b">
        <v>0</v>
      </c>
      <c r="I661" s="41"/>
      <c r="J661" s="41"/>
      <c r="K661" s="279" t="b">
        <v>0</v>
      </c>
      <c r="L661" s="279" t="b">
        <v>0</v>
      </c>
    </row>
    <row r="662" ht="14.25" customHeight="1">
      <c r="A662" s="180" t="s">
        <v>192</v>
      </c>
      <c r="B662" s="27"/>
      <c r="C662" s="27"/>
      <c r="D662" s="27"/>
      <c r="E662" s="28"/>
      <c r="F662" s="181">
        <f t="shared" ref="F662:G662" si="77">SUM(F624:F661)</f>
        <v>8669.53</v>
      </c>
      <c r="G662" s="181">
        <f t="shared" si="77"/>
        <v>8669.53</v>
      </c>
    </row>
    <row r="663" ht="14.25" customHeight="1" collapsed="1">
      <c r="A663" s="245" t="s">
        <v>888</v>
      </c>
      <c r="B663" s="246"/>
      <c r="C663" s="246"/>
      <c r="D663" s="246"/>
      <c r="E663" s="246"/>
      <c r="F663" s="246"/>
      <c r="G663" s="246"/>
      <c r="H663" s="246"/>
      <c r="I663" s="246"/>
      <c r="J663" s="247"/>
      <c r="K663" s="238"/>
      <c r="L663" s="238"/>
    </row>
    <row r="664" ht="14.25" hidden="1" customHeight="1" outlineLevel="1">
      <c r="A664" s="131" t="s">
        <v>39</v>
      </c>
      <c r="B664" s="132">
        <v>45658.0</v>
      </c>
      <c r="C664" s="41" t="s">
        <v>61</v>
      </c>
      <c r="D664" s="182">
        <v>1.0</v>
      </c>
      <c r="E664" s="183">
        <v>200.0</v>
      </c>
      <c r="F664" s="183">
        <v>200.0</v>
      </c>
      <c r="G664" s="183">
        <v>200.0</v>
      </c>
      <c r="H664" s="279" t="b">
        <v>1</v>
      </c>
      <c r="I664" s="143" t="s">
        <v>490</v>
      </c>
      <c r="J664" s="41" t="s">
        <v>68</v>
      </c>
      <c r="K664" s="279" t="b">
        <v>0</v>
      </c>
      <c r="L664" s="279" t="b">
        <v>1</v>
      </c>
    </row>
    <row r="665" ht="14.25" hidden="1" customHeight="1" outlineLevel="1">
      <c r="A665" s="131" t="s">
        <v>39</v>
      </c>
      <c r="B665" s="132">
        <v>45659.0</v>
      </c>
      <c r="C665" s="41" t="s">
        <v>80</v>
      </c>
      <c r="D665" s="182">
        <v>1.0</v>
      </c>
      <c r="E665" s="183">
        <v>30.0</v>
      </c>
      <c r="F665" s="183">
        <v>30.0</v>
      </c>
      <c r="G665" s="183">
        <v>30.0</v>
      </c>
      <c r="H665" s="279" t="b">
        <v>0</v>
      </c>
      <c r="I665" s="143" t="s">
        <v>481</v>
      </c>
      <c r="J665" s="41" t="s">
        <v>995</v>
      </c>
      <c r="K665" s="279" t="b">
        <v>1</v>
      </c>
      <c r="L665" s="279" t="b">
        <v>1</v>
      </c>
    </row>
    <row r="666" ht="14.25" hidden="1" customHeight="1" outlineLevel="1">
      <c r="A666" s="131" t="s">
        <v>39</v>
      </c>
      <c r="B666" s="132">
        <v>45660.0</v>
      </c>
      <c r="C666" s="41" t="s">
        <v>61</v>
      </c>
      <c r="D666" s="182">
        <v>1.0</v>
      </c>
      <c r="E666" s="183">
        <v>150.0</v>
      </c>
      <c r="F666" s="183">
        <v>150.0</v>
      </c>
      <c r="G666" s="183">
        <v>150.0</v>
      </c>
      <c r="H666" s="279" t="b">
        <v>1</v>
      </c>
      <c r="I666" s="41" t="s">
        <v>296</v>
      </c>
      <c r="J666" s="41" t="s">
        <v>954</v>
      </c>
      <c r="K666" s="279" t="b">
        <v>0</v>
      </c>
      <c r="L666" s="279" t="b">
        <v>1</v>
      </c>
    </row>
    <row r="667" ht="14.25" hidden="1" customHeight="1" outlineLevel="1">
      <c r="A667" s="131" t="s">
        <v>39</v>
      </c>
      <c r="B667" s="132">
        <v>45660.0</v>
      </c>
      <c r="C667" s="41" t="s">
        <v>93</v>
      </c>
      <c r="D667" s="182">
        <v>1.0</v>
      </c>
      <c r="E667" s="183">
        <v>183.0</v>
      </c>
      <c r="F667" s="183">
        <v>183.0</v>
      </c>
      <c r="G667" s="183">
        <v>183.0</v>
      </c>
      <c r="H667" s="279" t="b">
        <v>0</v>
      </c>
      <c r="I667" s="41" t="s">
        <v>337</v>
      </c>
      <c r="J667" s="41"/>
      <c r="K667" s="279" t="b">
        <v>1</v>
      </c>
      <c r="L667" s="279" t="b">
        <v>1</v>
      </c>
    </row>
    <row r="668" ht="14.25" hidden="1" customHeight="1" outlineLevel="1">
      <c r="A668" s="131" t="s">
        <v>39</v>
      </c>
      <c r="B668" s="132">
        <v>45662.0</v>
      </c>
      <c r="C668" s="41" t="s">
        <v>61</v>
      </c>
      <c r="D668" s="182">
        <v>1.0</v>
      </c>
      <c r="E668" s="183">
        <v>200.0</v>
      </c>
      <c r="F668" s="183">
        <v>200.0</v>
      </c>
      <c r="G668" s="183">
        <v>200.0</v>
      </c>
      <c r="H668" s="279" t="b">
        <v>1</v>
      </c>
      <c r="I668" s="143" t="s">
        <v>490</v>
      </c>
      <c r="J668" s="41" t="s">
        <v>63</v>
      </c>
      <c r="K668" s="279" t="b">
        <v>0</v>
      </c>
      <c r="L668" s="279" t="b">
        <v>1</v>
      </c>
    </row>
    <row r="669" ht="14.25" hidden="1" customHeight="1" outlineLevel="1">
      <c r="A669" s="131" t="s">
        <v>39</v>
      </c>
      <c r="B669" s="132">
        <v>45662.0</v>
      </c>
      <c r="C669" s="41" t="s">
        <v>61</v>
      </c>
      <c r="D669" s="182">
        <v>1.0</v>
      </c>
      <c r="E669" s="183">
        <v>200.0</v>
      </c>
      <c r="F669" s="183">
        <v>200.0</v>
      </c>
      <c r="G669" s="183">
        <v>200.0</v>
      </c>
      <c r="H669" s="279" t="b">
        <v>1</v>
      </c>
      <c r="I669" s="143" t="s">
        <v>413</v>
      </c>
      <c r="J669" s="41" t="s">
        <v>68</v>
      </c>
      <c r="K669" s="279" t="b">
        <v>0</v>
      </c>
      <c r="L669" s="279" t="b">
        <v>1</v>
      </c>
    </row>
    <row r="670" ht="14.25" hidden="1" customHeight="1" outlineLevel="1">
      <c r="A670" s="131" t="s">
        <v>39</v>
      </c>
      <c r="B670" s="132">
        <v>45664.0</v>
      </c>
      <c r="C670" s="41" t="s">
        <v>61</v>
      </c>
      <c r="D670" s="182">
        <v>1.0</v>
      </c>
      <c r="E670" s="183">
        <v>150.0</v>
      </c>
      <c r="F670" s="183">
        <v>150.0</v>
      </c>
      <c r="G670" s="183">
        <v>150.0</v>
      </c>
      <c r="H670" s="279" t="b">
        <v>1</v>
      </c>
      <c r="I670" s="41" t="s">
        <v>236</v>
      </c>
      <c r="J670" s="41" t="s">
        <v>955</v>
      </c>
      <c r="K670" s="279" t="b">
        <v>0</v>
      </c>
      <c r="L670" s="279" t="b">
        <v>1</v>
      </c>
    </row>
    <row r="671" ht="14.25" hidden="1" customHeight="1" outlineLevel="1">
      <c r="A671" s="131" t="s">
        <v>39</v>
      </c>
      <c r="B671" s="132">
        <v>45665.0</v>
      </c>
      <c r="C671" s="41" t="s">
        <v>58</v>
      </c>
      <c r="D671" s="182">
        <v>3.0</v>
      </c>
      <c r="E671" s="183">
        <v>9.1</v>
      </c>
      <c r="F671" s="183">
        <f>D671*E671</f>
        <v>27.3</v>
      </c>
      <c r="G671" s="183">
        <f>F671</f>
        <v>27.3</v>
      </c>
      <c r="H671" s="279" t="b">
        <v>0</v>
      </c>
      <c r="I671" s="143" t="s">
        <v>225</v>
      </c>
      <c r="J671" s="41" t="s">
        <v>997</v>
      </c>
      <c r="K671" s="279" t="b">
        <v>1</v>
      </c>
      <c r="L671" s="279" t="b">
        <v>1</v>
      </c>
    </row>
    <row r="672" ht="14.25" hidden="1" customHeight="1" outlineLevel="1">
      <c r="A672" s="131" t="s">
        <v>39</v>
      </c>
      <c r="B672" s="132">
        <v>45667.0</v>
      </c>
      <c r="C672" s="41" t="s">
        <v>61</v>
      </c>
      <c r="D672" s="182">
        <v>1.0</v>
      </c>
      <c r="E672" s="183">
        <v>150.0</v>
      </c>
      <c r="F672" s="183">
        <v>150.0</v>
      </c>
      <c r="G672" s="183">
        <v>150.0</v>
      </c>
      <c r="H672" s="279" t="b">
        <v>1</v>
      </c>
      <c r="I672" s="41" t="s">
        <v>236</v>
      </c>
      <c r="J672" s="41" t="s">
        <v>954</v>
      </c>
      <c r="K672" s="279" t="b">
        <v>0</v>
      </c>
      <c r="L672" s="279" t="b">
        <v>1</v>
      </c>
    </row>
    <row r="673" ht="14.25" hidden="1" customHeight="1" outlineLevel="1">
      <c r="A673" s="131" t="s">
        <v>39</v>
      </c>
      <c r="B673" s="132">
        <v>45668.0</v>
      </c>
      <c r="C673" s="41" t="s">
        <v>171</v>
      </c>
      <c r="D673" s="182">
        <v>1.0</v>
      </c>
      <c r="E673" s="183">
        <v>55.96</v>
      </c>
      <c r="F673" s="183">
        <v>55.96</v>
      </c>
      <c r="G673" s="183">
        <v>55.96</v>
      </c>
      <c r="H673" s="279" t="b">
        <v>0</v>
      </c>
      <c r="I673" s="143" t="s">
        <v>999</v>
      </c>
      <c r="J673" s="41" t="s">
        <v>1000</v>
      </c>
      <c r="K673" s="279" t="b">
        <v>1</v>
      </c>
      <c r="L673" s="279" t="b">
        <v>1</v>
      </c>
    </row>
    <row r="674" ht="14.25" hidden="1" customHeight="1" outlineLevel="1">
      <c r="A674" s="131" t="s">
        <v>39</v>
      </c>
      <c r="B674" s="132">
        <v>45669.0</v>
      </c>
      <c r="C674" s="41" t="s">
        <v>61</v>
      </c>
      <c r="D674" s="182">
        <v>1.0</v>
      </c>
      <c r="E674" s="183">
        <v>200.0</v>
      </c>
      <c r="F674" s="183">
        <v>200.0</v>
      </c>
      <c r="G674" s="183">
        <v>200.0</v>
      </c>
      <c r="H674" s="279" t="b">
        <v>1</v>
      </c>
      <c r="I674" s="143" t="s">
        <v>490</v>
      </c>
      <c r="J674" s="41" t="s">
        <v>329</v>
      </c>
      <c r="K674" s="279" t="b">
        <v>0</v>
      </c>
      <c r="L674" s="279" t="b">
        <v>1</v>
      </c>
    </row>
    <row r="675" ht="14.25" hidden="1" customHeight="1" outlineLevel="1">
      <c r="A675" s="131" t="s">
        <v>39</v>
      </c>
      <c r="B675" s="132">
        <v>45669.0</v>
      </c>
      <c r="C675" s="41" t="s">
        <v>61</v>
      </c>
      <c r="D675" s="182">
        <v>1.0</v>
      </c>
      <c r="E675" s="183">
        <v>200.0</v>
      </c>
      <c r="F675" s="183">
        <v>200.0</v>
      </c>
      <c r="G675" s="183">
        <v>200.0</v>
      </c>
      <c r="H675" s="279" t="b">
        <v>1</v>
      </c>
      <c r="I675" s="143" t="s">
        <v>342</v>
      </c>
      <c r="J675" s="41" t="s">
        <v>330</v>
      </c>
      <c r="K675" s="279" t="b">
        <v>0</v>
      </c>
      <c r="L675" s="279" t="b">
        <v>1</v>
      </c>
    </row>
    <row r="676" ht="14.25" hidden="1" customHeight="1" outlineLevel="1">
      <c r="A676" s="131" t="s">
        <v>39</v>
      </c>
      <c r="B676" s="132">
        <v>45670.0</v>
      </c>
      <c r="C676" s="41" t="s">
        <v>75</v>
      </c>
      <c r="D676" s="182">
        <v>3.0</v>
      </c>
      <c r="E676" s="183">
        <v>35.0</v>
      </c>
      <c r="F676" s="183">
        <f>E676*D676</f>
        <v>105</v>
      </c>
      <c r="G676" s="183">
        <f>F676</f>
        <v>105</v>
      </c>
      <c r="H676" s="279" t="b">
        <v>0</v>
      </c>
      <c r="I676" s="41" t="s">
        <v>599</v>
      </c>
      <c r="J676" s="41" t="s">
        <v>1003</v>
      </c>
      <c r="K676" s="279" t="b">
        <v>0</v>
      </c>
      <c r="L676" s="279" t="b">
        <v>1</v>
      </c>
    </row>
    <row r="677" ht="14.25" hidden="1" customHeight="1" outlineLevel="1">
      <c r="A677" s="131" t="s">
        <v>39</v>
      </c>
      <c r="B677" s="132">
        <v>45671.0</v>
      </c>
      <c r="C677" s="41" t="s">
        <v>61</v>
      </c>
      <c r="D677" s="182">
        <v>1.0</v>
      </c>
      <c r="E677" s="183">
        <v>150.0</v>
      </c>
      <c r="F677" s="183">
        <v>150.0</v>
      </c>
      <c r="G677" s="183">
        <v>150.0</v>
      </c>
      <c r="H677" s="279" t="b">
        <v>1</v>
      </c>
      <c r="I677" s="41" t="s">
        <v>236</v>
      </c>
      <c r="J677" s="41" t="s">
        <v>955</v>
      </c>
      <c r="K677" s="279" t="b">
        <v>0</v>
      </c>
      <c r="L677" s="279" t="b">
        <v>1</v>
      </c>
    </row>
    <row r="678" ht="14.25" hidden="1" customHeight="1" outlineLevel="1">
      <c r="A678" s="131" t="s">
        <v>39</v>
      </c>
      <c r="B678" s="132">
        <v>45674.0</v>
      </c>
      <c r="C678" s="41" t="s">
        <v>61</v>
      </c>
      <c r="D678" s="182">
        <v>1.0</v>
      </c>
      <c r="E678" s="183">
        <v>150.0</v>
      </c>
      <c r="F678" s="183">
        <v>150.0</v>
      </c>
      <c r="G678" s="183">
        <v>150.0</v>
      </c>
      <c r="H678" s="279" t="b">
        <v>1</v>
      </c>
      <c r="I678" s="41" t="s">
        <v>236</v>
      </c>
      <c r="J678" s="41" t="s">
        <v>954</v>
      </c>
      <c r="K678" s="279" t="b">
        <v>0</v>
      </c>
      <c r="L678" s="279" t="b">
        <v>1</v>
      </c>
    </row>
    <row r="679" ht="14.25" hidden="1" customHeight="1" outlineLevel="1">
      <c r="A679" s="131" t="s">
        <v>39</v>
      </c>
      <c r="B679" s="132">
        <v>45674.0</v>
      </c>
      <c r="C679" s="41" t="s">
        <v>69</v>
      </c>
      <c r="D679" s="182">
        <v>3.0</v>
      </c>
      <c r="E679" s="183">
        <v>4.99</v>
      </c>
      <c r="F679" s="183">
        <f t="shared" ref="F679:F680" si="78">D679*E679</f>
        <v>14.97</v>
      </c>
      <c r="G679" s="196">
        <f>SUM(F679:F680)</f>
        <v>28.86</v>
      </c>
      <c r="H679" s="278" t="b">
        <v>0</v>
      </c>
      <c r="I679" s="54" t="s">
        <v>386</v>
      </c>
      <c r="J679" s="41" t="s">
        <v>69</v>
      </c>
      <c r="K679" s="278" t="b">
        <v>1</v>
      </c>
      <c r="L679" s="278" t="b">
        <v>1</v>
      </c>
    </row>
    <row r="680" ht="14.25" hidden="1" customHeight="1" outlineLevel="1">
      <c r="A680" s="131" t="s">
        <v>39</v>
      </c>
      <c r="B680" s="132">
        <v>45674.0</v>
      </c>
      <c r="C680" s="41" t="s">
        <v>112</v>
      </c>
      <c r="D680" s="182">
        <v>1.0</v>
      </c>
      <c r="E680" s="183">
        <v>13.89</v>
      </c>
      <c r="F680" s="183">
        <f t="shared" si="78"/>
        <v>13.89</v>
      </c>
      <c r="G680" s="10"/>
      <c r="H680" s="10"/>
      <c r="I680" s="10"/>
      <c r="J680" s="41" t="s">
        <v>1009</v>
      </c>
      <c r="K680" s="10"/>
      <c r="L680" s="10"/>
    </row>
    <row r="681" ht="14.25" hidden="1" customHeight="1" outlineLevel="1">
      <c r="A681" s="131" t="s">
        <v>39</v>
      </c>
      <c r="B681" s="132">
        <v>45676.0</v>
      </c>
      <c r="C681" s="41" t="s">
        <v>61</v>
      </c>
      <c r="D681" s="182">
        <v>1.0</v>
      </c>
      <c r="E681" s="183">
        <v>200.0</v>
      </c>
      <c r="F681" s="183">
        <v>200.0</v>
      </c>
      <c r="G681" s="183">
        <v>200.0</v>
      </c>
      <c r="H681" s="279" t="b">
        <v>1</v>
      </c>
      <c r="I681" s="143" t="s">
        <v>490</v>
      </c>
      <c r="J681" s="41" t="s">
        <v>63</v>
      </c>
      <c r="K681" s="279" t="b">
        <v>0</v>
      </c>
      <c r="L681" s="279" t="b">
        <v>1</v>
      </c>
    </row>
    <row r="682" ht="14.25" hidden="1" customHeight="1" outlineLevel="1">
      <c r="A682" s="131" t="s">
        <v>39</v>
      </c>
      <c r="B682" s="132">
        <v>45676.0</v>
      </c>
      <c r="C682" s="41" t="s">
        <v>61</v>
      </c>
      <c r="D682" s="182">
        <v>1.0</v>
      </c>
      <c r="E682" s="183">
        <v>200.0</v>
      </c>
      <c r="F682" s="183">
        <v>200.0</v>
      </c>
      <c r="G682" s="183">
        <v>200.0</v>
      </c>
      <c r="H682" s="279" t="b">
        <v>1</v>
      </c>
      <c r="I682" s="143" t="s">
        <v>820</v>
      </c>
      <c r="J682" s="41" t="s">
        <v>68</v>
      </c>
      <c r="K682" s="279" t="b">
        <v>0</v>
      </c>
      <c r="L682" s="279" t="b">
        <v>1</v>
      </c>
    </row>
    <row r="683" ht="14.25" hidden="1" customHeight="1" outlineLevel="1">
      <c r="A683" s="131" t="s">
        <v>39</v>
      </c>
      <c r="B683" s="132">
        <v>45677.0</v>
      </c>
      <c r="C683" s="41" t="s">
        <v>80</v>
      </c>
      <c r="D683" s="182">
        <v>1.0</v>
      </c>
      <c r="E683" s="183">
        <v>15.0</v>
      </c>
      <c r="F683" s="183">
        <f>D683*E683</f>
        <v>15</v>
      </c>
      <c r="G683" s="183">
        <f>F683</f>
        <v>15</v>
      </c>
      <c r="H683" s="279" t="b">
        <v>0</v>
      </c>
      <c r="I683" s="41" t="s">
        <v>481</v>
      </c>
      <c r="J683" s="41" t="s">
        <v>1013</v>
      </c>
      <c r="K683" s="279" t="b">
        <v>1</v>
      </c>
      <c r="L683" s="279" t="b">
        <v>1</v>
      </c>
    </row>
    <row r="684" ht="14.25" hidden="1" customHeight="1" outlineLevel="1">
      <c r="A684" s="131" t="s">
        <v>39</v>
      </c>
      <c r="B684" s="132">
        <v>45678.0</v>
      </c>
      <c r="C684" s="41" t="s">
        <v>61</v>
      </c>
      <c r="D684" s="182">
        <v>1.0</v>
      </c>
      <c r="E684" s="183">
        <v>150.0</v>
      </c>
      <c r="F684" s="183">
        <v>150.0</v>
      </c>
      <c r="G684" s="183">
        <v>150.0</v>
      </c>
      <c r="H684" s="279" t="b">
        <v>1</v>
      </c>
      <c r="I684" s="41" t="s">
        <v>236</v>
      </c>
      <c r="J684" s="41" t="s">
        <v>955</v>
      </c>
      <c r="K684" s="279" t="b">
        <v>0</v>
      </c>
      <c r="L684" s="279" t="b">
        <v>1</v>
      </c>
    </row>
    <row r="685" ht="14.25" hidden="1" customHeight="1" outlineLevel="1">
      <c r="A685" s="131" t="s">
        <v>39</v>
      </c>
      <c r="B685" s="132">
        <v>45680.0</v>
      </c>
      <c r="C685" s="41" t="s">
        <v>93</v>
      </c>
      <c r="D685" s="182">
        <v>1.0</v>
      </c>
      <c r="E685" s="183">
        <v>113.0</v>
      </c>
      <c r="F685" s="183">
        <f>D685*E685</f>
        <v>113</v>
      </c>
      <c r="G685" s="183">
        <f>F685</f>
        <v>113</v>
      </c>
      <c r="H685" s="279" t="b">
        <v>0</v>
      </c>
      <c r="I685" s="41" t="s">
        <v>337</v>
      </c>
      <c r="J685" s="41"/>
      <c r="K685" s="279" t="b">
        <v>1</v>
      </c>
      <c r="L685" s="279" t="b">
        <v>1</v>
      </c>
    </row>
    <row r="686" ht="14.25" hidden="1" customHeight="1" outlineLevel="1">
      <c r="A686" s="131" t="s">
        <v>39</v>
      </c>
      <c r="B686" s="132">
        <v>45681.0</v>
      </c>
      <c r="C686" s="41" t="s">
        <v>61</v>
      </c>
      <c r="D686" s="182">
        <v>1.0</v>
      </c>
      <c r="E686" s="183">
        <v>150.0</v>
      </c>
      <c r="F686" s="183">
        <v>150.0</v>
      </c>
      <c r="G686" s="183">
        <v>150.0</v>
      </c>
      <c r="H686" s="279" t="b">
        <v>1</v>
      </c>
      <c r="I686" s="41" t="s">
        <v>236</v>
      </c>
      <c r="J686" s="41" t="s">
        <v>954</v>
      </c>
      <c r="K686" s="279" t="b">
        <v>0</v>
      </c>
      <c r="L686" s="279" t="b">
        <v>1</v>
      </c>
    </row>
    <row r="687" ht="14.25" hidden="1" customHeight="1" outlineLevel="1">
      <c r="A687" s="131" t="s">
        <v>39</v>
      </c>
      <c r="B687" s="132">
        <v>45683.0</v>
      </c>
      <c r="C687" s="41" t="s">
        <v>61</v>
      </c>
      <c r="D687" s="182">
        <v>1.0</v>
      </c>
      <c r="E687" s="183">
        <v>200.0</v>
      </c>
      <c r="F687" s="183">
        <v>200.0</v>
      </c>
      <c r="G687" s="183">
        <v>200.0</v>
      </c>
      <c r="H687" s="279" t="b">
        <v>1</v>
      </c>
      <c r="I687" s="143" t="s">
        <v>490</v>
      </c>
      <c r="J687" s="41" t="s">
        <v>63</v>
      </c>
      <c r="K687" s="279" t="b">
        <v>0</v>
      </c>
      <c r="L687" s="279" t="b">
        <v>1</v>
      </c>
    </row>
    <row r="688" ht="14.25" hidden="1" customHeight="1" outlineLevel="1">
      <c r="A688" s="131" t="s">
        <v>39</v>
      </c>
      <c r="B688" s="132">
        <v>45683.0</v>
      </c>
      <c r="C688" s="41" t="s">
        <v>61</v>
      </c>
      <c r="D688" s="182">
        <v>1.0</v>
      </c>
      <c r="E688" s="183">
        <v>200.0</v>
      </c>
      <c r="F688" s="183">
        <v>200.0</v>
      </c>
      <c r="G688" s="183">
        <v>200.0</v>
      </c>
      <c r="H688" s="279" t="b">
        <v>1</v>
      </c>
      <c r="I688" s="143" t="s">
        <v>342</v>
      </c>
      <c r="J688" s="41" t="s">
        <v>68</v>
      </c>
      <c r="K688" s="279" t="b">
        <v>0</v>
      </c>
      <c r="L688" s="279" t="b">
        <v>1</v>
      </c>
    </row>
    <row r="689" ht="14.25" hidden="1" customHeight="1" outlineLevel="1">
      <c r="A689" s="131" t="s">
        <v>39</v>
      </c>
      <c r="B689" s="132">
        <v>45685.0</v>
      </c>
      <c r="C689" s="41" t="s">
        <v>61</v>
      </c>
      <c r="D689" s="182">
        <v>1.0</v>
      </c>
      <c r="E689" s="183">
        <v>150.0</v>
      </c>
      <c r="F689" s="183">
        <v>150.0</v>
      </c>
      <c r="G689" s="183">
        <v>150.0</v>
      </c>
      <c r="H689" s="279" t="b">
        <v>1</v>
      </c>
      <c r="I689" s="41" t="s">
        <v>236</v>
      </c>
      <c r="J689" s="41" t="s">
        <v>955</v>
      </c>
      <c r="K689" s="279" t="b">
        <v>0</v>
      </c>
      <c r="L689" s="279" t="b">
        <v>1</v>
      </c>
    </row>
    <row r="690" ht="14.25" hidden="1" customHeight="1" outlineLevel="1">
      <c r="A690" s="131" t="s">
        <v>39</v>
      </c>
      <c r="B690" s="132">
        <v>45685.0</v>
      </c>
      <c r="C690" s="41" t="s">
        <v>61</v>
      </c>
      <c r="D690" s="182">
        <v>1.0</v>
      </c>
      <c r="E690" s="183">
        <v>3750.0</v>
      </c>
      <c r="F690" s="183">
        <f>D690*E690</f>
        <v>3750</v>
      </c>
      <c r="G690" s="183">
        <f>F690</f>
        <v>3750</v>
      </c>
      <c r="H690" s="279" t="b">
        <v>1</v>
      </c>
      <c r="I690" s="143" t="s">
        <v>119</v>
      </c>
      <c r="J690" s="41" t="s">
        <v>1022</v>
      </c>
      <c r="K690" s="279" t="b">
        <v>0</v>
      </c>
      <c r="L690" s="279" t="b">
        <v>1</v>
      </c>
    </row>
    <row r="691" ht="14.25" hidden="1" customHeight="1" outlineLevel="1">
      <c r="A691" s="131" t="s">
        <v>39</v>
      </c>
      <c r="B691" s="132">
        <v>45688.0</v>
      </c>
      <c r="C691" s="41" t="s">
        <v>61</v>
      </c>
      <c r="D691" s="182">
        <v>1.0</v>
      </c>
      <c r="E691" s="183">
        <v>150.0</v>
      </c>
      <c r="F691" s="183">
        <v>150.0</v>
      </c>
      <c r="G691" s="183">
        <v>150.0</v>
      </c>
      <c r="H691" s="279" t="b">
        <v>1</v>
      </c>
      <c r="I691" s="41" t="s">
        <v>236</v>
      </c>
      <c r="J691" s="41" t="s">
        <v>954</v>
      </c>
      <c r="K691" s="279" t="b">
        <v>0</v>
      </c>
      <c r="L691" s="279" t="b">
        <v>1</v>
      </c>
    </row>
    <row r="692" ht="14.25" hidden="1" customHeight="1" outlineLevel="1">
      <c r="A692" s="131" t="s">
        <v>39</v>
      </c>
      <c r="B692" s="132">
        <v>45658.0</v>
      </c>
      <c r="C692" s="41"/>
      <c r="D692" s="182"/>
      <c r="E692" s="183"/>
      <c r="F692" s="183"/>
      <c r="G692" s="183"/>
      <c r="H692" s="279" t="b">
        <v>0</v>
      </c>
      <c r="I692" s="41"/>
      <c r="J692" s="41"/>
      <c r="K692" s="279" t="b">
        <v>0</v>
      </c>
      <c r="L692" s="279" t="b">
        <v>0</v>
      </c>
    </row>
    <row r="693" ht="14.25" hidden="1" customHeight="1" outlineLevel="1">
      <c r="A693" s="131" t="s">
        <v>39</v>
      </c>
      <c r="B693" s="132">
        <v>45658.0</v>
      </c>
      <c r="C693" s="41"/>
      <c r="D693" s="182"/>
      <c r="E693" s="183"/>
      <c r="F693" s="183"/>
      <c r="G693" s="183"/>
      <c r="H693" s="279" t="b">
        <v>0</v>
      </c>
      <c r="I693" s="41"/>
      <c r="J693" s="41"/>
      <c r="K693" s="279" t="b">
        <v>0</v>
      </c>
      <c r="L693" s="279" t="b">
        <v>0</v>
      </c>
    </row>
    <row r="694" ht="14.25" hidden="1" customHeight="1" outlineLevel="1">
      <c r="A694" s="131" t="s">
        <v>39</v>
      </c>
      <c r="B694" s="132">
        <v>45658.0</v>
      </c>
      <c r="C694" s="41"/>
      <c r="D694" s="182"/>
      <c r="E694" s="183"/>
      <c r="F694" s="183"/>
      <c r="G694" s="183"/>
      <c r="H694" s="279" t="b">
        <v>0</v>
      </c>
      <c r="I694" s="41"/>
      <c r="J694" s="41"/>
      <c r="K694" s="279" t="b">
        <v>0</v>
      </c>
      <c r="L694" s="279" t="b">
        <v>0</v>
      </c>
    </row>
    <row r="695" ht="14.25" customHeight="1">
      <c r="A695" s="180" t="s">
        <v>192</v>
      </c>
      <c r="B695" s="27"/>
      <c r="C695" s="27"/>
      <c r="D695" s="27"/>
      <c r="E695" s="28"/>
      <c r="F695" s="181">
        <f t="shared" ref="F695:G695" si="79">SUM(F664:F694)</f>
        <v>7458.12</v>
      </c>
      <c r="G695" s="181">
        <f t="shared" si="79"/>
        <v>7458.12</v>
      </c>
    </row>
    <row r="696" ht="14.25" customHeight="1" collapsed="1">
      <c r="A696" s="245" t="s">
        <v>927</v>
      </c>
      <c r="B696" s="246"/>
      <c r="C696" s="246"/>
      <c r="D696" s="246"/>
      <c r="E696" s="246"/>
      <c r="F696" s="246"/>
      <c r="G696" s="246"/>
      <c r="H696" s="246"/>
      <c r="I696" s="246"/>
      <c r="J696" s="247"/>
      <c r="K696" s="238"/>
      <c r="L696" s="238"/>
    </row>
    <row r="697" ht="14.25" hidden="1" customHeight="1" outlineLevel="1">
      <c r="A697" s="131" t="s">
        <v>38</v>
      </c>
      <c r="B697" s="132">
        <v>45690.0</v>
      </c>
      <c r="C697" s="41" t="s">
        <v>61</v>
      </c>
      <c r="D697" s="182">
        <v>1.0</v>
      </c>
      <c r="E697" s="183">
        <v>200.0</v>
      </c>
      <c r="F697" s="183">
        <v>200.0</v>
      </c>
      <c r="G697" s="183">
        <v>200.0</v>
      </c>
      <c r="H697" s="279" t="b">
        <v>1</v>
      </c>
      <c r="I697" s="143" t="s">
        <v>490</v>
      </c>
      <c r="J697" s="41" t="s">
        <v>513</v>
      </c>
      <c r="K697" s="279" t="b">
        <v>0</v>
      </c>
      <c r="L697" s="279" t="b">
        <v>1</v>
      </c>
    </row>
    <row r="698" ht="14.25" hidden="1" customHeight="1" outlineLevel="1">
      <c r="A698" s="131" t="s">
        <v>38</v>
      </c>
      <c r="B698" s="132">
        <v>45690.0</v>
      </c>
      <c r="C698" s="41" t="s">
        <v>61</v>
      </c>
      <c r="D698" s="182">
        <v>1.0</v>
      </c>
      <c r="E698" s="183">
        <v>200.0</v>
      </c>
      <c r="F698" s="183">
        <v>200.0</v>
      </c>
      <c r="G698" s="183">
        <v>200.0</v>
      </c>
      <c r="H698" s="279" t="b">
        <v>1</v>
      </c>
      <c r="I698" s="143" t="s">
        <v>490</v>
      </c>
      <c r="J698" s="41" t="s">
        <v>513</v>
      </c>
      <c r="K698" s="279" t="b">
        <v>0</v>
      </c>
      <c r="L698" s="279" t="b">
        <v>1</v>
      </c>
    </row>
    <row r="699" ht="14.25" hidden="1" customHeight="1" outlineLevel="1">
      <c r="A699" s="131" t="s">
        <v>38</v>
      </c>
      <c r="B699" s="132">
        <v>45691.0</v>
      </c>
      <c r="C699" s="41" t="s">
        <v>97</v>
      </c>
      <c r="D699" s="182">
        <v>1.0</v>
      </c>
      <c r="E699" s="183">
        <v>150.0</v>
      </c>
      <c r="F699" s="183">
        <v>150.0</v>
      </c>
      <c r="G699" s="183">
        <v>150.0</v>
      </c>
      <c r="H699" s="279"/>
      <c r="I699" s="143" t="s">
        <v>1027</v>
      </c>
      <c r="J699" s="41" t="s">
        <v>1028</v>
      </c>
      <c r="K699" s="279" t="b">
        <v>0</v>
      </c>
      <c r="L699" s="279" t="b">
        <v>1</v>
      </c>
    </row>
    <row r="700" ht="14.25" hidden="1" customHeight="1" outlineLevel="1">
      <c r="A700" s="131" t="s">
        <v>38</v>
      </c>
      <c r="B700" s="132">
        <v>45692.0</v>
      </c>
      <c r="C700" s="41" t="s">
        <v>61</v>
      </c>
      <c r="D700" s="182">
        <v>1.0</v>
      </c>
      <c r="E700" s="183">
        <v>150.0</v>
      </c>
      <c r="F700" s="183">
        <v>150.0</v>
      </c>
      <c r="G700" s="183">
        <v>150.0</v>
      </c>
      <c r="H700" s="279" t="b">
        <v>1</v>
      </c>
      <c r="I700" s="41" t="s">
        <v>236</v>
      </c>
      <c r="J700" s="41" t="s">
        <v>955</v>
      </c>
      <c r="K700" s="279" t="b">
        <v>0</v>
      </c>
      <c r="L700" s="279" t="b">
        <v>1</v>
      </c>
    </row>
    <row r="701" ht="14.25" hidden="1" customHeight="1" outlineLevel="1">
      <c r="A701" s="131" t="s">
        <v>38</v>
      </c>
      <c r="B701" s="132">
        <v>45692.0</v>
      </c>
      <c r="C701" s="41" t="s">
        <v>80</v>
      </c>
      <c r="D701" s="182">
        <v>2.0</v>
      </c>
      <c r="E701" s="183">
        <v>15.0</v>
      </c>
      <c r="F701" s="183">
        <f t="shared" ref="F701:F702" si="80">D701*E701</f>
        <v>30</v>
      </c>
      <c r="G701" s="183">
        <f t="shared" ref="G701:G702" si="81">F701</f>
        <v>30</v>
      </c>
      <c r="H701" s="279"/>
      <c r="I701" s="143" t="s">
        <v>481</v>
      </c>
      <c r="J701" s="41" t="s">
        <v>1030</v>
      </c>
      <c r="K701" s="279" t="b">
        <v>1</v>
      </c>
      <c r="L701" s="279" t="b">
        <v>1</v>
      </c>
    </row>
    <row r="702" ht="14.25" hidden="1" customHeight="1" outlineLevel="1">
      <c r="A702" s="131" t="s">
        <v>38</v>
      </c>
      <c r="B702" s="132">
        <v>45694.0</v>
      </c>
      <c r="C702" s="41" t="s">
        <v>315</v>
      </c>
      <c r="D702" s="182">
        <v>2.0</v>
      </c>
      <c r="E702" s="183">
        <v>49.99</v>
      </c>
      <c r="F702" s="183">
        <f t="shared" si="80"/>
        <v>99.98</v>
      </c>
      <c r="G702" s="183">
        <f t="shared" si="81"/>
        <v>99.98</v>
      </c>
      <c r="H702" s="279"/>
      <c r="I702" s="143" t="s">
        <v>1031</v>
      </c>
      <c r="J702" s="41" t="s">
        <v>333</v>
      </c>
      <c r="K702" s="279" t="b">
        <v>1</v>
      </c>
      <c r="L702" s="279" t="b">
        <v>1</v>
      </c>
    </row>
    <row r="703" ht="14.25" hidden="1" customHeight="1" outlineLevel="1">
      <c r="A703" s="131" t="s">
        <v>38</v>
      </c>
      <c r="B703" s="132">
        <v>45695.0</v>
      </c>
      <c r="C703" s="41" t="s">
        <v>61</v>
      </c>
      <c r="D703" s="182">
        <v>1.0</v>
      </c>
      <c r="E703" s="183">
        <v>150.0</v>
      </c>
      <c r="F703" s="183">
        <v>150.0</v>
      </c>
      <c r="G703" s="183">
        <v>150.0</v>
      </c>
      <c r="H703" s="279" t="b">
        <v>1</v>
      </c>
      <c r="I703" s="41" t="s">
        <v>236</v>
      </c>
      <c r="J703" s="41" t="s">
        <v>954</v>
      </c>
      <c r="K703" s="279" t="b">
        <v>0</v>
      </c>
      <c r="L703" s="279" t="b">
        <v>1</v>
      </c>
    </row>
    <row r="704" ht="14.25" hidden="1" customHeight="1" outlineLevel="1">
      <c r="A704" s="131" t="s">
        <v>38</v>
      </c>
      <c r="B704" s="132">
        <v>45692.0</v>
      </c>
      <c r="C704" s="41" t="s">
        <v>75</v>
      </c>
      <c r="D704" s="182">
        <v>3.0</v>
      </c>
      <c r="E704" s="183">
        <v>40.0</v>
      </c>
      <c r="F704" s="183">
        <f t="shared" ref="F704:F708" si="82">D704*E704</f>
        <v>120</v>
      </c>
      <c r="G704" s="196">
        <f>F704+F705</f>
        <v>190</v>
      </c>
      <c r="H704" s="278"/>
      <c r="I704" s="164" t="s">
        <v>76</v>
      </c>
      <c r="J704" s="41" t="s">
        <v>1032</v>
      </c>
      <c r="K704" s="278" t="b">
        <v>0</v>
      </c>
      <c r="L704" s="278" t="b">
        <v>1</v>
      </c>
    </row>
    <row r="705" ht="14.25" hidden="1" customHeight="1" outlineLevel="1">
      <c r="A705" s="131" t="s">
        <v>38</v>
      </c>
      <c r="B705" s="132">
        <v>45692.0</v>
      </c>
      <c r="C705" s="41" t="s">
        <v>75</v>
      </c>
      <c r="D705" s="182">
        <v>2.0</v>
      </c>
      <c r="E705" s="183">
        <v>35.0</v>
      </c>
      <c r="F705" s="183">
        <f t="shared" si="82"/>
        <v>70</v>
      </c>
      <c r="G705" s="10"/>
      <c r="H705" s="10"/>
      <c r="I705" s="74"/>
      <c r="J705" s="41" t="s">
        <v>1034</v>
      </c>
      <c r="K705" s="10"/>
      <c r="L705" s="10"/>
    </row>
    <row r="706" ht="14.25" hidden="1" customHeight="1" outlineLevel="1">
      <c r="A706" s="131" t="s">
        <v>38</v>
      </c>
      <c r="B706" s="132">
        <v>45695.0</v>
      </c>
      <c r="C706" s="41" t="s">
        <v>55</v>
      </c>
      <c r="D706" s="182">
        <v>2.0</v>
      </c>
      <c r="E706" s="183">
        <v>290.0</v>
      </c>
      <c r="F706" s="183">
        <f t="shared" si="82"/>
        <v>580</v>
      </c>
      <c r="G706" s="196">
        <f>SUM(F706:F708)</f>
        <v>704</v>
      </c>
      <c r="H706" s="278"/>
      <c r="I706" s="164" t="s">
        <v>1036</v>
      </c>
      <c r="J706" s="41" t="s">
        <v>1037</v>
      </c>
      <c r="K706" s="278" t="b">
        <v>1</v>
      </c>
      <c r="L706" s="278" t="b">
        <v>0</v>
      </c>
    </row>
    <row r="707" ht="14.25" hidden="1" customHeight="1" outlineLevel="1">
      <c r="A707" s="131" t="s">
        <v>38</v>
      </c>
      <c r="B707" s="132">
        <v>45695.0</v>
      </c>
      <c r="C707" s="41" t="s">
        <v>231</v>
      </c>
      <c r="D707" s="182">
        <v>1.0</v>
      </c>
      <c r="E707" s="183">
        <v>18.0</v>
      </c>
      <c r="F707" s="183">
        <f t="shared" si="82"/>
        <v>18</v>
      </c>
      <c r="G707" s="58"/>
      <c r="H707" s="58"/>
      <c r="I707" s="194"/>
      <c r="J707" s="41" t="s">
        <v>1038</v>
      </c>
      <c r="K707" s="58"/>
      <c r="L707" s="58"/>
    </row>
    <row r="708" ht="13.5" hidden="1" customHeight="1" outlineLevel="1">
      <c r="A708" s="131" t="s">
        <v>38</v>
      </c>
      <c r="B708" s="132">
        <v>45695.0</v>
      </c>
      <c r="C708" s="41" t="s">
        <v>231</v>
      </c>
      <c r="D708" s="182">
        <v>2.0</v>
      </c>
      <c r="E708" s="183">
        <v>53.0</v>
      </c>
      <c r="F708" s="183">
        <f t="shared" si="82"/>
        <v>106</v>
      </c>
      <c r="G708" s="10"/>
      <c r="H708" s="10"/>
      <c r="I708" s="74"/>
      <c r="J708" s="41" t="s">
        <v>1039</v>
      </c>
      <c r="K708" s="10"/>
      <c r="L708" s="10"/>
    </row>
    <row r="709" ht="14.25" hidden="1" customHeight="1" outlineLevel="1">
      <c r="A709" s="131" t="s">
        <v>38</v>
      </c>
      <c r="B709" s="132">
        <v>45697.0</v>
      </c>
      <c r="C709" s="41" t="s">
        <v>61</v>
      </c>
      <c r="D709" s="182">
        <v>1.0</v>
      </c>
      <c r="E709" s="183">
        <v>200.0</v>
      </c>
      <c r="F709" s="183">
        <v>200.0</v>
      </c>
      <c r="G709" s="183">
        <v>200.0</v>
      </c>
      <c r="H709" s="279" t="b">
        <v>1</v>
      </c>
      <c r="I709" s="143" t="s">
        <v>490</v>
      </c>
      <c r="J709" s="41" t="s">
        <v>513</v>
      </c>
      <c r="K709" s="279" t="b">
        <v>0</v>
      </c>
      <c r="L709" s="279" t="b">
        <v>1</v>
      </c>
    </row>
    <row r="710" ht="14.25" hidden="1" customHeight="1" outlineLevel="1">
      <c r="A710" s="131" t="s">
        <v>38</v>
      </c>
      <c r="B710" s="132">
        <v>45697.0</v>
      </c>
      <c r="C710" s="41" t="s">
        <v>61</v>
      </c>
      <c r="D710" s="182">
        <v>1.0</v>
      </c>
      <c r="E710" s="183">
        <v>200.0</v>
      </c>
      <c r="F710" s="183">
        <v>200.0</v>
      </c>
      <c r="G710" s="183">
        <v>200.0</v>
      </c>
      <c r="H710" s="279" t="b">
        <v>1</v>
      </c>
      <c r="I710" s="143" t="s">
        <v>342</v>
      </c>
      <c r="J710" s="41" t="s">
        <v>514</v>
      </c>
      <c r="K710" s="279" t="b">
        <v>0</v>
      </c>
      <c r="L710" s="279" t="b">
        <v>1</v>
      </c>
    </row>
    <row r="711" ht="13.5" hidden="1" customHeight="1" outlineLevel="1">
      <c r="A711" s="131" t="s">
        <v>38</v>
      </c>
      <c r="B711" s="132">
        <v>45698.0</v>
      </c>
      <c r="C711" s="41" t="s">
        <v>93</v>
      </c>
      <c r="D711" s="182">
        <v>1.0</v>
      </c>
      <c r="E711" s="183">
        <v>120.0</v>
      </c>
      <c r="F711" s="183">
        <f t="shared" ref="F711:F712" si="83">D711*E711</f>
        <v>120</v>
      </c>
      <c r="G711" s="183">
        <f t="shared" ref="G711:G712" si="84">F711</f>
        <v>120</v>
      </c>
      <c r="H711" s="279"/>
      <c r="I711" s="143" t="s">
        <v>337</v>
      </c>
      <c r="J711" s="41" t="s">
        <v>1041</v>
      </c>
      <c r="K711" s="279" t="b">
        <v>1</v>
      </c>
      <c r="L711" s="279" t="b">
        <v>1</v>
      </c>
    </row>
    <row r="712" ht="13.5" hidden="1" customHeight="1" outlineLevel="1">
      <c r="A712" s="131" t="s">
        <v>38</v>
      </c>
      <c r="B712" s="132">
        <v>45698.0</v>
      </c>
      <c r="C712" s="41" t="s">
        <v>231</v>
      </c>
      <c r="D712" s="182">
        <v>1.0</v>
      </c>
      <c r="E712" s="183">
        <v>269.9</v>
      </c>
      <c r="F712" s="183">
        <f t="shared" si="83"/>
        <v>269.9</v>
      </c>
      <c r="G712" s="183">
        <f t="shared" si="84"/>
        <v>269.9</v>
      </c>
      <c r="H712" s="279"/>
      <c r="I712" s="143" t="s">
        <v>889</v>
      </c>
      <c r="J712" s="41" t="s">
        <v>1043</v>
      </c>
      <c r="K712" s="279" t="b">
        <v>1</v>
      </c>
      <c r="L712" s="279" t="b">
        <v>1</v>
      </c>
    </row>
    <row r="713" ht="14.25" hidden="1" customHeight="1" outlineLevel="1">
      <c r="A713" s="131" t="s">
        <v>38</v>
      </c>
      <c r="B713" s="132">
        <v>45699.0</v>
      </c>
      <c r="C713" s="41" t="s">
        <v>61</v>
      </c>
      <c r="D713" s="182">
        <v>1.0</v>
      </c>
      <c r="E713" s="183">
        <v>150.0</v>
      </c>
      <c r="F713" s="183">
        <v>150.0</v>
      </c>
      <c r="G713" s="183">
        <v>150.0</v>
      </c>
      <c r="H713" s="279" t="b">
        <v>1</v>
      </c>
      <c r="I713" s="41" t="s">
        <v>236</v>
      </c>
      <c r="J713" s="41" t="s">
        <v>955</v>
      </c>
      <c r="K713" s="279" t="b">
        <v>0</v>
      </c>
      <c r="L713" s="279" t="b">
        <v>1</v>
      </c>
    </row>
    <row r="714" ht="14.25" hidden="1" customHeight="1" outlineLevel="1">
      <c r="A714" s="131" t="s">
        <v>38</v>
      </c>
      <c r="B714" s="132">
        <v>45700.0</v>
      </c>
      <c r="C714" s="41" t="s">
        <v>55</v>
      </c>
      <c r="D714" s="182">
        <v>5.0</v>
      </c>
      <c r="E714" s="183">
        <v>18.9</v>
      </c>
      <c r="F714" s="183">
        <f>D714*E714</f>
        <v>94.5</v>
      </c>
      <c r="G714" s="183">
        <f>F714</f>
        <v>94.5</v>
      </c>
      <c r="H714" s="279"/>
      <c r="I714" s="143" t="s">
        <v>254</v>
      </c>
      <c r="J714" s="41" t="s">
        <v>1045</v>
      </c>
      <c r="K714" s="279" t="b">
        <v>1</v>
      </c>
      <c r="L714" s="279" t="b">
        <v>1</v>
      </c>
    </row>
    <row r="715" ht="14.25" hidden="1" customHeight="1" outlineLevel="1">
      <c r="A715" s="131" t="s">
        <v>38</v>
      </c>
      <c r="B715" s="132">
        <v>45702.0</v>
      </c>
      <c r="C715" s="41" t="s">
        <v>171</v>
      </c>
      <c r="D715" s="182">
        <v>1.0</v>
      </c>
      <c r="E715" s="183">
        <v>187.15</v>
      </c>
      <c r="F715" s="183">
        <v>187.15</v>
      </c>
      <c r="G715" s="183">
        <v>187.15</v>
      </c>
      <c r="H715" s="279"/>
      <c r="I715" s="143" t="s">
        <v>172</v>
      </c>
      <c r="J715" s="41" t="s">
        <v>898</v>
      </c>
      <c r="K715" s="279" t="b">
        <v>1</v>
      </c>
      <c r="L715" s="279" t="b">
        <v>1</v>
      </c>
    </row>
    <row r="716" ht="14.25" hidden="1" customHeight="1" outlineLevel="1">
      <c r="A716" s="131" t="s">
        <v>38</v>
      </c>
      <c r="B716" s="132">
        <v>45703.0</v>
      </c>
      <c r="C716" s="41" t="s">
        <v>97</v>
      </c>
      <c r="D716" s="182">
        <v>1.0</v>
      </c>
      <c r="E716" s="183">
        <v>31.14</v>
      </c>
      <c r="F716" s="183">
        <f>D716*E716</f>
        <v>31.14</v>
      </c>
      <c r="G716" s="183">
        <f>F716</f>
        <v>31.14</v>
      </c>
      <c r="H716" s="279"/>
      <c r="I716" s="143" t="s">
        <v>1047</v>
      </c>
      <c r="J716" s="41" t="s">
        <v>1048</v>
      </c>
      <c r="K716" s="279" t="b">
        <v>1</v>
      </c>
      <c r="L716" s="279" t="b">
        <v>0</v>
      </c>
    </row>
    <row r="717" ht="14.25" hidden="1" customHeight="1" outlineLevel="1">
      <c r="A717" s="131" t="s">
        <v>38</v>
      </c>
      <c r="B717" s="132">
        <v>45704.0</v>
      </c>
      <c r="C717" s="41" t="s">
        <v>61</v>
      </c>
      <c r="D717" s="182">
        <v>1.0</v>
      </c>
      <c r="E717" s="183">
        <v>200.0</v>
      </c>
      <c r="F717" s="183">
        <v>200.0</v>
      </c>
      <c r="G717" s="183">
        <v>200.0</v>
      </c>
      <c r="H717" s="279" t="b">
        <v>1</v>
      </c>
      <c r="I717" s="143" t="s">
        <v>342</v>
      </c>
      <c r="J717" s="41" t="s">
        <v>514</v>
      </c>
      <c r="K717" s="279" t="b">
        <v>0</v>
      </c>
      <c r="L717" s="279" t="b">
        <v>1</v>
      </c>
    </row>
    <row r="718" ht="14.25" hidden="1" customHeight="1" outlineLevel="1">
      <c r="A718" s="131" t="s">
        <v>38</v>
      </c>
      <c r="B718" s="132">
        <v>45706.0</v>
      </c>
      <c r="C718" s="41" t="s">
        <v>61</v>
      </c>
      <c r="D718" s="182">
        <v>1.0</v>
      </c>
      <c r="E718" s="183">
        <v>150.0</v>
      </c>
      <c r="F718" s="183">
        <v>150.0</v>
      </c>
      <c r="G718" s="183">
        <v>150.0</v>
      </c>
      <c r="H718" s="279" t="b">
        <v>1</v>
      </c>
      <c r="I718" s="41" t="s">
        <v>236</v>
      </c>
      <c r="J718" s="41" t="s">
        <v>955</v>
      </c>
      <c r="K718" s="279" t="b">
        <v>0</v>
      </c>
      <c r="L718" s="279" t="b">
        <v>1</v>
      </c>
    </row>
    <row r="719" ht="14.25" hidden="1" customHeight="1" outlineLevel="1">
      <c r="A719" s="131" t="s">
        <v>38</v>
      </c>
      <c r="B719" s="132">
        <v>45706.0</v>
      </c>
      <c r="C719" s="41" t="s">
        <v>69</v>
      </c>
      <c r="D719" s="182">
        <v>3.0</v>
      </c>
      <c r="E719" s="183">
        <v>6.39</v>
      </c>
      <c r="F719" s="183">
        <f t="shared" ref="F719:F721" si="85">D719*E719</f>
        <v>19.17</v>
      </c>
      <c r="G719" s="196">
        <f>SUM(F719:F721)</f>
        <v>66.62</v>
      </c>
      <c r="H719" s="278"/>
      <c r="I719" s="164" t="s">
        <v>681</v>
      </c>
      <c r="J719" s="41" t="s">
        <v>788</v>
      </c>
      <c r="K719" s="278" t="b">
        <v>1</v>
      </c>
      <c r="L719" s="278" t="b">
        <v>1</v>
      </c>
    </row>
    <row r="720" ht="14.25" hidden="1" customHeight="1" outlineLevel="1">
      <c r="A720" s="131" t="s">
        <v>38</v>
      </c>
      <c r="B720" s="132">
        <v>45706.0</v>
      </c>
      <c r="C720" s="41" t="s">
        <v>116</v>
      </c>
      <c r="D720" s="182">
        <v>4.0</v>
      </c>
      <c r="E720" s="183">
        <v>7.19</v>
      </c>
      <c r="F720" s="183">
        <f t="shared" si="85"/>
        <v>28.76</v>
      </c>
      <c r="G720" s="58"/>
      <c r="H720" s="58"/>
      <c r="I720" s="194"/>
      <c r="J720" s="41" t="s">
        <v>335</v>
      </c>
      <c r="K720" s="58"/>
      <c r="L720" s="58"/>
    </row>
    <row r="721" ht="14.25" hidden="1" customHeight="1" outlineLevel="1">
      <c r="A721" s="131" t="s">
        <v>38</v>
      </c>
      <c r="B721" s="132">
        <v>45706.0</v>
      </c>
      <c r="C721" s="41" t="s">
        <v>112</v>
      </c>
      <c r="D721" s="182">
        <v>1.0</v>
      </c>
      <c r="E721" s="183">
        <v>18.69</v>
      </c>
      <c r="F721" s="183">
        <f t="shared" si="85"/>
        <v>18.69</v>
      </c>
      <c r="G721" s="10"/>
      <c r="H721" s="10"/>
      <c r="I721" s="74"/>
      <c r="J721" s="41" t="s">
        <v>1052</v>
      </c>
      <c r="K721" s="10"/>
      <c r="L721" s="10"/>
    </row>
    <row r="722" ht="15.0" hidden="1" customHeight="1" outlineLevel="1">
      <c r="A722" s="131" t="s">
        <v>38</v>
      </c>
      <c r="B722" s="132">
        <v>45709.0</v>
      </c>
      <c r="C722" s="41" t="s">
        <v>61</v>
      </c>
      <c r="D722" s="182">
        <v>1.0</v>
      </c>
      <c r="E722" s="183">
        <v>150.0</v>
      </c>
      <c r="F722" s="183">
        <v>150.0</v>
      </c>
      <c r="G722" s="183">
        <v>150.0</v>
      </c>
      <c r="H722" s="279" t="b">
        <v>1</v>
      </c>
      <c r="I722" s="41" t="s">
        <v>236</v>
      </c>
      <c r="J722" s="41" t="s">
        <v>954</v>
      </c>
      <c r="K722" s="279" t="b">
        <v>0</v>
      </c>
      <c r="L722" s="279" t="b">
        <v>1</v>
      </c>
    </row>
    <row r="723" ht="14.25" hidden="1" customHeight="1" outlineLevel="1">
      <c r="A723" s="131" t="s">
        <v>38</v>
      </c>
      <c r="B723" s="132">
        <v>45709.0</v>
      </c>
      <c r="C723" s="41" t="s">
        <v>171</v>
      </c>
      <c r="D723" s="182">
        <v>1.0</v>
      </c>
      <c r="E723" s="183">
        <v>39.75</v>
      </c>
      <c r="F723" s="183">
        <f t="shared" ref="F723:F727" si="86">D723*E723</f>
        <v>39.75</v>
      </c>
      <c r="G723" s="183">
        <f t="shared" ref="G723:G727" si="87">F723</f>
        <v>39.75</v>
      </c>
      <c r="H723" s="279"/>
      <c r="I723" s="143" t="s">
        <v>520</v>
      </c>
      <c r="J723" s="41" t="s">
        <v>1055</v>
      </c>
      <c r="K723" s="279" t="b">
        <v>1</v>
      </c>
      <c r="L723" s="279" t="b">
        <v>1</v>
      </c>
    </row>
    <row r="724" ht="14.25" hidden="1" customHeight="1" outlineLevel="1">
      <c r="A724" s="131" t="s">
        <v>38</v>
      </c>
      <c r="B724" s="132">
        <v>45709.0</v>
      </c>
      <c r="C724" s="41" t="s">
        <v>75</v>
      </c>
      <c r="D724" s="182">
        <v>3.0</v>
      </c>
      <c r="E724" s="183">
        <v>40.0</v>
      </c>
      <c r="F724" s="183">
        <f t="shared" si="86"/>
        <v>120</v>
      </c>
      <c r="G724" s="183">
        <f t="shared" si="87"/>
        <v>120</v>
      </c>
      <c r="H724" s="279"/>
      <c r="I724" s="143" t="s">
        <v>76</v>
      </c>
      <c r="J724" s="41" t="s">
        <v>1032</v>
      </c>
      <c r="K724" s="279" t="b">
        <v>0</v>
      </c>
      <c r="L724" s="279" t="b">
        <v>1</v>
      </c>
    </row>
    <row r="725" ht="14.25" hidden="1" customHeight="1" outlineLevel="1">
      <c r="A725" s="131" t="s">
        <v>38</v>
      </c>
      <c r="B725" s="132">
        <v>45709.0</v>
      </c>
      <c r="C725" s="41" t="s">
        <v>55</v>
      </c>
      <c r="D725" s="182">
        <v>6.0</v>
      </c>
      <c r="E725" s="183">
        <v>18.9</v>
      </c>
      <c r="F725" s="183">
        <f t="shared" si="86"/>
        <v>113.4</v>
      </c>
      <c r="G725" s="183">
        <f t="shared" si="87"/>
        <v>113.4</v>
      </c>
      <c r="H725" s="279"/>
      <c r="I725" s="143" t="s">
        <v>614</v>
      </c>
      <c r="J725" s="41" t="s">
        <v>1045</v>
      </c>
      <c r="K725" s="279" t="b">
        <v>1</v>
      </c>
      <c r="L725" s="279" t="b">
        <v>1</v>
      </c>
    </row>
    <row r="726" ht="14.25" hidden="1" customHeight="1" outlineLevel="1">
      <c r="A726" s="131" t="s">
        <v>38</v>
      </c>
      <c r="B726" s="132">
        <v>45709.0</v>
      </c>
      <c r="C726" s="41" t="s">
        <v>171</v>
      </c>
      <c r="D726" s="182">
        <v>1.0</v>
      </c>
      <c r="E726" s="183">
        <v>45.6</v>
      </c>
      <c r="F726" s="183">
        <f t="shared" si="86"/>
        <v>45.6</v>
      </c>
      <c r="G726" s="183">
        <f t="shared" si="87"/>
        <v>45.6</v>
      </c>
      <c r="H726" s="279"/>
      <c r="I726" s="143" t="s">
        <v>172</v>
      </c>
      <c r="J726" s="41" t="s">
        <v>898</v>
      </c>
      <c r="K726" s="279" t="b">
        <v>1</v>
      </c>
      <c r="L726" s="279" t="b">
        <v>1</v>
      </c>
    </row>
    <row r="727" ht="14.25" hidden="1" customHeight="1" outlineLevel="1">
      <c r="A727" s="131" t="s">
        <v>38</v>
      </c>
      <c r="B727" s="132">
        <v>45709.0</v>
      </c>
      <c r="C727" s="41" t="s">
        <v>171</v>
      </c>
      <c r="D727" s="182">
        <v>3.0</v>
      </c>
      <c r="E727" s="183">
        <v>7.99</v>
      </c>
      <c r="F727" s="183">
        <f t="shared" si="86"/>
        <v>23.97</v>
      </c>
      <c r="G727" s="183">
        <f t="shared" si="87"/>
        <v>23.97</v>
      </c>
      <c r="H727" s="279"/>
      <c r="I727" s="143" t="s">
        <v>398</v>
      </c>
      <c r="J727" s="41" t="s">
        <v>1058</v>
      </c>
      <c r="K727" s="279" t="b">
        <v>1</v>
      </c>
      <c r="L727" s="279" t="b">
        <v>1</v>
      </c>
    </row>
    <row r="728" ht="14.25" hidden="1" customHeight="1" outlineLevel="1">
      <c r="A728" s="228" t="s">
        <v>38</v>
      </c>
      <c r="B728" s="314">
        <v>45711.0</v>
      </c>
      <c r="C728" s="285" t="s">
        <v>61</v>
      </c>
      <c r="D728" s="315">
        <v>1.0</v>
      </c>
      <c r="E728" s="316">
        <v>200.0</v>
      </c>
      <c r="F728" s="316">
        <v>200.0</v>
      </c>
      <c r="G728" s="316">
        <v>200.0</v>
      </c>
      <c r="H728" s="317" t="b">
        <v>1</v>
      </c>
      <c r="I728" s="318" t="s">
        <v>490</v>
      </c>
      <c r="J728" s="319" t="s">
        <v>514</v>
      </c>
      <c r="K728" s="317" t="b">
        <v>0</v>
      </c>
      <c r="L728" s="317" t="b">
        <v>1</v>
      </c>
      <c r="M728" s="217"/>
      <c r="N728" s="217"/>
      <c r="O728" s="217"/>
      <c r="P728" s="217"/>
      <c r="Q728" s="217"/>
      <c r="R728" s="217"/>
      <c r="S728" s="217"/>
      <c r="T728" s="217"/>
      <c r="U728" s="217"/>
      <c r="V728" s="217"/>
      <c r="W728" s="217"/>
      <c r="X728" s="217"/>
      <c r="Y728" s="217"/>
      <c r="Z728" s="217"/>
      <c r="AA728" s="217"/>
      <c r="AB728" s="217"/>
      <c r="AC728" s="217"/>
      <c r="AD728" s="217"/>
    </row>
    <row r="729" ht="14.25" hidden="1" customHeight="1" outlineLevel="1">
      <c r="A729" s="131" t="s">
        <v>38</v>
      </c>
      <c r="B729" s="132">
        <v>45711.0</v>
      </c>
      <c r="C729" s="41" t="s">
        <v>61</v>
      </c>
      <c r="D729" s="182">
        <v>1.0</v>
      </c>
      <c r="E729" s="183">
        <v>200.0</v>
      </c>
      <c r="F729" s="183">
        <v>200.0</v>
      </c>
      <c r="G729" s="183">
        <v>200.0</v>
      </c>
      <c r="H729" s="279" t="b">
        <v>1</v>
      </c>
      <c r="I729" s="143" t="s">
        <v>413</v>
      </c>
      <c r="J729" s="41" t="s">
        <v>514</v>
      </c>
      <c r="K729" s="279" t="b">
        <v>0</v>
      </c>
      <c r="L729" s="279" t="b">
        <v>1</v>
      </c>
    </row>
    <row r="730" ht="14.25" hidden="1" customHeight="1" outlineLevel="1">
      <c r="A730" s="131" t="s">
        <v>38</v>
      </c>
      <c r="B730" s="132">
        <v>45713.0</v>
      </c>
      <c r="C730" s="41" t="s">
        <v>61</v>
      </c>
      <c r="D730" s="182">
        <v>1.0</v>
      </c>
      <c r="E730" s="183">
        <v>150.0</v>
      </c>
      <c r="F730" s="183">
        <v>150.0</v>
      </c>
      <c r="G730" s="183">
        <v>150.0</v>
      </c>
      <c r="H730" s="279" t="b">
        <v>1</v>
      </c>
      <c r="I730" s="41" t="s">
        <v>236</v>
      </c>
      <c r="J730" s="41" t="s">
        <v>955</v>
      </c>
      <c r="K730" s="279" t="b">
        <v>0</v>
      </c>
      <c r="L730" s="279" t="b">
        <v>1</v>
      </c>
    </row>
    <row r="731" ht="14.25" hidden="1" customHeight="1" outlineLevel="1">
      <c r="A731" s="131" t="s">
        <v>38</v>
      </c>
      <c r="B731" s="132">
        <v>45713.0</v>
      </c>
      <c r="C731" s="41" t="s">
        <v>93</v>
      </c>
      <c r="D731" s="182">
        <v>1.0</v>
      </c>
      <c r="E731" s="183">
        <v>56.6</v>
      </c>
      <c r="F731" s="183">
        <v>56.6</v>
      </c>
      <c r="G731" s="183">
        <v>56.6</v>
      </c>
      <c r="H731" s="279"/>
      <c r="I731" s="143" t="s">
        <v>337</v>
      </c>
      <c r="J731" s="41" t="s">
        <v>1065</v>
      </c>
      <c r="K731" s="279" t="b">
        <v>0</v>
      </c>
      <c r="L731" s="279" t="b">
        <v>0</v>
      </c>
    </row>
    <row r="732" ht="14.25" hidden="1" customHeight="1" outlineLevel="1">
      <c r="A732" s="131" t="s">
        <v>38</v>
      </c>
      <c r="B732" s="132">
        <v>45713.0</v>
      </c>
      <c r="C732" s="41" t="s">
        <v>93</v>
      </c>
      <c r="D732" s="182">
        <v>1.0</v>
      </c>
      <c r="E732" s="183">
        <v>120.27</v>
      </c>
      <c r="F732" s="183">
        <v>120.27</v>
      </c>
      <c r="G732" s="183">
        <v>120.27</v>
      </c>
      <c r="H732" s="279"/>
      <c r="I732" s="143" t="s">
        <v>1066</v>
      </c>
      <c r="J732" s="41" t="s">
        <v>1067</v>
      </c>
      <c r="K732" s="279" t="b">
        <v>0</v>
      </c>
      <c r="L732" s="279" t="b">
        <v>0</v>
      </c>
    </row>
    <row r="733" ht="15.0" hidden="1" customHeight="1" outlineLevel="1">
      <c r="A733" s="131" t="s">
        <v>38</v>
      </c>
      <c r="B733" s="132">
        <v>45716.0</v>
      </c>
      <c r="C733" s="41" t="s">
        <v>61</v>
      </c>
      <c r="D733" s="182">
        <v>1.0</v>
      </c>
      <c r="E733" s="183">
        <v>150.0</v>
      </c>
      <c r="F733" s="183">
        <v>150.0</v>
      </c>
      <c r="G733" s="183">
        <v>150.0</v>
      </c>
      <c r="H733" s="279" t="b">
        <v>1</v>
      </c>
      <c r="I733" s="41" t="s">
        <v>236</v>
      </c>
      <c r="J733" s="41" t="s">
        <v>954</v>
      </c>
      <c r="K733" s="279" t="b">
        <v>0</v>
      </c>
      <c r="L733" s="279" t="b">
        <v>1</v>
      </c>
    </row>
    <row r="734" ht="14.25" hidden="1" customHeight="1" outlineLevel="1">
      <c r="A734" s="131" t="s">
        <v>38</v>
      </c>
      <c r="B734" s="132">
        <v>45713.0</v>
      </c>
      <c r="C734" s="41" t="s">
        <v>80</v>
      </c>
      <c r="D734" s="182">
        <v>1.0</v>
      </c>
      <c r="E734" s="183">
        <v>30.0</v>
      </c>
      <c r="F734" s="183">
        <v>30.0</v>
      </c>
      <c r="G734" s="183">
        <v>30.0</v>
      </c>
      <c r="H734" s="279"/>
      <c r="I734" s="143" t="s">
        <v>481</v>
      </c>
      <c r="J734" s="41" t="s">
        <v>1069</v>
      </c>
      <c r="K734" s="279" t="b">
        <v>0</v>
      </c>
      <c r="L734" s="279" t="b">
        <v>0</v>
      </c>
    </row>
    <row r="735" ht="14.25" hidden="1" customHeight="1" outlineLevel="1">
      <c r="A735" s="131" t="s">
        <v>38</v>
      </c>
      <c r="B735" s="132">
        <v>45714.0</v>
      </c>
      <c r="C735" s="41" t="s">
        <v>61</v>
      </c>
      <c r="D735" s="182">
        <v>1.0</v>
      </c>
      <c r="E735" s="183">
        <v>3450.0</v>
      </c>
      <c r="F735" s="183">
        <f t="shared" ref="F735:G735" si="88">E735</f>
        <v>3450</v>
      </c>
      <c r="G735" s="183">
        <f t="shared" si="88"/>
        <v>3450</v>
      </c>
      <c r="H735" s="279" t="b">
        <v>1</v>
      </c>
      <c r="I735" s="143" t="s">
        <v>119</v>
      </c>
      <c r="J735" s="320">
        <v>45713.0</v>
      </c>
      <c r="K735" s="279" t="b">
        <v>0</v>
      </c>
      <c r="L735" s="279" t="b">
        <v>1</v>
      </c>
    </row>
    <row r="736" ht="14.25" hidden="1" customHeight="1" outlineLevel="1">
      <c r="A736" s="131" t="s">
        <v>38</v>
      </c>
      <c r="B736" s="132">
        <v>45716.0</v>
      </c>
      <c r="C736" s="41" t="s">
        <v>1026</v>
      </c>
      <c r="D736" s="182">
        <v>1.0</v>
      </c>
      <c r="E736" s="183">
        <v>230.0</v>
      </c>
      <c r="F736" s="183">
        <v>230.0</v>
      </c>
      <c r="G736" s="183">
        <v>230.0</v>
      </c>
      <c r="H736" s="279"/>
      <c r="I736" s="143" t="s">
        <v>1070</v>
      </c>
      <c r="J736" s="41" t="s">
        <v>1026</v>
      </c>
      <c r="K736" s="279" t="b">
        <v>1</v>
      </c>
      <c r="L736" s="279">
        <v>4.0</v>
      </c>
    </row>
    <row r="737" ht="14.25" hidden="1" customHeight="1" outlineLevel="1">
      <c r="A737" s="131" t="s">
        <v>38</v>
      </c>
      <c r="B737" s="132">
        <v>45714.0</v>
      </c>
      <c r="C737" s="41"/>
      <c r="D737" s="182"/>
      <c r="E737" s="183"/>
      <c r="F737" s="183"/>
      <c r="G737" s="183"/>
      <c r="H737" s="279"/>
      <c r="I737" s="143"/>
      <c r="J737" s="41"/>
      <c r="K737" s="279" t="b">
        <v>0</v>
      </c>
      <c r="L737" s="279" t="b">
        <v>0</v>
      </c>
    </row>
    <row r="738" ht="14.25" hidden="1" customHeight="1" outlineLevel="1">
      <c r="A738" s="131" t="s">
        <v>38</v>
      </c>
      <c r="B738" s="132">
        <v>45689.0</v>
      </c>
      <c r="C738" s="41"/>
      <c r="D738" s="182"/>
      <c r="E738" s="183"/>
      <c r="F738" s="183"/>
      <c r="G738" s="183"/>
      <c r="H738" s="279"/>
      <c r="I738" s="143"/>
      <c r="J738" s="41"/>
      <c r="K738" s="279" t="b">
        <v>0</v>
      </c>
      <c r="L738" s="279" t="b">
        <v>0</v>
      </c>
    </row>
    <row r="739" ht="14.25" customHeight="1">
      <c r="A739" s="180" t="s">
        <v>192</v>
      </c>
      <c r="B739" s="27"/>
      <c r="C739" s="27"/>
      <c r="D739" s="27"/>
      <c r="E739" s="28"/>
      <c r="F739" s="181">
        <f t="shared" ref="F739:G739" si="89">SUM(F697:F738)</f>
        <v>8622.88</v>
      </c>
      <c r="G739" s="181">
        <f t="shared" si="89"/>
        <v>8622.88</v>
      </c>
    </row>
    <row r="740" ht="14.25" customHeight="1" collapsed="1">
      <c r="A740" s="245" t="s">
        <v>960</v>
      </c>
      <c r="B740" s="246"/>
      <c r="C740" s="246"/>
      <c r="D740" s="246"/>
      <c r="E740" s="246"/>
      <c r="F740" s="246"/>
      <c r="G740" s="246"/>
      <c r="H740" s="246"/>
      <c r="I740" s="246"/>
      <c r="J740" s="247"/>
      <c r="K740" s="238"/>
      <c r="L740" s="238"/>
    </row>
    <row r="741" ht="14.25" hidden="1" customHeight="1" outlineLevel="1">
      <c r="A741" s="131" t="s">
        <v>37</v>
      </c>
      <c r="B741" s="132">
        <v>45718.0</v>
      </c>
      <c r="C741" s="285" t="s">
        <v>61</v>
      </c>
      <c r="D741" s="315">
        <v>1.0</v>
      </c>
      <c r="E741" s="316">
        <v>200.0</v>
      </c>
      <c r="F741" s="316">
        <v>200.0</v>
      </c>
      <c r="G741" s="316">
        <v>200.0</v>
      </c>
      <c r="H741" s="317" t="b">
        <v>1</v>
      </c>
      <c r="I741" s="318" t="s">
        <v>490</v>
      </c>
      <c r="J741" s="321" t="s">
        <v>513</v>
      </c>
      <c r="K741" s="322" t="b">
        <v>0</v>
      </c>
      <c r="L741" s="317" t="b">
        <v>1</v>
      </c>
      <c r="N741" s="323" t="b">
        <v>1</v>
      </c>
    </row>
    <row r="742" ht="14.25" hidden="1" customHeight="1" outlineLevel="1">
      <c r="A742" s="131" t="s">
        <v>37</v>
      </c>
      <c r="B742" s="132">
        <v>45718.0</v>
      </c>
      <c r="C742" s="41" t="s">
        <v>61</v>
      </c>
      <c r="D742" s="182">
        <v>1.0</v>
      </c>
      <c r="E742" s="183">
        <v>200.0</v>
      </c>
      <c r="F742" s="183">
        <v>200.0</v>
      </c>
      <c r="G742" s="183">
        <v>200.0</v>
      </c>
      <c r="H742" s="279" t="b">
        <v>1</v>
      </c>
      <c r="I742" s="143" t="s">
        <v>342</v>
      </c>
      <c r="J742" s="41" t="s">
        <v>514</v>
      </c>
      <c r="K742" s="279" t="b">
        <v>0</v>
      </c>
      <c r="L742" s="279" t="b">
        <v>1</v>
      </c>
      <c r="N742" s="323" t="b">
        <v>1</v>
      </c>
    </row>
    <row r="743" ht="14.25" hidden="1" customHeight="1" outlineLevel="1">
      <c r="A743" s="131" t="s">
        <v>37</v>
      </c>
      <c r="B743" s="132">
        <v>45721.0</v>
      </c>
      <c r="C743" s="41" t="s">
        <v>61</v>
      </c>
      <c r="D743" s="182">
        <v>1.0</v>
      </c>
      <c r="E743" s="183">
        <v>200.0</v>
      </c>
      <c r="F743" s="183">
        <v>200.0</v>
      </c>
      <c r="G743" s="183">
        <v>200.0</v>
      </c>
      <c r="H743" s="279" t="b">
        <v>1</v>
      </c>
      <c r="I743" s="41" t="s">
        <v>236</v>
      </c>
      <c r="J743" s="41" t="s">
        <v>503</v>
      </c>
      <c r="K743" s="279" t="b">
        <v>0</v>
      </c>
      <c r="L743" s="279" t="b">
        <v>1</v>
      </c>
      <c r="N743" s="323" t="b">
        <v>1</v>
      </c>
    </row>
    <row r="744" ht="14.25" hidden="1" customHeight="1" outlineLevel="1">
      <c r="A744" s="131" t="s">
        <v>37</v>
      </c>
      <c r="B744" s="132">
        <v>45723.0</v>
      </c>
      <c r="C744" s="41" t="s">
        <v>61</v>
      </c>
      <c r="D744" s="182">
        <v>1.0</v>
      </c>
      <c r="E744" s="183">
        <v>150.0</v>
      </c>
      <c r="F744" s="183">
        <v>150.0</v>
      </c>
      <c r="G744" s="183">
        <v>150.0</v>
      </c>
      <c r="H744" s="279" t="b">
        <v>1</v>
      </c>
      <c r="I744" s="41" t="s">
        <v>236</v>
      </c>
      <c r="J744" s="41" t="s">
        <v>527</v>
      </c>
      <c r="K744" s="279" t="b">
        <v>0</v>
      </c>
      <c r="L744" s="279" t="b">
        <v>1</v>
      </c>
      <c r="N744" s="323" t="b">
        <v>1</v>
      </c>
    </row>
    <row r="745" ht="14.25" hidden="1" customHeight="1" outlineLevel="1">
      <c r="A745" s="131" t="s">
        <v>37</v>
      </c>
      <c r="B745" s="132">
        <v>45725.0</v>
      </c>
      <c r="C745" s="285" t="s">
        <v>61</v>
      </c>
      <c r="D745" s="315">
        <v>1.0</v>
      </c>
      <c r="E745" s="316">
        <v>200.0</v>
      </c>
      <c r="F745" s="316">
        <v>200.0</v>
      </c>
      <c r="G745" s="316">
        <v>200.0</v>
      </c>
      <c r="H745" s="317" t="b">
        <v>1</v>
      </c>
      <c r="I745" s="318" t="s">
        <v>1074</v>
      </c>
      <c r="J745" s="321" t="s">
        <v>513</v>
      </c>
      <c r="K745" s="317" t="b">
        <v>0</v>
      </c>
      <c r="L745" s="317" t="b">
        <v>1</v>
      </c>
      <c r="N745" s="323" t="b">
        <v>0</v>
      </c>
    </row>
    <row r="746" ht="14.25" hidden="1" customHeight="1" outlineLevel="1">
      <c r="A746" s="131" t="s">
        <v>37</v>
      </c>
      <c r="B746" s="132">
        <v>45725.0</v>
      </c>
      <c r="C746" s="41" t="s">
        <v>61</v>
      </c>
      <c r="D746" s="182">
        <v>1.0</v>
      </c>
      <c r="E746" s="183">
        <v>200.0</v>
      </c>
      <c r="F746" s="183">
        <v>200.0</v>
      </c>
      <c r="G746" s="183">
        <v>200.0</v>
      </c>
      <c r="H746" s="279" t="b">
        <v>1</v>
      </c>
      <c r="I746" s="143" t="s">
        <v>342</v>
      </c>
      <c r="J746" s="41" t="s">
        <v>514</v>
      </c>
      <c r="K746" s="279" t="b">
        <v>0</v>
      </c>
      <c r="L746" s="279" t="b">
        <v>1</v>
      </c>
      <c r="N746" s="323" t="b">
        <v>0</v>
      </c>
    </row>
    <row r="747" ht="14.25" hidden="1" customHeight="1" outlineLevel="1">
      <c r="A747" s="131" t="s">
        <v>37</v>
      </c>
      <c r="B747" s="132">
        <v>45727.0</v>
      </c>
      <c r="C747" s="41" t="s">
        <v>61</v>
      </c>
      <c r="D747" s="182">
        <v>1.0</v>
      </c>
      <c r="E747" s="183">
        <v>150.0</v>
      </c>
      <c r="F747" s="183">
        <v>150.0</v>
      </c>
      <c r="G747" s="183">
        <v>150.0</v>
      </c>
      <c r="H747" s="279" t="b">
        <v>1</v>
      </c>
      <c r="I747" s="41" t="s">
        <v>236</v>
      </c>
      <c r="J747" s="41" t="s">
        <v>503</v>
      </c>
      <c r="K747" s="279" t="b">
        <v>0</v>
      </c>
      <c r="L747" s="279" t="b">
        <v>1</v>
      </c>
      <c r="N747" s="323" t="b">
        <v>0</v>
      </c>
    </row>
    <row r="748" ht="14.25" hidden="1" customHeight="1" outlineLevel="1">
      <c r="A748" s="131" t="s">
        <v>37</v>
      </c>
      <c r="B748" s="132">
        <v>45730.0</v>
      </c>
      <c r="C748" s="41" t="s">
        <v>61</v>
      </c>
      <c r="D748" s="182">
        <v>1.0</v>
      </c>
      <c r="E748" s="183">
        <v>150.0</v>
      </c>
      <c r="F748" s="183">
        <v>150.0</v>
      </c>
      <c r="G748" s="183">
        <v>150.0</v>
      </c>
      <c r="H748" s="279" t="b">
        <v>1</v>
      </c>
      <c r="I748" s="41" t="s">
        <v>236</v>
      </c>
      <c r="J748" s="41" t="s">
        <v>527</v>
      </c>
      <c r="K748" s="279" t="b">
        <v>0</v>
      </c>
      <c r="L748" s="279" t="b">
        <v>1</v>
      </c>
      <c r="N748" s="323" t="b">
        <v>0</v>
      </c>
    </row>
    <row r="749" ht="14.25" hidden="1" customHeight="1" outlineLevel="1">
      <c r="A749" s="131" t="s">
        <v>37</v>
      </c>
      <c r="B749" s="132">
        <v>45723.0</v>
      </c>
      <c r="C749" s="41" t="s">
        <v>231</v>
      </c>
      <c r="D749" s="182">
        <v>1.0</v>
      </c>
      <c r="E749" s="183">
        <v>460.0</v>
      </c>
      <c r="F749" s="183">
        <v>460.0</v>
      </c>
      <c r="G749" s="183">
        <v>460.0</v>
      </c>
      <c r="H749" s="279" t="b">
        <v>0</v>
      </c>
      <c r="I749" s="143" t="s">
        <v>1078</v>
      </c>
      <c r="J749" s="41" t="s">
        <v>1079</v>
      </c>
      <c r="K749" s="279" t="b">
        <v>1</v>
      </c>
      <c r="L749" s="279" t="b">
        <v>1</v>
      </c>
      <c r="N749" s="323" t="b">
        <v>0</v>
      </c>
    </row>
    <row r="750" ht="14.25" hidden="1" customHeight="1" outlineLevel="1">
      <c r="A750" s="131" t="s">
        <v>37</v>
      </c>
      <c r="B750" s="132">
        <v>45728.0</v>
      </c>
      <c r="C750" s="41" t="s">
        <v>69</v>
      </c>
      <c r="D750" s="182">
        <v>2.0</v>
      </c>
      <c r="E750" s="183">
        <v>5.79</v>
      </c>
      <c r="F750" s="183">
        <f t="shared" ref="F750:F753" si="90">D750*E750</f>
        <v>11.58</v>
      </c>
      <c r="G750" s="196">
        <f>SUM(F750:F751)</f>
        <v>24.97</v>
      </c>
      <c r="H750" s="279" t="b">
        <v>0</v>
      </c>
      <c r="I750" s="164" t="s">
        <v>386</v>
      </c>
      <c r="J750" s="41" t="s">
        <v>69</v>
      </c>
      <c r="K750" s="278" t="b">
        <v>1</v>
      </c>
      <c r="L750" s="278" t="b">
        <v>1</v>
      </c>
      <c r="N750" s="323" t="b">
        <v>0</v>
      </c>
    </row>
    <row r="751" ht="14.25" hidden="1" customHeight="1" outlineLevel="1">
      <c r="A751" s="131" t="s">
        <v>37</v>
      </c>
      <c r="B751" s="132">
        <v>45728.0</v>
      </c>
      <c r="C751" s="41" t="s">
        <v>112</v>
      </c>
      <c r="D751" s="182">
        <v>1.0</v>
      </c>
      <c r="E751" s="183">
        <v>13.39</v>
      </c>
      <c r="F751" s="183">
        <f t="shared" si="90"/>
        <v>13.39</v>
      </c>
      <c r="G751" s="10"/>
      <c r="H751" s="279" t="b">
        <v>0</v>
      </c>
      <c r="I751" s="74"/>
      <c r="J751" s="41" t="s">
        <v>1081</v>
      </c>
      <c r="K751" s="10"/>
      <c r="L751" s="10"/>
      <c r="N751" s="323" t="b">
        <v>0</v>
      </c>
    </row>
    <row r="752" ht="14.25" hidden="1" customHeight="1" outlineLevel="1">
      <c r="A752" s="131" t="s">
        <v>37</v>
      </c>
      <c r="B752" s="132">
        <v>45731.0</v>
      </c>
      <c r="C752" s="41" t="s">
        <v>55</v>
      </c>
      <c r="D752" s="182">
        <v>6.0</v>
      </c>
      <c r="E752" s="183">
        <v>18.9</v>
      </c>
      <c r="F752" s="183">
        <f t="shared" si="90"/>
        <v>113.4</v>
      </c>
      <c r="G752" s="196">
        <f>SUM(F752:F753)</f>
        <v>137.4</v>
      </c>
      <c r="H752" s="278" t="b">
        <v>0</v>
      </c>
      <c r="I752" s="164" t="s">
        <v>254</v>
      </c>
      <c r="J752" s="41" t="s">
        <v>1083</v>
      </c>
      <c r="K752" s="278" t="b">
        <v>1</v>
      </c>
      <c r="L752" s="278" t="b">
        <v>1</v>
      </c>
      <c r="N752" s="323" t="b">
        <v>0</v>
      </c>
    </row>
    <row r="753" ht="14.25" hidden="1" customHeight="1" outlineLevel="1">
      <c r="A753" s="131" t="s">
        <v>37</v>
      </c>
      <c r="B753" s="132">
        <v>45731.0</v>
      </c>
      <c r="C753" s="41" t="s">
        <v>231</v>
      </c>
      <c r="D753" s="182">
        <v>1.0</v>
      </c>
      <c r="E753" s="183">
        <v>24.0</v>
      </c>
      <c r="F753" s="183">
        <f t="shared" si="90"/>
        <v>24</v>
      </c>
      <c r="G753" s="10"/>
      <c r="H753" s="10"/>
      <c r="I753" s="74"/>
      <c r="J753" s="41" t="s">
        <v>799</v>
      </c>
      <c r="K753" s="10"/>
      <c r="L753" s="10"/>
      <c r="N753" s="323" t="b">
        <v>0</v>
      </c>
    </row>
    <row r="754" ht="14.25" hidden="1" customHeight="1" outlineLevel="1">
      <c r="A754" s="131" t="s">
        <v>37</v>
      </c>
      <c r="B754" s="132">
        <v>45732.0</v>
      </c>
      <c r="C754" s="285" t="s">
        <v>61</v>
      </c>
      <c r="D754" s="315">
        <v>1.0</v>
      </c>
      <c r="E754" s="316">
        <v>200.0</v>
      </c>
      <c r="F754" s="316">
        <v>200.0</v>
      </c>
      <c r="G754" s="316">
        <v>200.0</v>
      </c>
      <c r="H754" s="317" t="b">
        <v>1</v>
      </c>
      <c r="I754" s="318" t="s">
        <v>980</v>
      </c>
      <c r="J754" s="321" t="s">
        <v>513</v>
      </c>
      <c r="K754" s="322" t="b">
        <v>0</v>
      </c>
      <c r="L754" s="317" t="b">
        <v>1</v>
      </c>
      <c r="N754" s="323" t="b">
        <v>1</v>
      </c>
    </row>
    <row r="755" ht="14.25" hidden="1" customHeight="1" outlineLevel="1">
      <c r="A755" s="131" t="s">
        <v>37</v>
      </c>
      <c r="B755" s="132">
        <v>45732.0</v>
      </c>
      <c r="C755" s="41" t="s">
        <v>61</v>
      </c>
      <c r="D755" s="182">
        <v>1.0</v>
      </c>
      <c r="E755" s="183">
        <v>200.0</v>
      </c>
      <c r="F755" s="183">
        <v>200.0</v>
      </c>
      <c r="G755" s="183">
        <v>200.0</v>
      </c>
      <c r="H755" s="279" t="b">
        <v>1</v>
      </c>
      <c r="I755" s="143" t="s">
        <v>413</v>
      </c>
      <c r="J755" s="41" t="s">
        <v>514</v>
      </c>
      <c r="K755" s="279" t="b">
        <v>0</v>
      </c>
      <c r="L755" s="279" t="b">
        <v>1</v>
      </c>
      <c r="N755" s="323" t="b">
        <v>1</v>
      </c>
    </row>
    <row r="756" ht="14.25" hidden="1" customHeight="1" outlineLevel="1">
      <c r="A756" s="131" t="s">
        <v>37</v>
      </c>
      <c r="B756" s="132">
        <v>45732.0</v>
      </c>
      <c r="C756" s="41" t="s">
        <v>75</v>
      </c>
      <c r="D756" s="182">
        <v>3.0</v>
      </c>
      <c r="E756" s="183">
        <v>40.0</v>
      </c>
      <c r="F756" s="183">
        <f t="shared" ref="F756:F760" si="91">D756*E756</f>
        <v>120</v>
      </c>
      <c r="G756" s="196">
        <f>SUM(F756:F757)</f>
        <v>155</v>
      </c>
      <c r="H756" s="278" t="b">
        <v>0</v>
      </c>
      <c r="I756" s="164" t="s">
        <v>76</v>
      </c>
      <c r="J756" s="41" t="s">
        <v>1085</v>
      </c>
      <c r="K756" s="278" t="b">
        <v>0</v>
      </c>
      <c r="L756" s="278" t="b">
        <v>0</v>
      </c>
      <c r="N756" s="323" t="b">
        <v>0</v>
      </c>
    </row>
    <row r="757" ht="14.25" hidden="1" customHeight="1" outlineLevel="1">
      <c r="A757" s="131" t="s">
        <v>37</v>
      </c>
      <c r="B757" s="132">
        <v>45732.0</v>
      </c>
      <c r="C757" s="41" t="s">
        <v>75</v>
      </c>
      <c r="D757" s="182">
        <v>1.0</v>
      </c>
      <c r="E757" s="183">
        <v>35.0</v>
      </c>
      <c r="F757" s="183">
        <f t="shared" si="91"/>
        <v>35</v>
      </c>
      <c r="G757" s="10"/>
      <c r="H757" s="10"/>
      <c r="I757" s="74"/>
      <c r="J757" s="41" t="s">
        <v>1086</v>
      </c>
      <c r="K757" s="10"/>
      <c r="L757" s="10"/>
      <c r="N757" s="323" t="b">
        <v>0</v>
      </c>
    </row>
    <row r="758" ht="14.25" hidden="1" customHeight="1" outlineLevel="1">
      <c r="A758" s="131" t="s">
        <v>37</v>
      </c>
      <c r="B758" s="132">
        <v>45733.0</v>
      </c>
      <c r="C758" s="41" t="s">
        <v>75</v>
      </c>
      <c r="D758" s="182">
        <v>1.0</v>
      </c>
      <c r="E758" s="183">
        <v>31.6</v>
      </c>
      <c r="F758" s="183">
        <f t="shared" si="91"/>
        <v>31.6</v>
      </c>
      <c r="G758" s="196">
        <f>SUM(F758:F760)</f>
        <v>90.5</v>
      </c>
      <c r="H758" s="278" t="b">
        <v>0</v>
      </c>
      <c r="I758" s="164" t="s">
        <v>225</v>
      </c>
      <c r="J758" s="41" t="s">
        <v>1089</v>
      </c>
      <c r="K758" s="278" t="b">
        <v>1</v>
      </c>
      <c r="L758" s="278" t="b">
        <v>1</v>
      </c>
      <c r="N758" s="323" t="b">
        <v>0</v>
      </c>
    </row>
    <row r="759" ht="14.25" hidden="1" customHeight="1" outlineLevel="1">
      <c r="A759" s="131" t="s">
        <v>37</v>
      </c>
      <c r="B759" s="132">
        <v>45733.0</v>
      </c>
      <c r="C759" s="41" t="s">
        <v>75</v>
      </c>
      <c r="D759" s="182">
        <v>1.0</v>
      </c>
      <c r="E759" s="183">
        <v>31.6</v>
      </c>
      <c r="F759" s="183">
        <f t="shared" si="91"/>
        <v>31.6</v>
      </c>
      <c r="G759" s="58"/>
      <c r="H759" s="58"/>
      <c r="I759" s="194"/>
      <c r="J759" s="41" t="s">
        <v>1090</v>
      </c>
      <c r="K759" s="58"/>
      <c r="L759" s="58"/>
      <c r="N759" s="323" t="b">
        <v>0</v>
      </c>
    </row>
    <row r="760" ht="14.25" hidden="1" customHeight="1" outlineLevel="1">
      <c r="A760" s="131" t="s">
        <v>37</v>
      </c>
      <c r="B760" s="132">
        <v>45733.0</v>
      </c>
      <c r="C760" s="41" t="s">
        <v>58</v>
      </c>
      <c r="D760" s="182">
        <v>3.0</v>
      </c>
      <c r="E760" s="183">
        <v>9.1</v>
      </c>
      <c r="F760" s="183">
        <f t="shared" si="91"/>
        <v>27.3</v>
      </c>
      <c r="G760" s="10"/>
      <c r="H760" s="10"/>
      <c r="I760" s="74"/>
      <c r="J760" s="41" t="s">
        <v>668</v>
      </c>
      <c r="K760" s="10"/>
      <c r="L760" s="10"/>
      <c r="N760" s="323" t="b">
        <v>0</v>
      </c>
    </row>
    <row r="761" ht="14.25" hidden="1" customHeight="1" outlineLevel="1">
      <c r="A761" s="131" t="s">
        <v>37</v>
      </c>
      <c r="B761" s="132">
        <v>45734.0</v>
      </c>
      <c r="C761" s="41" t="s">
        <v>61</v>
      </c>
      <c r="D761" s="182">
        <v>1.0</v>
      </c>
      <c r="E761" s="183">
        <v>150.0</v>
      </c>
      <c r="F761" s="183">
        <v>150.0</v>
      </c>
      <c r="G761" s="183">
        <v>150.0</v>
      </c>
      <c r="H761" s="279" t="b">
        <v>1</v>
      </c>
      <c r="I761" s="41" t="s">
        <v>236</v>
      </c>
      <c r="J761" s="41" t="s">
        <v>503</v>
      </c>
      <c r="K761" s="279" t="b">
        <v>0</v>
      </c>
      <c r="L761" s="279" t="b">
        <v>1</v>
      </c>
      <c r="N761" s="323" t="b">
        <v>1</v>
      </c>
    </row>
    <row r="762" ht="14.25" hidden="1" customHeight="1" outlineLevel="1">
      <c r="A762" s="131" t="s">
        <v>37</v>
      </c>
      <c r="B762" s="132">
        <v>45737.0</v>
      </c>
      <c r="C762" s="41" t="s">
        <v>61</v>
      </c>
      <c r="D762" s="182">
        <v>1.0</v>
      </c>
      <c r="E762" s="183">
        <v>150.0</v>
      </c>
      <c r="F762" s="183">
        <v>150.0</v>
      </c>
      <c r="G762" s="183">
        <v>150.0</v>
      </c>
      <c r="H762" s="279" t="b">
        <v>1</v>
      </c>
      <c r="I762" s="41" t="s">
        <v>236</v>
      </c>
      <c r="J762" s="41" t="s">
        <v>527</v>
      </c>
      <c r="K762" s="279" t="b">
        <v>0</v>
      </c>
      <c r="L762" s="279" t="b">
        <v>1</v>
      </c>
      <c r="N762" s="323" t="b">
        <v>1</v>
      </c>
    </row>
    <row r="763" ht="14.25" hidden="1" customHeight="1" outlineLevel="1">
      <c r="A763" s="131" t="s">
        <v>37</v>
      </c>
      <c r="B763" s="132">
        <v>45737.0</v>
      </c>
      <c r="C763" s="41" t="s">
        <v>80</v>
      </c>
      <c r="D763" s="182">
        <v>2.0</v>
      </c>
      <c r="E763" s="183">
        <v>15.0</v>
      </c>
      <c r="F763" s="183">
        <f>D763*E763</f>
        <v>30</v>
      </c>
      <c r="G763" s="183">
        <f>F763</f>
        <v>30</v>
      </c>
      <c r="H763" s="279" t="b">
        <v>0</v>
      </c>
      <c r="I763" s="143" t="s">
        <v>481</v>
      </c>
      <c r="J763" s="41" t="s">
        <v>1092</v>
      </c>
      <c r="K763" s="279" t="b">
        <v>1</v>
      </c>
      <c r="L763" s="279" t="b">
        <v>1</v>
      </c>
      <c r="N763" s="323" t="b">
        <v>0</v>
      </c>
    </row>
    <row r="764" ht="14.25" hidden="1" customHeight="1" outlineLevel="1">
      <c r="A764" s="131" t="s">
        <v>37</v>
      </c>
      <c r="B764" s="132">
        <v>45739.0</v>
      </c>
      <c r="C764" s="41" t="s">
        <v>61</v>
      </c>
      <c r="D764" s="182">
        <v>1.0</v>
      </c>
      <c r="E764" s="183">
        <v>200.0</v>
      </c>
      <c r="F764" s="183">
        <v>200.0</v>
      </c>
      <c r="G764" s="183">
        <v>200.0</v>
      </c>
      <c r="H764" s="279" t="b">
        <v>1</v>
      </c>
      <c r="I764" s="143" t="s">
        <v>413</v>
      </c>
      <c r="J764" s="41" t="s">
        <v>514</v>
      </c>
      <c r="K764" s="279" t="b">
        <v>0</v>
      </c>
      <c r="L764" s="279" t="b">
        <v>1</v>
      </c>
      <c r="N764" s="323" t="b">
        <v>1</v>
      </c>
    </row>
    <row r="765" ht="14.25" hidden="1" customHeight="1" outlineLevel="1">
      <c r="A765" s="131" t="s">
        <v>37</v>
      </c>
      <c r="B765" s="132">
        <v>45741.0</v>
      </c>
      <c r="C765" s="41" t="s">
        <v>61</v>
      </c>
      <c r="D765" s="182">
        <v>1.0</v>
      </c>
      <c r="E765" s="183">
        <v>150.0</v>
      </c>
      <c r="F765" s="183">
        <v>150.0</v>
      </c>
      <c r="G765" s="183">
        <v>150.0</v>
      </c>
      <c r="H765" s="279" t="b">
        <v>1</v>
      </c>
      <c r="I765" s="41" t="s">
        <v>236</v>
      </c>
      <c r="J765" s="41" t="s">
        <v>503</v>
      </c>
      <c r="K765" s="279" t="b">
        <v>0</v>
      </c>
      <c r="L765" s="279" t="b">
        <v>1</v>
      </c>
      <c r="N765" s="323" t="b">
        <v>1</v>
      </c>
    </row>
    <row r="766" ht="14.25" hidden="1" customHeight="1" outlineLevel="1">
      <c r="A766" s="131" t="s">
        <v>37</v>
      </c>
      <c r="B766" s="132">
        <v>45744.0</v>
      </c>
      <c r="C766" s="41" t="s">
        <v>93</v>
      </c>
      <c r="D766" s="182">
        <v>1.0</v>
      </c>
      <c r="E766" s="183">
        <v>87.15</v>
      </c>
      <c r="F766" s="183">
        <v>87.15</v>
      </c>
      <c r="G766" s="183">
        <v>87.15</v>
      </c>
      <c r="H766" s="279" t="b">
        <v>0</v>
      </c>
      <c r="I766" s="143" t="s">
        <v>337</v>
      </c>
      <c r="J766" s="41" t="s">
        <v>1094</v>
      </c>
      <c r="K766" s="279" t="b">
        <v>0</v>
      </c>
      <c r="L766" s="279" t="b">
        <v>1</v>
      </c>
      <c r="N766" s="323" t="b">
        <v>0</v>
      </c>
    </row>
    <row r="767" ht="14.25" hidden="1" customHeight="1" outlineLevel="1">
      <c r="A767" s="131" t="s">
        <v>37</v>
      </c>
      <c r="B767" s="132">
        <v>45744.0</v>
      </c>
      <c r="C767" s="41" t="s">
        <v>61</v>
      </c>
      <c r="D767" s="182">
        <v>1.0</v>
      </c>
      <c r="E767" s="183">
        <v>150.0</v>
      </c>
      <c r="F767" s="183">
        <v>150.0</v>
      </c>
      <c r="G767" s="183">
        <v>150.0</v>
      </c>
      <c r="H767" s="279" t="b">
        <v>1</v>
      </c>
      <c r="I767" s="41" t="s">
        <v>236</v>
      </c>
      <c r="J767" s="41" t="s">
        <v>527</v>
      </c>
      <c r="K767" s="279" t="b">
        <v>0</v>
      </c>
      <c r="L767" s="279" t="b">
        <v>1</v>
      </c>
      <c r="N767" s="323" t="b">
        <v>1</v>
      </c>
    </row>
    <row r="768" ht="14.25" hidden="1" customHeight="1" outlineLevel="1">
      <c r="A768" s="131" t="s">
        <v>37</v>
      </c>
      <c r="B768" s="132">
        <v>45744.0</v>
      </c>
      <c r="C768" s="41" t="s">
        <v>61</v>
      </c>
      <c r="D768" s="182">
        <v>1.0</v>
      </c>
      <c r="E768" s="183">
        <v>3450.0</v>
      </c>
      <c r="F768" s="183">
        <v>3450.0</v>
      </c>
      <c r="G768" s="183">
        <v>3450.0</v>
      </c>
      <c r="H768" s="279" t="b">
        <v>1</v>
      </c>
      <c r="I768" s="143" t="s">
        <v>119</v>
      </c>
      <c r="J768" s="41" t="s">
        <v>1096</v>
      </c>
      <c r="K768" s="279" t="b">
        <v>0</v>
      </c>
      <c r="L768" s="279" t="b">
        <v>0</v>
      </c>
      <c r="N768" s="323" t="b">
        <v>0</v>
      </c>
    </row>
    <row r="769" ht="14.25" hidden="1" customHeight="1" outlineLevel="1">
      <c r="A769" s="131" t="s">
        <v>37</v>
      </c>
      <c r="B769" s="132">
        <v>45746.0</v>
      </c>
      <c r="C769" s="285" t="s">
        <v>61</v>
      </c>
      <c r="D769" s="315">
        <v>1.0</v>
      </c>
      <c r="E769" s="316">
        <v>200.0</v>
      </c>
      <c r="F769" s="316">
        <v>200.0</v>
      </c>
      <c r="G769" s="316">
        <v>200.0</v>
      </c>
      <c r="H769" s="317" t="b">
        <v>1</v>
      </c>
      <c r="I769" s="318" t="s">
        <v>490</v>
      </c>
      <c r="J769" s="321" t="s">
        <v>513</v>
      </c>
      <c r="K769" s="317" t="b">
        <v>0</v>
      </c>
      <c r="L769" s="317" t="b">
        <v>1</v>
      </c>
      <c r="N769" s="323" t="b">
        <v>0</v>
      </c>
    </row>
    <row r="770" ht="14.25" hidden="1" customHeight="1" outlineLevel="1">
      <c r="A770" s="131" t="s">
        <v>37</v>
      </c>
      <c r="B770" s="132">
        <v>45746.0</v>
      </c>
      <c r="C770" s="41" t="s">
        <v>61</v>
      </c>
      <c r="D770" s="182">
        <v>1.0</v>
      </c>
      <c r="E770" s="183">
        <v>200.0</v>
      </c>
      <c r="F770" s="183">
        <v>200.0</v>
      </c>
      <c r="G770" s="183">
        <v>200.0</v>
      </c>
      <c r="H770" s="279" t="b">
        <v>1</v>
      </c>
      <c r="I770" s="143" t="s">
        <v>342</v>
      </c>
      <c r="J770" s="41" t="s">
        <v>514</v>
      </c>
      <c r="K770" s="279" t="b">
        <v>0</v>
      </c>
      <c r="L770" s="279" t="b">
        <v>1</v>
      </c>
      <c r="N770" s="323" t="b">
        <v>0</v>
      </c>
    </row>
    <row r="771" ht="14.25" hidden="1" customHeight="1" outlineLevel="1">
      <c r="A771" s="131" t="s">
        <v>37</v>
      </c>
      <c r="B771" s="132">
        <v>45717.0</v>
      </c>
      <c r="C771" s="41"/>
      <c r="D771" s="182"/>
      <c r="E771" s="183"/>
      <c r="F771" s="183"/>
      <c r="G771" s="183"/>
      <c r="H771" s="279" t="b">
        <v>0</v>
      </c>
      <c r="I771" s="41"/>
      <c r="J771" s="41"/>
      <c r="K771" s="278" t="b">
        <v>0</v>
      </c>
      <c r="L771" s="278" t="b">
        <v>0</v>
      </c>
      <c r="N771" s="323" t="b">
        <v>0</v>
      </c>
    </row>
    <row r="772" ht="14.25" hidden="1" customHeight="1" outlineLevel="1">
      <c r="A772" s="131" t="s">
        <v>37</v>
      </c>
      <c r="B772" s="132">
        <v>45717.0</v>
      </c>
      <c r="C772" s="41"/>
      <c r="D772" s="182"/>
      <c r="E772" s="183"/>
      <c r="F772" s="183"/>
      <c r="G772" s="183"/>
      <c r="H772" s="279"/>
      <c r="I772" s="41"/>
      <c r="J772" s="41"/>
      <c r="K772" s="10"/>
      <c r="L772" s="10"/>
      <c r="N772" s="323" t="b">
        <v>0</v>
      </c>
    </row>
    <row r="773" ht="14.25" hidden="1" customHeight="1" outlineLevel="1">
      <c r="A773" s="131" t="s">
        <v>37</v>
      </c>
      <c r="B773" s="132">
        <v>45717.0</v>
      </c>
      <c r="C773" s="41"/>
      <c r="D773" s="182"/>
      <c r="E773" s="183"/>
      <c r="F773" s="183"/>
      <c r="G773" s="183"/>
      <c r="H773" s="279"/>
      <c r="I773" s="143"/>
      <c r="J773" s="41"/>
      <c r="K773" s="279" t="b">
        <v>0</v>
      </c>
      <c r="L773" s="279" t="b">
        <v>0</v>
      </c>
      <c r="N773" s="323" t="b">
        <v>0</v>
      </c>
    </row>
    <row r="774" ht="14.25" hidden="1" customHeight="1" outlineLevel="1">
      <c r="A774" s="131" t="s">
        <v>37</v>
      </c>
      <c r="B774" s="132">
        <v>45717.0</v>
      </c>
      <c r="C774" s="41"/>
      <c r="D774" s="182"/>
      <c r="E774" s="183"/>
      <c r="F774" s="183"/>
      <c r="G774" s="183"/>
      <c r="H774" s="279"/>
      <c r="I774" s="143"/>
      <c r="J774" s="41"/>
      <c r="K774" s="279" t="b">
        <v>0</v>
      </c>
      <c r="L774" s="279" t="b">
        <v>0</v>
      </c>
      <c r="N774" s="323" t="b">
        <v>0</v>
      </c>
    </row>
    <row r="775" ht="14.25" customHeight="1">
      <c r="A775" s="180" t="s">
        <v>192</v>
      </c>
      <c r="B775" s="27"/>
      <c r="C775" s="27"/>
      <c r="D775" s="27"/>
      <c r="E775" s="28"/>
      <c r="F775" s="181">
        <f t="shared" ref="F775:G775" si="92">SUM(F741:F774)</f>
        <v>7485.02</v>
      </c>
      <c r="G775" s="181">
        <f t="shared" si="92"/>
        <v>7485.02</v>
      </c>
    </row>
    <row r="776" ht="14.25" customHeight="1" collapsed="1">
      <c r="A776" s="245" t="s">
        <v>991</v>
      </c>
      <c r="B776" s="246"/>
      <c r="C776" s="246"/>
      <c r="D776" s="246"/>
      <c r="E776" s="246"/>
      <c r="F776" s="246"/>
      <c r="G776" s="246"/>
      <c r="H776" s="246"/>
      <c r="I776" s="246"/>
      <c r="J776" s="247"/>
      <c r="K776" s="238"/>
      <c r="L776" s="238"/>
    </row>
    <row r="777" ht="14.25" hidden="1" customHeight="1" outlineLevel="1">
      <c r="A777" s="131" t="s">
        <v>36</v>
      </c>
      <c r="B777" s="132">
        <v>45748.0</v>
      </c>
      <c r="C777" s="41" t="s">
        <v>61</v>
      </c>
      <c r="D777" s="182">
        <v>1.0</v>
      </c>
      <c r="E777" s="183">
        <v>150.0</v>
      </c>
      <c r="F777" s="183">
        <v>150.0</v>
      </c>
      <c r="G777" s="183">
        <v>150.0</v>
      </c>
      <c r="H777" s="279" t="b">
        <v>1</v>
      </c>
      <c r="I777" s="143" t="s">
        <v>236</v>
      </c>
      <c r="J777" s="41" t="s">
        <v>410</v>
      </c>
      <c r="K777" s="279" t="b">
        <v>0</v>
      </c>
      <c r="L777" s="279" t="b">
        <v>1</v>
      </c>
      <c r="M777" s="324"/>
      <c r="N777" s="279" t="b">
        <v>0</v>
      </c>
      <c r="O777" s="324"/>
      <c r="P777" s="324"/>
      <c r="Q777" s="324"/>
      <c r="R777" s="324"/>
      <c r="S777" s="324"/>
      <c r="T777" s="324"/>
      <c r="U777" s="324"/>
      <c r="V777" s="324"/>
      <c r="W777" s="324"/>
      <c r="X777" s="324"/>
      <c r="Y777" s="324"/>
      <c r="Z777" s="324"/>
      <c r="AA777" s="324"/>
      <c r="AB777" s="324"/>
      <c r="AC777" s="324"/>
      <c r="AD777" s="324"/>
    </row>
    <row r="778" ht="14.25" hidden="1" customHeight="1" outlineLevel="1">
      <c r="A778" s="131" t="s">
        <v>36</v>
      </c>
      <c r="B778" s="132">
        <v>45748.0</v>
      </c>
      <c r="C778" s="41" t="s">
        <v>61</v>
      </c>
      <c r="D778" s="182">
        <v>1.0</v>
      </c>
      <c r="E778" s="183">
        <v>150.0</v>
      </c>
      <c r="F778" s="183">
        <v>150.0</v>
      </c>
      <c r="G778" s="183">
        <v>150.0</v>
      </c>
      <c r="H778" s="279" t="b">
        <v>1</v>
      </c>
      <c r="I778" s="143" t="s">
        <v>456</v>
      </c>
      <c r="J778" s="41" t="s">
        <v>1105</v>
      </c>
      <c r="K778" s="279" t="b">
        <v>0</v>
      </c>
      <c r="L778" s="279" t="b">
        <v>1</v>
      </c>
      <c r="M778" s="324"/>
      <c r="N778" s="279" t="b">
        <v>0</v>
      </c>
      <c r="O778" s="324"/>
      <c r="P778" s="324"/>
      <c r="Q778" s="324"/>
      <c r="R778" s="324"/>
      <c r="S778" s="324"/>
      <c r="T778" s="324"/>
      <c r="U778" s="324"/>
      <c r="V778" s="324"/>
      <c r="W778" s="324"/>
      <c r="X778" s="324"/>
      <c r="Y778" s="324"/>
      <c r="Z778" s="324"/>
      <c r="AA778" s="324"/>
      <c r="AB778" s="324"/>
      <c r="AC778" s="324"/>
      <c r="AD778" s="324"/>
    </row>
    <row r="779" ht="14.25" hidden="1" customHeight="1" outlineLevel="1">
      <c r="A779" s="131" t="s">
        <v>36</v>
      </c>
      <c r="B779" s="132">
        <v>45749.0</v>
      </c>
      <c r="C779" s="41" t="s">
        <v>61</v>
      </c>
      <c r="D779" s="182">
        <v>1.0</v>
      </c>
      <c r="E779" s="183">
        <v>150.0</v>
      </c>
      <c r="F779" s="183">
        <v>150.0</v>
      </c>
      <c r="G779" s="183">
        <v>150.0</v>
      </c>
      <c r="H779" s="279" t="b">
        <v>1</v>
      </c>
      <c r="I779" s="143" t="s">
        <v>456</v>
      </c>
      <c r="J779" s="41" t="s">
        <v>1106</v>
      </c>
      <c r="K779" s="279" t="b">
        <v>0</v>
      </c>
      <c r="L779" s="279" t="b">
        <v>1</v>
      </c>
      <c r="M779" s="324"/>
      <c r="N779" s="279" t="b">
        <v>0</v>
      </c>
      <c r="O779" s="324"/>
      <c r="P779" s="324"/>
      <c r="Q779" s="324"/>
      <c r="R779" s="324"/>
      <c r="S779" s="324"/>
      <c r="T779" s="324"/>
      <c r="U779" s="324"/>
      <c r="V779" s="324"/>
      <c r="W779" s="324"/>
      <c r="X779" s="324"/>
      <c r="Y779" s="324"/>
      <c r="Z779" s="324"/>
      <c r="AA779" s="324"/>
      <c r="AB779" s="324"/>
      <c r="AC779" s="324"/>
      <c r="AD779" s="324"/>
    </row>
    <row r="780" ht="14.25" hidden="1" customHeight="1" outlineLevel="1">
      <c r="A780" s="131" t="s">
        <v>36</v>
      </c>
      <c r="B780" s="132">
        <v>45750.0</v>
      </c>
      <c r="C780" s="41" t="s">
        <v>75</v>
      </c>
      <c r="D780" s="182">
        <v>1.0</v>
      </c>
      <c r="E780" s="183">
        <v>1.0</v>
      </c>
      <c r="F780" s="183">
        <v>120.0</v>
      </c>
      <c r="G780" s="183">
        <v>120.0</v>
      </c>
      <c r="H780" s="279" t="b">
        <v>0</v>
      </c>
      <c r="I780" s="143" t="s">
        <v>76</v>
      </c>
      <c r="J780" s="41" t="s">
        <v>1085</v>
      </c>
      <c r="K780" s="279" t="b">
        <v>0</v>
      </c>
      <c r="L780" s="279" t="b">
        <v>0</v>
      </c>
      <c r="M780" s="324"/>
      <c r="N780" s="279" t="b">
        <v>0</v>
      </c>
      <c r="O780" s="324"/>
      <c r="P780" s="324"/>
      <c r="Q780" s="324"/>
      <c r="R780" s="324"/>
      <c r="S780" s="324"/>
      <c r="T780" s="324"/>
      <c r="U780" s="324"/>
      <c r="V780" s="324"/>
      <c r="W780" s="324"/>
      <c r="X780" s="324"/>
      <c r="Y780" s="324"/>
      <c r="Z780" s="324"/>
      <c r="AA780" s="324"/>
      <c r="AB780" s="324"/>
      <c r="AC780" s="324"/>
      <c r="AD780" s="324"/>
    </row>
    <row r="781" ht="14.25" hidden="1" customHeight="1" outlineLevel="1">
      <c r="A781" s="131" t="s">
        <v>36</v>
      </c>
      <c r="B781" s="132">
        <v>45750.0</v>
      </c>
      <c r="C781" s="41" t="s">
        <v>55</v>
      </c>
      <c r="D781" s="182">
        <v>4.0</v>
      </c>
      <c r="E781" s="183">
        <v>18.9</v>
      </c>
      <c r="F781" s="325">
        <f>D781*E781</f>
        <v>75.6</v>
      </c>
      <c r="G781" s="325">
        <f>F781</f>
        <v>75.6</v>
      </c>
      <c r="H781" s="279" t="b">
        <v>0</v>
      </c>
      <c r="I781" s="143" t="s">
        <v>254</v>
      </c>
      <c r="J781" s="41" t="s">
        <v>1114</v>
      </c>
      <c r="K781" s="279" t="b">
        <v>1</v>
      </c>
      <c r="L781" s="279" t="b">
        <v>1</v>
      </c>
      <c r="M781" s="324"/>
      <c r="N781" s="279" t="b">
        <v>0</v>
      </c>
      <c r="O781" s="324"/>
      <c r="P781" s="324"/>
      <c r="Q781" s="324"/>
      <c r="R781" s="324"/>
      <c r="S781" s="324"/>
      <c r="T781" s="324"/>
      <c r="U781" s="324"/>
      <c r="V781" s="324"/>
      <c r="W781" s="324"/>
      <c r="X781" s="324"/>
      <c r="Y781" s="324"/>
      <c r="Z781" s="324"/>
      <c r="AA781" s="324"/>
      <c r="AB781" s="324"/>
      <c r="AC781" s="324"/>
      <c r="AD781" s="324"/>
    </row>
    <row r="782" ht="14.25" hidden="1" customHeight="1" outlineLevel="1">
      <c r="A782" s="131" t="s">
        <v>36</v>
      </c>
      <c r="B782" s="132">
        <v>45750.0</v>
      </c>
      <c r="C782" s="41" t="s">
        <v>61</v>
      </c>
      <c r="D782" s="182">
        <v>1.0</v>
      </c>
      <c r="E782" s="183">
        <v>150.0</v>
      </c>
      <c r="F782" s="183">
        <v>150.0</v>
      </c>
      <c r="G782" s="183">
        <v>150.0</v>
      </c>
      <c r="H782" s="279" t="b">
        <v>1</v>
      </c>
      <c r="I782" s="143" t="s">
        <v>980</v>
      </c>
      <c r="J782" s="41" t="s">
        <v>1115</v>
      </c>
      <c r="K782" s="279" t="b">
        <v>0</v>
      </c>
      <c r="L782" s="279" t="b">
        <v>1</v>
      </c>
      <c r="M782" s="324"/>
      <c r="N782" s="279" t="b">
        <v>0</v>
      </c>
      <c r="O782" s="324"/>
      <c r="P782" s="324"/>
      <c r="Q782" s="324"/>
      <c r="R782" s="324"/>
      <c r="S782" s="324"/>
      <c r="T782" s="324"/>
      <c r="U782" s="324"/>
      <c r="V782" s="324"/>
      <c r="W782" s="324"/>
      <c r="X782" s="324"/>
      <c r="Y782" s="324"/>
      <c r="Z782" s="324"/>
      <c r="AA782" s="324"/>
      <c r="AB782" s="324"/>
      <c r="AC782" s="324"/>
      <c r="AD782" s="324"/>
    </row>
    <row r="783" ht="14.25" hidden="1" customHeight="1" outlineLevel="1">
      <c r="A783" s="131" t="s">
        <v>36</v>
      </c>
      <c r="B783" s="132">
        <v>45751.0</v>
      </c>
      <c r="C783" s="41" t="s">
        <v>61</v>
      </c>
      <c r="D783" s="182">
        <v>1.0</v>
      </c>
      <c r="E783" s="183">
        <v>150.0</v>
      </c>
      <c r="F783" s="183">
        <v>150.0</v>
      </c>
      <c r="G783" s="183">
        <v>150.0</v>
      </c>
      <c r="H783" s="279" t="b">
        <v>1</v>
      </c>
      <c r="I783" s="143" t="s">
        <v>236</v>
      </c>
      <c r="J783" s="41" t="s">
        <v>384</v>
      </c>
      <c r="K783" s="279" t="b">
        <v>0</v>
      </c>
      <c r="L783" s="279" t="b">
        <v>1</v>
      </c>
      <c r="M783" s="324"/>
      <c r="N783" s="279" t="b">
        <v>0</v>
      </c>
      <c r="O783" s="324"/>
      <c r="P783" s="324"/>
      <c r="Q783" s="324"/>
      <c r="R783" s="324"/>
      <c r="S783" s="324"/>
      <c r="T783" s="324"/>
      <c r="U783" s="324"/>
      <c r="V783" s="324"/>
      <c r="W783" s="324"/>
      <c r="X783" s="324"/>
      <c r="Y783" s="324"/>
      <c r="Z783" s="324"/>
      <c r="AA783" s="324"/>
      <c r="AB783" s="324"/>
      <c r="AC783" s="324"/>
      <c r="AD783" s="324"/>
    </row>
    <row r="784" ht="14.25" hidden="1" customHeight="1" outlineLevel="1">
      <c r="A784" s="131" t="s">
        <v>36</v>
      </c>
      <c r="B784" s="132">
        <v>45751.0</v>
      </c>
      <c r="C784" s="41" t="s">
        <v>61</v>
      </c>
      <c r="D784" s="182">
        <v>1.0</v>
      </c>
      <c r="E784" s="183">
        <v>150.0</v>
      </c>
      <c r="F784" s="183">
        <v>150.0</v>
      </c>
      <c r="G784" s="183">
        <v>150.0</v>
      </c>
      <c r="H784" s="279" t="b">
        <v>1</v>
      </c>
      <c r="I784" s="143" t="s">
        <v>456</v>
      </c>
      <c r="J784" s="41" t="s">
        <v>1117</v>
      </c>
      <c r="K784" s="279" t="b">
        <v>0</v>
      </c>
      <c r="L784" s="279" t="b">
        <v>1</v>
      </c>
      <c r="M784" s="324"/>
      <c r="N784" s="279" t="b">
        <v>0</v>
      </c>
      <c r="O784" s="324"/>
      <c r="P784" s="324"/>
      <c r="Q784" s="324"/>
      <c r="R784" s="324"/>
      <c r="S784" s="324"/>
      <c r="T784" s="324"/>
      <c r="U784" s="324"/>
      <c r="V784" s="324"/>
      <c r="W784" s="324"/>
      <c r="X784" s="324"/>
      <c r="Y784" s="324"/>
      <c r="Z784" s="324"/>
      <c r="AA784" s="324"/>
      <c r="AB784" s="324"/>
      <c r="AC784" s="324"/>
      <c r="AD784" s="324"/>
    </row>
    <row r="785" ht="14.25" hidden="1" customHeight="1" outlineLevel="1">
      <c r="A785" s="131" t="s">
        <v>36</v>
      </c>
      <c r="B785" s="132">
        <v>45751.0</v>
      </c>
      <c r="C785" s="41" t="s">
        <v>69</v>
      </c>
      <c r="D785" s="182">
        <v>2.0</v>
      </c>
      <c r="E785" s="183">
        <v>4.49</v>
      </c>
      <c r="F785" s="325">
        <f>D785*E785</f>
        <v>8.98</v>
      </c>
      <c r="G785" s="325">
        <f>F785</f>
        <v>8.98</v>
      </c>
      <c r="H785" s="279" t="b">
        <v>0</v>
      </c>
      <c r="I785" s="143" t="s">
        <v>117</v>
      </c>
      <c r="J785" s="41" t="s">
        <v>69</v>
      </c>
      <c r="K785" s="279" t="b">
        <v>1</v>
      </c>
      <c r="L785" s="279" t="b">
        <v>1</v>
      </c>
      <c r="M785" s="324"/>
      <c r="N785" s="279" t="b">
        <v>0</v>
      </c>
      <c r="O785" s="324"/>
      <c r="P785" s="324"/>
      <c r="Q785" s="324"/>
      <c r="R785" s="324"/>
      <c r="S785" s="324"/>
      <c r="T785" s="324"/>
      <c r="U785" s="324"/>
      <c r="V785" s="324"/>
      <c r="W785" s="324"/>
      <c r="X785" s="324"/>
      <c r="Y785" s="324"/>
      <c r="Z785" s="324"/>
      <c r="AA785" s="324"/>
      <c r="AB785" s="324"/>
      <c r="AC785" s="324"/>
      <c r="AD785" s="324"/>
    </row>
    <row r="786" ht="14.25" hidden="1" customHeight="1" outlineLevel="1">
      <c r="A786" s="131" t="s">
        <v>36</v>
      </c>
      <c r="B786" s="132">
        <v>45753.0</v>
      </c>
      <c r="C786" s="285" t="s">
        <v>61</v>
      </c>
      <c r="D786" s="315">
        <v>1.0</v>
      </c>
      <c r="E786" s="316">
        <v>200.0</v>
      </c>
      <c r="F786" s="316">
        <v>200.0</v>
      </c>
      <c r="G786" s="316">
        <v>200.0</v>
      </c>
      <c r="H786" s="317" t="b">
        <v>1</v>
      </c>
      <c r="I786" s="318" t="s">
        <v>490</v>
      </c>
      <c r="J786" s="321" t="s">
        <v>513</v>
      </c>
      <c r="K786" s="322" t="b">
        <v>0</v>
      </c>
      <c r="L786" s="317" t="b">
        <v>1</v>
      </c>
      <c r="M786" s="324"/>
      <c r="N786" s="279" t="b">
        <v>0</v>
      </c>
      <c r="O786" s="324"/>
      <c r="P786" s="324"/>
      <c r="Q786" s="324"/>
      <c r="R786" s="324"/>
      <c r="S786" s="324"/>
      <c r="T786" s="324"/>
      <c r="U786" s="324"/>
      <c r="V786" s="324"/>
      <c r="W786" s="324"/>
      <c r="X786" s="324"/>
      <c r="Y786" s="324"/>
      <c r="Z786" s="324"/>
      <c r="AA786" s="324"/>
      <c r="AB786" s="324"/>
      <c r="AC786" s="324"/>
      <c r="AD786" s="324"/>
    </row>
    <row r="787" ht="14.25" hidden="1" customHeight="1" outlineLevel="1">
      <c r="A787" s="131" t="s">
        <v>36</v>
      </c>
      <c r="B787" s="132">
        <v>45753.0</v>
      </c>
      <c r="C787" s="41" t="s">
        <v>61</v>
      </c>
      <c r="D787" s="182">
        <v>1.0</v>
      </c>
      <c r="E787" s="183">
        <v>200.0</v>
      </c>
      <c r="F787" s="183">
        <v>200.0</v>
      </c>
      <c r="G787" s="183">
        <v>200.0</v>
      </c>
      <c r="H787" s="279" t="b">
        <v>1</v>
      </c>
      <c r="I787" s="143" t="s">
        <v>413</v>
      </c>
      <c r="J787" s="41" t="s">
        <v>514</v>
      </c>
      <c r="K787" s="279" t="b">
        <v>0</v>
      </c>
      <c r="L787" s="279" t="b">
        <v>1</v>
      </c>
      <c r="M787" s="324"/>
      <c r="N787" s="279" t="b">
        <v>0</v>
      </c>
      <c r="O787" s="324"/>
      <c r="P787" s="324"/>
      <c r="Q787" s="324"/>
      <c r="R787" s="324"/>
      <c r="S787" s="324"/>
      <c r="T787" s="324"/>
      <c r="U787" s="324"/>
      <c r="V787" s="324"/>
      <c r="W787" s="324"/>
      <c r="X787" s="324"/>
      <c r="Y787" s="324"/>
      <c r="Z787" s="324"/>
      <c r="AA787" s="324"/>
      <c r="AB787" s="324"/>
      <c r="AC787" s="324"/>
      <c r="AD787" s="324"/>
    </row>
    <row r="788" ht="14.25" hidden="1" customHeight="1" outlineLevel="1">
      <c r="A788" s="131" t="s">
        <v>36</v>
      </c>
      <c r="B788" s="132">
        <v>45754.0</v>
      </c>
      <c r="C788" s="41" t="s">
        <v>61</v>
      </c>
      <c r="D788" s="182">
        <v>1.0</v>
      </c>
      <c r="E788" s="183">
        <v>150.0</v>
      </c>
      <c r="F788" s="183">
        <v>150.0</v>
      </c>
      <c r="G788" s="183">
        <v>150.0</v>
      </c>
      <c r="H788" s="279" t="b">
        <v>1</v>
      </c>
      <c r="I788" s="143" t="s">
        <v>456</v>
      </c>
      <c r="J788" s="41" t="s">
        <v>1106</v>
      </c>
      <c r="K788" s="279" t="b">
        <v>0</v>
      </c>
      <c r="L788" s="279" t="b">
        <v>1</v>
      </c>
      <c r="M788" s="324"/>
      <c r="N788" s="279" t="b">
        <v>0</v>
      </c>
      <c r="O788" s="324"/>
      <c r="P788" s="324"/>
      <c r="Q788" s="324"/>
      <c r="R788" s="324"/>
      <c r="S788" s="324"/>
      <c r="T788" s="324"/>
      <c r="U788" s="324"/>
      <c r="V788" s="324"/>
      <c r="W788" s="324"/>
      <c r="X788" s="324"/>
      <c r="Y788" s="324"/>
      <c r="Z788" s="324"/>
      <c r="AA788" s="324"/>
      <c r="AB788" s="324"/>
      <c r="AC788" s="324"/>
      <c r="AD788" s="324"/>
    </row>
    <row r="789" ht="14.25" hidden="1" customHeight="1" outlineLevel="1">
      <c r="A789" s="131" t="s">
        <v>36</v>
      </c>
      <c r="B789" s="132">
        <v>45755.0</v>
      </c>
      <c r="C789" s="41" t="s">
        <v>61</v>
      </c>
      <c r="D789" s="182">
        <v>1.0</v>
      </c>
      <c r="E789" s="183">
        <v>150.0</v>
      </c>
      <c r="F789" s="183">
        <v>150.0</v>
      </c>
      <c r="G789" s="183">
        <v>150.0</v>
      </c>
      <c r="H789" s="279" t="b">
        <v>1</v>
      </c>
      <c r="I789" s="143" t="s">
        <v>236</v>
      </c>
      <c r="J789" s="41" t="s">
        <v>410</v>
      </c>
      <c r="K789" s="279" t="b">
        <v>0</v>
      </c>
      <c r="L789" s="279" t="b">
        <v>1</v>
      </c>
      <c r="M789" s="324"/>
      <c r="N789" s="279" t="b">
        <v>0</v>
      </c>
      <c r="O789" s="324"/>
      <c r="P789" s="324"/>
      <c r="Q789" s="324"/>
      <c r="R789" s="324"/>
      <c r="S789" s="324"/>
      <c r="T789" s="324"/>
      <c r="U789" s="324"/>
      <c r="V789" s="324"/>
      <c r="W789" s="324"/>
      <c r="X789" s="324"/>
      <c r="Y789" s="324"/>
      <c r="Z789" s="324"/>
      <c r="AA789" s="324"/>
      <c r="AB789" s="324"/>
      <c r="AC789" s="324"/>
      <c r="AD789" s="324"/>
    </row>
    <row r="790" ht="14.25" hidden="1" customHeight="1" outlineLevel="1">
      <c r="A790" s="131" t="s">
        <v>36</v>
      </c>
      <c r="B790" s="132">
        <v>45755.0</v>
      </c>
      <c r="C790" s="41" t="s">
        <v>61</v>
      </c>
      <c r="D790" s="182">
        <v>1.0</v>
      </c>
      <c r="E790" s="183">
        <v>150.0</v>
      </c>
      <c r="F790" s="183">
        <v>150.0</v>
      </c>
      <c r="G790" s="183">
        <v>150.0</v>
      </c>
      <c r="H790" s="279" t="b">
        <v>1</v>
      </c>
      <c r="I790" s="143" t="s">
        <v>456</v>
      </c>
      <c r="J790" s="41" t="s">
        <v>1105</v>
      </c>
      <c r="K790" s="279" t="b">
        <v>0</v>
      </c>
      <c r="L790" s="279" t="b">
        <v>1</v>
      </c>
      <c r="M790" s="324"/>
      <c r="N790" s="279" t="b">
        <v>0</v>
      </c>
      <c r="O790" s="324"/>
      <c r="P790" s="324"/>
      <c r="Q790" s="324"/>
      <c r="R790" s="324"/>
      <c r="S790" s="324"/>
      <c r="T790" s="324"/>
      <c r="U790" s="324"/>
      <c r="V790" s="324"/>
      <c r="W790" s="324"/>
      <c r="X790" s="324"/>
      <c r="Y790" s="324"/>
      <c r="Z790" s="324"/>
      <c r="AA790" s="324"/>
      <c r="AB790" s="324"/>
      <c r="AC790" s="324"/>
      <c r="AD790" s="324"/>
    </row>
    <row r="791" ht="14.25" hidden="1" customHeight="1" outlineLevel="1">
      <c r="A791" s="131" t="s">
        <v>36</v>
      </c>
      <c r="B791" s="132">
        <v>45756.0</v>
      </c>
      <c r="C791" s="41" t="s">
        <v>61</v>
      </c>
      <c r="D791" s="182">
        <v>1.0</v>
      </c>
      <c r="E791" s="183">
        <v>150.0</v>
      </c>
      <c r="F791" s="183">
        <v>150.0</v>
      </c>
      <c r="G791" s="183">
        <v>150.0</v>
      </c>
      <c r="H791" s="279" t="b">
        <v>1</v>
      </c>
      <c r="I791" s="143" t="s">
        <v>456</v>
      </c>
      <c r="J791" s="41" t="s">
        <v>1106</v>
      </c>
      <c r="K791" s="279" t="b">
        <v>0</v>
      </c>
      <c r="L791" s="279" t="b">
        <v>1</v>
      </c>
      <c r="M791" s="324"/>
      <c r="N791" s="279" t="b">
        <v>0</v>
      </c>
      <c r="O791" s="324"/>
      <c r="P791" s="324"/>
      <c r="Q791" s="324"/>
      <c r="R791" s="324"/>
      <c r="S791" s="324"/>
      <c r="T791" s="324"/>
      <c r="U791" s="324"/>
      <c r="V791" s="324"/>
      <c r="W791" s="324"/>
      <c r="X791" s="324"/>
      <c r="Y791" s="324"/>
      <c r="Z791" s="324"/>
      <c r="AA791" s="324"/>
      <c r="AB791" s="324"/>
      <c r="AC791" s="324"/>
      <c r="AD791" s="324"/>
    </row>
    <row r="792" ht="14.25" hidden="1" customHeight="1" outlineLevel="1">
      <c r="A792" s="131" t="s">
        <v>36</v>
      </c>
      <c r="B792" s="132">
        <v>45756.0</v>
      </c>
      <c r="C792" s="41" t="s">
        <v>75</v>
      </c>
      <c r="D792" s="182">
        <v>5.0</v>
      </c>
      <c r="E792" s="183">
        <v>40.0</v>
      </c>
      <c r="F792" s="325">
        <f>D792*E792</f>
        <v>200</v>
      </c>
      <c r="G792" s="325">
        <f>F792</f>
        <v>200</v>
      </c>
      <c r="H792" s="279" t="b">
        <v>0</v>
      </c>
      <c r="I792" s="143" t="s">
        <v>76</v>
      </c>
      <c r="J792" s="41" t="s">
        <v>1123</v>
      </c>
      <c r="K792" s="279" t="b">
        <v>0</v>
      </c>
      <c r="L792" s="279" t="b">
        <v>0</v>
      </c>
      <c r="M792" s="324"/>
      <c r="N792" s="279" t="b">
        <v>0</v>
      </c>
      <c r="O792" s="324"/>
      <c r="P792" s="324"/>
      <c r="Q792" s="324"/>
      <c r="R792" s="324"/>
      <c r="S792" s="324"/>
      <c r="T792" s="324"/>
      <c r="U792" s="324"/>
      <c r="V792" s="324"/>
      <c r="W792" s="324"/>
      <c r="X792" s="324"/>
      <c r="Y792" s="324"/>
      <c r="Z792" s="324"/>
      <c r="AA792" s="324"/>
      <c r="AB792" s="324"/>
      <c r="AC792" s="324"/>
      <c r="AD792" s="324"/>
    </row>
    <row r="793" ht="14.25" hidden="1" customHeight="1" outlineLevel="1">
      <c r="A793" s="131" t="s">
        <v>36</v>
      </c>
      <c r="B793" s="132">
        <v>45756.0</v>
      </c>
      <c r="C793" s="41" t="s">
        <v>61</v>
      </c>
      <c r="D793" s="182">
        <v>1.0</v>
      </c>
      <c r="E793" s="183">
        <v>100.0</v>
      </c>
      <c r="F793" s="183">
        <v>100.0</v>
      </c>
      <c r="G793" s="183">
        <v>100.0</v>
      </c>
      <c r="H793" s="279" t="b">
        <v>1</v>
      </c>
      <c r="I793" s="143" t="s">
        <v>413</v>
      </c>
      <c r="J793" s="41" t="s">
        <v>1125</v>
      </c>
      <c r="K793" s="279" t="b">
        <v>0</v>
      </c>
      <c r="L793" s="279" t="b">
        <v>1</v>
      </c>
      <c r="M793" s="324"/>
      <c r="N793" s="279" t="b">
        <v>0</v>
      </c>
      <c r="O793" s="324"/>
      <c r="P793" s="324"/>
      <c r="Q793" s="324"/>
      <c r="R793" s="324"/>
      <c r="S793" s="324"/>
      <c r="T793" s="324"/>
      <c r="U793" s="324"/>
      <c r="V793" s="324"/>
      <c r="W793" s="324"/>
      <c r="X793" s="324"/>
      <c r="Y793" s="324"/>
      <c r="Z793" s="324"/>
      <c r="AA793" s="324"/>
      <c r="AB793" s="324"/>
      <c r="AC793" s="324"/>
      <c r="AD793" s="324"/>
    </row>
    <row r="794" ht="14.25" hidden="1" customHeight="1" outlineLevel="1">
      <c r="A794" s="131" t="s">
        <v>36</v>
      </c>
      <c r="B794" s="132">
        <v>45757.0</v>
      </c>
      <c r="C794" s="41" t="s">
        <v>61</v>
      </c>
      <c r="D794" s="182">
        <v>1.0</v>
      </c>
      <c r="E794" s="183">
        <v>150.0</v>
      </c>
      <c r="F794" s="183">
        <v>150.0</v>
      </c>
      <c r="G794" s="183">
        <v>150.0</v>
      </c>
      <c r="H794" s="279" t="b">
        <v>1</v>
      </c>
      <c r="I794" s="143" t="s">
        <v>980</v>
      </c>
      <c r="J794" s="41" t="s">
        <v>1115</v>
      </c>
      <c r="K794" s="279" t="b">
        <v>0</v>
      </c>
      <c r="L794" s="279" t="b">
        <v>1</v>
      </c>
      <c r="M794" s="324"/>
      <c r="N794" s="279" t="b">
        <v>0</v>
      </c>
      <c r="O794" s="324"/>
      <c r="P794" s="324"/>
      <c r="Q794" s="324"/>
      <c r="R794" s="324"/>
      <c r="S794" s="324"/>
      <c r="T794" s="324"/>
      <c r="U794" s="324"/>
      <c r="V794" s="324"/>
      <c r="W794" s="324"/>
      <c r="X794" s="324"/>
      <c r="Y794" s="324"/>
      <c r="Z794" s="324"/>
      <c r="AA794" s="324"/>
      <c r="AB794" s="324"/>
      <c r="AC794" s="324"/>
      <c r="AD794" s="324"/>
    </row>
    <row r="795" ht="14.25" hidden="1" customHeight="1" outlineLevel="1">
      <c r="A795" s="131" t="s">
        <v>36</v>
      </c>
      <c r="B795" s="132">
        <v>45757.0</v>
      </c>
      <c r="C795" s="41" t="s">
        <v>231</v>
      </c>
      <c r="D795" s="182">
        <v>1.0</v>
      </c>
      <c r="E795" s="183">
        <v>19.99</v>
      </c>
      <c r="F795" s="325">
        <f t="shared" ref="F795:F798" si="93">D795*E795</f>
        <v>19.99</v>
      </c>
      <c r="G795" s="326">
        <f>SUM(F795:F797)</f>
        <v>50.95</v>
      </c>
      <c r="H795" s="278" t="b">
        <v>0</v>
      </c>
      <c r="I795" s="164" t="s">
        <v>117</v>
      </c>
      <c r="J795" s="41" t="s">
        <v>1129</v>
      </c>
      <c r="K795" s="278" t="b">
        <v>1</v>
      </c>
      <c r="L795" s="278" t="b">
        <v>1</v>
      </c>
      <c r="M795" s="324"/>
      <c r="N795" s="279" t="b">
        <v>0</v>
      </c>
      <c r="O795" s="324"/>
      <c r="P795" s="324"/>
      <c r="Q795" s="324"/>
      <c r="R795" s="324"/>
      <c r="S795" s="324"/>
      <c r="T795" s="324"/>
      <c r="U795" s="324"/>
      <c r="V795" s="324"/>
      <c r="W795" s="324"/>
      <c r="X795" s="324"/>
      <c r="Y795" s="324"/>
      <c r="Z795" s="324"/>
      <c r="AA795" s="324"/>
      <c r="AB795" s="324"/>
      <c r="AC795" s="324"/>
      <c r="AD795" s="324"/>
    </row>
    <row r="796" ht="14.25" hidden="1" customHeight="1" outlineLevel="1">
      <c r="A796" s="131" t="s">
        <v>36</v>
      </c>
      <c r="B796" s="132">
        <v>45757.0</v>
      </c>
      <c r="C796" s="41" t="s">
        <v>116</v>
      </c>
      <c r="D796" s="182">
        <v>3.0</v>
      </c>
      <c r="E796" s="183">
        <v>6.99</v>
      </c>
      <c r="F796" s="325">
        <f t="shared" si="93"/>
        <v>20.97</v>
      </c>
      <c r="G796" s="58"/>
      <c r="H796" s="58"/>
      <c r="I796" s="194"/>
      <c r="J796" s="41" t="s">
        <v>1130</v>
      </c>
      <c r="K796" s="58"/>
      <c r="L796" s="58"/>
      <c r="M796" s="324"/>
      <c r="N796" s="279" t="b">
        <v>0</v>
      </c>
      <c r="O796" s="324"/>
      <c r="P796" s="324"/>
      <c r="Q796" s="324"/>
      <c r="R796" s="324"/>
      <c r="S796" s="324"/>
      <c r="T796" s="324"/>
      <c r="U796" s="324"/>
      <c r="V796" s="324"/>
      <c r="W796" s="324"/>
      <c r="X796" s="324"/>
      <c r="Y796" s="324"/>
      <c r="Z796" s="324"/>
      <c r="AA796" s="324"/>
      <c r="AB796" s="324"/>
      <c r="AC796" s="324"/>
      <c r="AD796" s="324"/>
    </row>
    <row r="797" ht="14.25" hidden="1" customHeight="1" outlineLevel="1">
      <c r="A797" s="131" t="s">
        <v>36</v>
      </c>
      <c r="B797" s="132">
        <v>45757.0</v>
      </c>
      <c r="C797" s="41" t="s">
        <v>231</v>
      </c>
      <c r="D797" s="182">
        <v>1.0</v>
      </c>
      <c r="E797" s="183">
        <v>9.99</v>
      </c>
      <c r="F797" s="325">
        <f t="shared" si="93"/>
        <v>9.99</v>
      </c>
      <c r="G797" s="10"/>
      <c r="H797" s="10"/>
      <c r="I797" s="74"/>
      <c r="J797" s="41" t="s">
        <v>1133</v>
      </c>
      <c r="K797" s="10"/>
      <c r="L797" s="10"/>
      <c r="M797" s="324"/>
      <c r="N797" s="279" t="b">
        <v>0</v>
      </c>
      <c r="O797" s="324"/>
      <c r="P797" s="324"/>
      <c r="Q797" s="324"/>
      <c r="R797" s="324"/>
      <c r="S797" s="324"/>
      <c r="T797" s="324"/>
      <c r="U797" s="324"/>
      <c r="V797" s="324"/>
      <c r="W797" s="324"/>
      <c r="X797" s="324"/>
      <c r="Y797" s="324"/>
      <c r="Z797" s="324"/>
      <c r="AA797" s="324"/>
      <c r="AB797" s="324"/>
      <c r="AC797" s="324"/>
      <c r="AD797" s="324"/>
    </row>
    <row r="798" ht="14.25" hidden="1" customHeight="1" outlineLevel="1">
      <c r="A798" s="131" t="s">
        <v>36</v>
      </c>
      <c r="B798" s="132">
        <v>45757.0</v>
      </c>
      <c r="C798" s="41" t="s">
        <v>80</v>
      </c>
      <c r="D798" s="182">
        <v>2.0</v>
      </c>
      <c r="E798" s="183">
        <v>15.0</v>
      </c>
      <c r="F798" s="325">
        <f t="shared" si="93"/>
        <v>30</v>
      </c>
      <c r="G798" s="325">
        <f>F798</f>
        <v>30</v>
      </c>
      <c r="H798" s="279" t="b">
        <v>0</v>
      </c>
      <c r="I798" s="143" t="s">
        <v>481</v>
      </c>
      <c r="J798" s="41" t="s">
        <v>967</v>
      </c>
      <c r="K798" s="279" t="b">
        <v>1</v>
      </c>
      <c r="L798" s="279" t="b">
        <v>1</v>
      </c>
      <c r="M798" s="324"/>
      <c r="N798" s="279" t="b">
        <v>0</v>
      </c>
      <c r="O798" s="324"/>
      <c r="P798" s="324"/>
      <c r="Q798" s="324"/>
      <c r="R798" s="324"/>
      <c r="S798" s="324"/>
      <c r="T798" s="324"/>
      <c r="U798" s="324"/>
      <c r="V798" s="324"/>
      <c r="W798" s="324"/>
      <c r="X798" s="324"/>
      <c r="Y798" s="324"/>
      <c r="Z798" s="324"/>
      <c r="AA798" s="324"/>
      <c r="AB798" s="324"/>
      <c r="AC798" s="324"/>
      <c r="AD798" s="324"/>
    </row>
    <row r="799" ht="14.25" hidden="1" customHeight="1" outlineLevel="1">
      <c r="A799" s="131" t="s">
        <v>36</v>
      </c>
      <c r="B799" s="132">
        <v>45758.0</v>
      </c>
      <c r="C799" s="41" t="s">
        <v>61</v>
      </c>
      <c r="D799" s="182">
        <v>1.0</v>
      </c>
      <c r="E799" s="183">
        <v>150.0</v>
      </c>
      <c r="F799" s="183">
        <v>150.0</v>
      </c>
      <c r="G799" s="183">
        <v>150.0</v>
      </c>
      <c r="H799" s="279" t="b">
        <v>1</v>
      </c>
      <c r="I799" s="143" t="s">
        <v>236</v>
      </c>
      <c r="J799" s="41" t="s">
        <v>384</v>
      </c>
      <c r="K799" s="279" t="b">
        <v>0</v>
      </c>
      <c r="L799" s="279" t="b">
        <v>1</v>
      </c>
      <c r="M799" s="324"/>
      <c r="N799" s="279" t="b">
        <v>0</v>
      </c>
      <c r="O799" s="324"/>
      <c r="P799" s="324"/>
      <c r="Q799" s="324"/>
      <c r="R799" s="324"/>
      <c r="S799" s="324"/>
      <c r="T799" s="324"/>
      <c r="U799" s="324"/>
      <c r="V799" s="324"/>
      <c r="W799" s="324"/>
      <c r="X799" s="324"/>
      <c r="Y799" s="324"/>
      <c r="Z799" s="324"/>
      <c r="AA799" s="324"/>
      <c r="AB799" s="324"/>
      <c r="AC799" s="324"/>
      <c r="AD799" s="324"/>
    </row>
    <row r="800" ht="14.25" hidden="1" customHeight="1" outlineLevel="1">
      <c r="A800" s="131" t="s">
        <v>36</v>
      </c>
      <c r="B800" s="132">
        <v>45758.0</v>
      </c>
      <c r="C800" s="41" t="s">
        <v>61</v>
      </c>
      <c r="D800" s="182">
        <v>1.0</v>
      </c>
      <c r="E800" s="183">
        <v>150.0</v>
      </c>
      <c r="F800" s="183">
        <v>150.0</v>
      </c>
      <c r="G800" s="183">
        <v>150.0</v>
      </c>
      <c r="H800" s="279" t="b">
        <v>1</v>
      </c>
      <c r="I800" s="143" t="s">
        <v>456</v>
      </c>
      <c r="J800" s="41" t="s">
        <v>1117</v>
      </c>
      <c r="K800" s="279" t="b">
        <v>0</v>
      </c>
      <c r="L800" s="279" t="b">
        <v>1</v>
      </c>
      <c r="M800" s="324"/>
      <c r="N800" s="279" t="b">
        <v>0</v>
      </c>
      <c r="O800" s="324"/>
      <c r="P800" s="324"/>
      <c r="Q800" s="324"/>
      <c r="R800" s="324"/>
      <c r="S800" s="324"/>
      <c r="T800" s="324"/>
      <c r="U800" s="324"/>
      <c r="V800" s="324"/>
      <c r="W800" s="324"/>
      <c r="X800" s="324"/>
      <c r="Y800" s="324"/>
      <c r="Z800" s="324"/>
      <c r="AA800" s="324"/>
      <c r="AB800" s="324"/>
      <c r="AC800" s="324"/>
      <c r="AD800" s="324"/>
    </row>
    <row r="801" ht="14.25" hidden="1" customHeight="1" outlineLevel="1">
      <c r="A801" s="131" t="s">
        <v>36</v>
      </c>
      <c r="B801" s="132">
        <v>45758.0</v>
      </c>
      <c r="C801" s="41" t="s">
        <v>315</v>
      </c>
      <c r="D801" s="182">
        <v>2.0</v>
      </c>
      <c r="E801" s="183">
        <v>49.99</v>
      </c>
      <c r="F801" s="325">
        <f>D801*E801</f>
        <v>99.98</v>
      </c>
      <c r="G801" s="325">
        <f>F801</f>
        <v>99.98</v>
      </c>
      <c r="H801" s="279" t="b">
        <v>0</v>
      </c>
      <c r="I801" s="143" t="s">
        <v>570</v>
      </c>
      <c r="J801" s="41" t="s">
        <v>1136</v>
      </c>
      <c r="K801" s="279" t="b">
        <v>1</v>
      </c>
      <c r="L801" s="279" t="b">
        <v>1</v>
      </c>
      <c r="M801" s="324"/>
      <c r="N801" s="279" t="b">
        <v>0</v>
      </c>
      <c r="O801" s="324"/>
      <c r="P801" s="324"/>
      <c r="Q801" s="324"/>
      <c r="R801" s="324"/>
      <c r="S801" s="324"/>
      <c r="T801" s="324"/>
      <c r="U801" s="324"/>
      <c r="V801" s="324"/>
      <c r="W801" s="324"/>
      <c r="X801" s="324"/>
      <c r="Y801" s="324"/>
      <c r="Z801" s="324"/>
      <c r="AA801" s="324"/>
      <c r="AB801" s="324"/>
      <c r="AC801" s="324"/>
      <c r="AD801" s="324"/>
    </row>
    <row r="802" ht="14.25" hidden="1" customHeight="1" outlineLevel="1">
      <c r="A802" s="131" t="s">
        <v>36</v>
      </c>
      <c r="B802" s="132">
        <v>45758.0</v>
      </c>
      <c r="C802" s="41" t="s">
        <v>97</v>
      </c>
      <c r="D802" s="182">
        <v>1.0</v>
      </c>
      <c r="E802" s="183">
        <v>40.0</v>
      </c>
      <c r="F802" s="183">
        <v>40.0</v>
      </c>
      <c r="G802" s="183">
        <v>40.0</v>
      </c>
      <c r="H802" s="279" t="b">
        <v>0</v>
      </c>
      <c r="I802" s="143" t="s">
        <v>98</v>
      </c>
      <c r="J802" s="41" t="s">
        <v>1137</v>
      </c>
      <c r="K802" s="279" t="b">
        <v>0</v>
      </c>
      <c r="L802" s="279" t="b">
        <v>1</v>
      </c>
      <c r="M802" s="324"/>
      <c r="N802" s="279" t="b">
        <v>0</v>
      </c>
      <c r="O802" s="324"/>
      <c r="P802" s="324"/>
      <c r="Q802" s="324"/>
      <c r="R802" s="324"/>
      <c r="S802" s="324"/>
      <c r="T802" s="324"/>
      <c r="U802" s="324"/>
      <c r="V802" s="324"/>
      <c r="W802" s="324"/>
      <c r="X802" s="324"/>
      <c r="Y802" s="324"/>
      <c r="Z802" s="324"/>
      <c r="AA802" s="324"/>
      <c r="AB802" s="324"/>
      <c r="AC802" s="324"/>
      <c r="AD802" s="324"/>
    </row>
    <row r="803" ht="14.25" hidden="1" customHeight="1" outlineLevel="1">
      <c r="A803" s="131" t="s">
        <v>36</v>
      </c>
      <c r="B803" s="132">
        <v>45760.0</v>
      </c>
      <c r="C803" s="285" t="s">
        <v>61</v>
      </c>
      <c r="D803" s="315">
        <v>1.0</v>
      </c>
      <c r="E803" s="316">
        <v>200.0</v>
      </c>
      <c r="F803" s="316">
        <v>200.0</v>
      </c>
      <c r="G803" s="316">
        <v>200.0</v>
      </c>
      <c r="H803" s="317" t="b">
        <v>1</v>
      </c>
      <c r="I803" s="318" t="s">
        <v>490</v>
      </c>
      <c r="J803" s="321" t="s">
        <v>513</v>
      </c>
      <c r="K803" s="279" t="b">
        <v>0</v>
      </c>
      <c r="L803" s="279" t="b">
        <v>1</v>
      </c>
      <c r="M803" s="324"/>
      <c r="N803" s="279" t="b">
        <v>0</v>
      </c>
      <c r="O803" s="324"/>
      <c r="P803" s="324"/>
      <c r="Q803" s="324"/>
      <c r="R803" s="324"/>
      <c r="S803" s="324"/>
      <c r="T803" s="324"/>
      <c r="U803" s="324"/>
      <c r="V803" s="324"/>
      <c r="W803" s="324"/>
      <c r="X803" s="324"/>
      <c r="Y803" s="324"/>
      <c r="Z803" s="324"/>
      <c r="AA803" s="324"/>
      <c r="AB803" s="324"/>
      <c r="AC803" s="324"/>
      <c r="AD803" s="324"/>
    </row>
    <row r="804" ht="14.25" hidden="1" customHeight="1" outlineLevel="1">
      <c r="A804" s="131" t="s">
        <v>36</v>
      </c>
      <c r="B804" s="132">
        <v>45760.0</v>
      </c>
      <c r="C804" s="41" t="s">
        <v>61</v>
      </c>
      <c r="D804" s="182">
        <v>1.0</v>
      </c>
      <c r="E804" s="183">
        <v>200.0</v>
      </c>
      <c r="F804" s="183">
        <v>200.0</v>
      </c>
      <c r="G804" s="183">
        <v>200.0</v>
      </c>
      <c r="H804" s="279" t="b">
        <v>1</v>
      </c>
      <c r="I804" s="143" t="s">
        <v>980</v>
      </c>
      <c r="J804" s="41" t="s">
        <v>1138</v>
      </c>
      <c r="K804" s="279" t="b">
        <v>0</v>
      </c>
      <c r="L804" s="279" t="b">
        <v>1</v>
      </c>
      <c r="M804" s="324"/>
      <c r="N804" s="279" t="b">
        <v>0</v>
      </c>
      <c r="O804" s="324"/>
      <c r="P804" s="324"/>
      <c r="Q804" s="324"/>
      <c r="R804" s="324"/>
      <c r="S804" s="324"/>
      <c r="T804" s="324"/>
      <c r="U804" s="324"/>
      <c r="V804" s="324"/>
      <c r="W804" s="324"/>
      <c r="X804" s="324"/>
      <c r="Y804" s="324"/>
      <c r="Z804" s="324"/>
      <c r="AA804" s="324"/>
      <c r="AB804" s="324"/>
      <c r="AC804" s="324"/>
      <c r="AD804" s="324"/>
    </row>
    <row r="805" ht="14.25" hidden="1" customHeight="1" outlineLevel="1">
      <c r="A805" s="131" t="s">
        <v>36</v>
      </c>
      <c r="B805" s="132">
        <v>45760.0</v>
      </c>
      <c r="C805" s="41" t="s">
        <v>61</v>
      </c>
      <c r="D805" s="182">
        <v>1.0</v>
      </c>
      <c r="E805" s="183">
        <v>200.0</v>
      </c>
      <c r="F805" s="183">
        <v>200.0</v>
      </c>
      <c r="G805" s="183">
        <v>200.0</v>
      </c>
      <c r="H805" s="279" t="b">
        <v>1</v>
      </c>
      <c r="I805" s="143" t="s">
        <v>342</v>
      </c>
      <c r="J805" s="41" t="s">
        <v>514</v>
      </c>
      <c r="K805" s="279" t="b">
        <v>0</v>
      </c>
      <c r="L805" s="279" t="b">
        <v>1</v>
      </c>
      <c r="M805" s="324"/>
      <c r="N805" s="279" t="b">
        <v>0</v>
      </c>
      <c r="O805" s="324"/>
      <c r="P805" s="324"/>
      <c r="Q805" s="324"/>
      <c r="R805" s="324"/>
      <c r="S805" s="324"/>
      <c r="T805" s="324"/>
      <c r="U805" s="324"/>
      <c r="V805" s="324"/>
      <c r="W805" s="324"/>
      <c r="X805" s="324"/>
      <c r="Y805" s="324"/>
      <c r="Z805" s="324"/>
      <c r="AA805" s="324"/>
      <c r="AB805" s="324"/>
      <c r="AC805" s="324"/>
      <c r="AD805" s="324"/>
    </row>
    <row r="806" ht="14.25" hidden="1" customHeight="1" outlineLevel="1">
      <c r="A806" s="131" t="s">
        <v>36</v>
      </c>
      <c r="B806" s="132">
        <v>45761.0</v>
      </c>
      <c r="C806" s="41" t="s">
        <v>61</v>
      </c>
      <c r="D806" s="182">
        <v>1.0</v>
      </c>
      <c r="E806" s="183">
        <v>150.0</v>
      </c>
      <c r="F806" s="183">
        <v>150.0</v>
      </c>
      <c r="G806" s="183">
        <v>150.0</v>
      </c>
      <c r="H806" s="279" t="b">
        <v>1</v>
      </c>
      <c r="I806" s="143" t="s">
        <v>456</v>
      </c>
      <c r="J806" s="41" t="s">
        <v>1139</v>
      </c>
      <c r="K806" s="279" t="b">
        <v>0</v>
      </c>
      <c r="L806" s="279" t="b">
        <v>1</v>
      </c>
      <c r="M806" s="324"/>
      <c r="N806" s="279" t="b">
        <v>0</v>
      </c>
      <c r="O806" s="324"/>
      <c r="P806" s="324"/>
      <c r="Q806" s="324"/>
      <c r="R806" s="324"/>
      <c r="S806" s="324"/>
      <c r="T806" s="324"/>
      <c r="U806" s="324"/>
      <c r="V806" s="324"/>
      <c r="W806" s="324"/>
      <c r="X806" s="324"/>
      <c r="Y806" s="324"/>
      <c r="Z806" s="324"/>
      <c r="AA806" s="324"/>
      <c r="AB806" s="324"/>
      <c r="AC806" s="324"/>
      <c r="AD806" s="324"/>
    </row>
    <row r="807" ht="14.25" hidden="1" customHeight="1" outlineLevel="1">
      <c r="A807" s="131" t="s">
        <v>36</v>
      </c>
      <c r="B807" s="132">
        <v>45761.0</v>
      </c>
      <c r="C807" s="41" t="s">
        <v>61</v>
      </c>
      <c r="D807" s="182">
        <v>1.0</v>
      </c>
      <c r="E807" s="183">
        <v>100.0</v>
      </c>
      <c r="F807" s="183">
        <v>100.0</v>
      </c>
      <c r="G807" s="183">
        <v>100.0</v>
      </c>
      <c r="H807" s="279" t="b">
        <v>1</v>
      </c>
      <c r="I807" s="143" t="s">
        <v>1020</v>
      </c>
      <c r="J807" s="41" t="s">
        <v>1140</v>
      </c>
      <c r="K807" s="279" t="b">
        <v>0</v>
      </c>
      <c r="L807" s="279" t="b">
        <v>1</v>
      </c>
      <c r="M807" s="324"/>
      <c r="N807" s="279" t="b">
        <v>0</v>
      </c>
      <c r="O807" s="324"/>
      <c r="P807" s="324"/>
      <c r="Q807" s="324"/>
      <c r="R807" s="324"/>
      <c r="S807" s="324"/>
      <c r="T807" s="324"/>
      <c r="U807" s="324"/>
      <c r="V807" s="324"/>
      <c r="W807" s="324"/>
      <c r="X807" s="324"/>
      <c r="Y807" s="324"/>
      <c r="Z807" s="324"/>
      <c r="AA807" s="324"/>
      <c r="AB807" s="324"/>
      <c r="AC807" s="324"/>
      <c r="AD807" s="324"/>
    </row>
    <row r="808" ht="14.25" hidden="1" customHeight="1" outlineLevel="1">
      <c r="A808" s="131" t="s">
        <v>36</v>
      </c>
      <c r="B808" s="132">
        <v>45762.0</v>
      </c>
      <c r="C808" s="41" t="s">
        <v>61</v>
      </c>
      <c r="D808" s="182">
        <v>1.0</v>
      </c>
      <c r="E808" s="183">
        <v>150.0</v>
      </c>
      <c r="F808" s="183">
        <v>150.0</v>
      </c>
      <c r="G808" s="183">
        <v>150.0</v>
      </c>
      <c r="H808" s="279" t="b">
        <v>1</v>
      </c>
      <c r="I808" s="143" t="s">
        <v>236</v>
      </c>
      <c r="J808" s="41" t="s">
        <v>410</v>
      </c>
      <c r="K808" s="279" t="b">
        <v>0</v>
      </c>
      <c r="L808" s="279" t="b">
        <v>1</v>
      </c>
      <c r="M808" s="324"/>
      <c r="N808" s="279" t="b">
        <v>0</v>
      </c>
      <c r="O808" s="324"/>
      <c r="P808" s="324"/>
      <c r="Q808" s="324"/>
      <c r="R808" s="324"/>
      <c r="S808" s="324"/>
      <c r="T808" s="324"/>
      <c r="U808" s="324"/>
      <c r="V808" s="324"/>
      <c r="W808" s="324"/>
      <c r="X808" s="324"/>
      <c r="Y808" s="324"/>
      <c r="Z808" s="324"/>
      <c r="AA808" s="324"/>
      <c r="AB808" s="324"/>
      <c r="AC808" s="324"/>
      <c r="AD808" s="324"/>
    </row>
    <row r="809" ht="14.25" hidden="1" customHeight="1" outlineLevel="1">
      <c r="A809" s="131" t="s">
        <v>36</v>
      </c>
      <c r="B809" s="132">
        <v>45762.0</v>
      </c>
      <c r="C809" s="41" t="s">
        <v>61</v>
      </c>
      <c r="D809" s="182">
        <v>1.0</v>
      </c>
      <c r="E809" s="183">
        <v>150.0</v>
      </c>
      <c r="F809" s="183">
        <v>150.0</v>
      </c>
      <c r="G809" s="183">
        <v>150.0</v>
      </c>
      <c r="H809" s="279" t="b">
        <v>1</v>
      </c>
      <c r="I809" s="143" t="s">
        <v>456</v>
      </c>
      <c r="J809" s="41" t="s">
        <v>1105</v>
      </c>
      <c r="K809" s="279" t="b">
        <v>0</v>
      </c>
      <c r="L809" s="279" t="b">
        <v>1</v>
      </c>
      <c r="M809" s="324"/>
      <c r="N809" s="279" t="b">
        <v>0</v>
      </c>
      <c r="O809" s="324"/>
      <c r="P809" s="324"/>
      <c r="Q809" s="324"/>
      <c r="R809" s="324"/>
      <c r="S809" s="324"/>
      <c r="T809" s="324"/>
      <c r="U809" s="324"/>
      <c r="V809" s="324"/>
      <c r="W809" s="324"/>
      <c r="X809" s="324"/>
      <c r="Y809" s="324"/>
      <c r="Z809" s="324"/>
      <c r="AA809" s="324"/>
      <c r="AB809" s="324"/>
      <c r="AC809" s="324"/>
      <c r="AD809" s="324"/>
    </row>
    <row r="810" ht="14.25" hidden="1" customHeight="1" outlineLevel="1">
      <c r="A810" s="131" t="s">
        <v>36</v>
      </c>
      <c r="B810" s="132">
        <v>45762.0</v>
      </c>
      <c r="C810" s="41" t="s">
        <v>97</v>
      </c>
      <c r="D810" s="182">
        <v>1.0</v>
      </c>
      <c r="E810" s="183">
        <v>39.9</v>
      </c>
      <c r="F810" s="183">
        <v>39.9</v>
      </c>
      <c r="G810" s="183">
        <v>39.9</v>
      </c>
      <c r="H810" s="279" t="b">
        <v>0</v>
      </c>
      <c r="I810" s="143" t="s">
        <v>185</v>
      </c>
      <c r="J810" s="41" t="s">
        <v>1142</v>
      </c>
      <c r="K810" s="279" t="b">
        <v>1</v>
      </c>
      <c r="L810" s="279" t="b">
        <v>1</v>
      </c>
      <c r="M810" s="324"/>
      <c r="N810" s="279" t="b">
        <v>0</v>
      </c>
      <c r="O810" s="324"/>
      <c r="P810" s="324"/>
      <c r="Q810" s="324"/>
      <c r="R810" s="324"/>
      <c r="S810" s="324"/>
      <c r="T810" s="324"/>
      <c r="U810" s="324"/>
      <c r="V810" s="324"/>
      <c r="W810" s="324"/>
      <c r="X810" s="324"/>
      <c r="Y810" s="324"/>
      <c r="Z810" s="324"/>
      <c r="AA810" s="324"/>
      <c r="AB810" s="324"/>
      <c r="AC810" s="324"/>
      <c r="AD810" s="324"/>
    </row>
    <row r="811" ht="14.25" hidden="1" customHeight="1" outlineLevel="1">
      <c r="A811" s="131" t="s">
        <v>36</v>
      </c>
      <c r="B811" s="132">
        <v>45763.0</v>
      </c>
      <c r="C811" s="41" t="s">
        <v>248</v>
      </c>
      <c r="D811" s="182">
        <v>1.0</v>
      </c>
      <c r="E811" s="183">
        <v>1310.0</v>
      </c>
      <c r="F811" s="183">
        <v>1310.0</v>
      </c>
      <c r="G811" s="183">
        <v>1310.0</v>
      </c>
      <c r="H811" s="279" t="b">
        <v>0</v>
      </c>
      <c r="I811" s="143" t="s">
        <v>704</v>
      </c>
      <c r="J811" s="41" t="s">
        <v>1144</v>
      </c>
      <c r="K811" s="279" t="b">
        <v>0</v>
      </c>
      <c r="L811" s="279" t="b">
        <v>1</v>
      </c>
      <c r="M811" s="324"/>
      <c r="N811" s="279" t="b">
        <v>0</v>
      </c>
      <c r="O811" s="324"/>
      <c r="P811" s="324"/>
      <c r="Q811" s="324"/>
      <c r="R811" s="324"/>
      <c r="S811" s="324"/>
      <c r="T811" s="324"/>
      <c r="U811" s="324"/>
      <c r="V811" s="324"/>
      <c r="W811" s="324"/>
      <c r="X811" s="324"/>
      <c r="Y811" s="324"/>
      <c r="Z811" s="324"/>
      <c r="AA811" s="324"/>
      <c r="AB811" s="324"/>
      <c r="AC811" s="324"/>
      <c r="AD811" s="324"/>
    </row>
    <row r="812" ht="14.25" hidden="1" customHeight="1" outlineLevel="1">
      <c r="A812" s="131" t="s">
        <v>36</v>
      </c>
      <c r="B812" s="132">
        <v>45763.0</v>
      </c>
      <c r="C812" s="41" t="s">
        <v>61</v>
      </c>
      <c r="D812" s="182">
        <v>1.0</v>
      </c>
      <c r="E812" s="183">
        <v>150.0</v>
      </c>
      <c r="F812" s="183">
        <v>150.0</v>
      </c>
      <c r="G812" s="183">
        <v>150.0</v>
      </c>
      <c r="H812" s="279" t="b">
        <v>1</v>
      </c>
      <c r="I812" s="143" t="s">
        <v>456</v>
      </c>
      <c r="J812" s="41" t="s">
        <v>1106</v>
      </c>
      <c r="K812" s="279" t="b">
        <v>0</v>
      </c>
      <c r="L812" s="279" t="b">
        <v>1</v>
      </c>
      <c r="M812" s="324"/>
      <c r="N812" s="279" t="b">
        <v>0</v>
      </c>
      <c r="O812" s="324"/>
      <c r="P812" s="324"/>
      <c r="Q812" s="324"/>
      <c r="R812" s="324"/>
      <c r="S812" s="324"/>
      <c r="T812" s="324"/>
      <c r="U812" s="324"/>
      <c r="V812" s="324"/>
      <c r="W812" s="324"/>
      <c r="X812" s="324"/>
      <c r="Y812" s="324"/>
      <c r="Z812" s="324"/>
      <c r="AA812" s="324"/>
      <c r="AB812" s="324"/>
      <c r="AC812" s="324"/>
      <c r="AD812" s="324"/>
    </row>
    <row r="813" ht="14.25" hidden="1" customHeight="1" outlineLevel="1">
      <c r="A813" s="131" t="s">
        <v>36</v>
      </c>
      <c r="B813" s="132">
        <v>45763.0</v>
      </c>
      <c r="C813" s="41" t="s">
        <v>61</v>
      </c>
      <c r="D813" s="182">
        <v>1.0</v>
      </c>
      <c r="E813" s="183">
        <v>150.0</v>
      </c>
      <c r="F813" s="183">
        <v>150.0</v>
      </c>
      <c r="G813" s="183">
        <v>150.0</v>
      </c>
      <c r="H813" s="279" t="b">
        <v>1</v>
      </c>
      <c r="I813" s="143" t="s">
        <v>490</v>
      </c>
      <c r="J813" s="41" t="s">
        <v>467</v>
      </c>
      <c r="K813" s="279" t="b">
        <v>0</v>
      </c>
      <c r="L813" s="279" t="b">
        <v>1</v>
      </c>
      <c r="M813" s="324"/>
      <c r="N813" s="279" t="b">
        <v>0</v>
      </c>
      <c r="O813" s="324"/>
      <c r="P813" s="324"/>
      <c r="Q813" s="324"/>
      <c r="R813" s="324"/>
      <c r="S813" s="324"/>
      <c r="T813" s="324"/>
      <c r="U813" s="324"/>
      <c r="V813" s="324"/>
      <c r="W813" s="324"/>
      <c r="X813" s="324"/>
      <c r="Y813" s="324"/>
      <c r="Z813" s="324"/>
      <c r="AA813" s="324"/>
      <c r="AB813" s="324"/>
      <c r="AC813" s="324"/>
      <c r="AD813" s="324"/>
    </row>
    <row r="814" ht="14.25" hidden="1" customHeight="1" outlineLevel="1">
      <c r="A814" s="131" t="s">
        <v>36</v>
      </c>
      <c r="B814" s="132">
        <v>45763.0</v>
      </c>
      <c r="C814" s="41" t="s">
        <v>61</v>
      </c>
      <c r="D814" s="182">
        <v>1.0</v>
      </c>
      <c r="E814" s="183">
        <v>150.0</v>
      </c>
      <c r="F814" s="325">
        <f t="shared" ref="F814:F815" si="94">D814*E814</f>
        <v>150</v>
      </c>
      <c r="G814" s="325">
        <f t="shared" ref="G814:G815" si="95">F814</f>
        <v>150</v>
      </c>
      <c r="H814" s="279" t="b">
        <v>1</v>
      </c>
      <c r="I814" s="143" t="s">
        <v>413</v>
      </c>
      <c r="J814" s="41" t="s">
        <v>470</v>
      </c>
      <c r="K814" s="279" t="b">
        <v>0</v>
      </c>
      <c r="L814" s="279" t="b">
        <v>1</v>
      </c>
      <c r="M814" s="324"/>
      <c r="N814" s="279" t="b">
        <v>0</v>
      </c>
      <c r="O814" s="324"/>
      <c r="P814" s="324"/>
      <c r="Q814" s="324"/>
      <c r="R814" s="324"/>
      <c r="S814" s="324"/>
      <c r="T814" s="324"/>
      <c r="U814" s="324"/>
      <c r="V814" s="324"/>
      <c r="W814" s="324"/>
      <c r="X814" s="324"/>
      <c r="Y814" s="324"/>
      <c r="Z814" s="324"/>
      <c r="AA814" s="324"/>
      <c r="AB814" s="324"/>
      <c r="AC814" s="324"/>
      <c r="AD814" s="324"/>
    </row>
    <row r="815" ht="14.25" hidden="1" customHeight="1" outlineLevel="1">
      <c r="A815" s="131" t="s">
        <v>36</v>
      </c>
      <c r="B815" s="132">
        <v>45763.0</v>
      </c>
      <c r="C815" s="41" t="s">
        <v>97</v>
      </c>
      <c r="D815" s="182">
        <v>1.0</v>
      </c>
      <c r="E815" s="183">
        <v>80.0</v>
      </c>
      <c r="F815" s="325">
        <f t="shared" si="94"/>
        <v>80</v>
      </c>
      <c r="G815" s="325">
        <f t="shared" si="95"/>
        <v>80</v>
      </c>
      <c r="H815" s="279" t="b">
        <v>0</v>
      </c>
      <c r="I815" s="143" t="s">
        <v>1147</v>
      </c>
      <c r="J815" s="41" t="s">
        <v>1148</v>
      </c>
      <c r="K815" s="279" t="b">
        <v>0</v>
      </c>
      <c r="L815" s="279" t="b">
        <v>0</v>
      </c>
      <c r="M815" s="324"/>
      <c r="N815" s="279" t="b">
        <v>0</v>
      </c>
      <c r="O815" s="324"/>
      <c r="P815" s="324"/>
      <c r="Q815" s="324"/>
      <c r="R815" s="324"/>
      <c r="S815" s="324"/>
      <c r="T815" s="324"/>
      <c r="U815" s="324"/>
      <c r="V815" s="324"/>
      <c r="W815" s="324"/>
      <c r="X815" s="324"/>
      <c r="Y815" s="324"/>
      <c r="Z815" s="324"/>
      <c r="AA815" s="324"/>
      <c r="AB815" s="324"/>
      <c r="AC815" s="324"/>
      <c r="AD815" s="324"/>
    </row>
    <row r="816" ht="14.25" hidden="1" customHeight="1" outlineLevel="1">
      <c r="A816" s="131" t="s">
        <v>36</v>
      </c>
      <c r="B816" s="132">
        <v>45764.0</v>
      </c>
      <c r="C816" s="41" t="s">
        <v>61</v>
      </c>
      <c r="D816" s="182">
        <v>1.0</v>
      </c>
      <c r="E816" s="183">
        <v>200.0</v>
      </c>
      <c r="F816" s="183">
        <v>200.0</v>
      </c>
      <c r="G816" s="183">
        <v>200.0</v>
      </c>
      <c r="H816" s="279" t="b">
        <v>1</v>
      </c>
      <c r="I816" s="143" t="s">
        <v>490</v>
      </c>
      <c r="J816" s="41" t="s">
        <v>1150</v>
      </c>
      <c r="K816" s="279" t="b">
        <v>0</v>
      </c>
      <c r="L816" s="279" t="b">
        <v>0</v>
      </c>
      <c r="M816" s="324"/>
      <c r="N816" s="279" t="b">
        <v>0</v>
      </c>
      <c r="O816" s="324"/>
      <c r="P816" s="324"/>
      <c r="Q816" s="324"/>
      <c r="R816" s="324"/>
      <c r="S816" s="324"/>
      <c r="T816" s="324"/>
      <c r="U816" s="324"/>
      <c r="V816" s="324"/>
      <c r="W816" s="324"/>
      <c r="X816" s="324"/>
      <c r="Y816" s="324"/>
      <c r="Z816" s="324"/>
      <c r="AA816" s="324"/>
      <c r="AB816" s="324"/>
      <c r="AC816" s="324"/>
      <c r="AD816" s="324"/>
    </row>
    <row r="817" ht="14.25" hidden="1" customHeight="1" outlineLevel="1">
      <c r="A817" s="131" t="s">
        <v>36</v>
      </c>
      <c r="B817" s="132">
        <v>45764.0</v>
      </c>
      <c r="C817" s="41" t="s">
        <v>171</v>
      </c>
      <c r="D817" s="182">
        <v>1.0</v>
      </c>
      <c r="E817" s="183">
        <v>83.6</v>
      </c>
      <c r="F817" s="325">
        <f>D817*E817</f>
        <v>83.6</v>
      </c>
      <c r="G817" s="325">
        <f>F817</f>
        <v>83.6</v>
      </c>
      <c r="H817" s="279" t="b">
        <v>0</v>
      </c>
      <c r="I817" s="143" t="s">
        <v>172</v>
      </c>
      <c r="J817" s="41" t="s">
        <v>1153</v>
      </c>
      <c r="K817" s="279" t="b">
        <v>1</v>
      </c>
      <c r="L817" s="279" t="b">
        <v>1</v>
      </c>
      <c r="M817" s="324"/>
      <c r="N817" s="279" t="b">
        <v>0</v>
      </c>
      <c r="O817" s="324"/>
      <c r="P817" s="324"/>
      <c r="Q817" s="324"/>
      <c r="R817" s="324"/>
      <c r="S817" s="324"/>
      <c r="T817" s="324"/>
      <c r="U817" s="324"/>
      <c r="V817" s="324"/>
      <c r="W817" s="324"/>
      <c r="X817" s="324"/>
      <c r="Y817" s="324"/>
      <c r="Z817" s="324"/>
      <c r="AA817" s="324"/>
      <c r="AB817" s="324"/>
      <c r="AC817" s="324"/>
      <c r="AD817" s="324"/>
    </row>
    <row r="818" ht="14.25" hidden="1" customHeight="1" outlineLevel="1">
      <c r="A818" s="131" t="s">
        <v>36</v>
      </c>
      <c r="B818" s="132">
        <v>45765.0</v>
      </c>
      <c r="C818" s="41" t="s">
        <v>61</v>
      </c>
      <c r="D818" s="182">
        <v>1.0</v>
      </c>
      <c r="E818" s="183">
        <v>200.0</v>
      </c>
      <c r="F818" s="183">
        <v>200.0</v>
      </c>
      <c r="G818" s="183">
        <v>200.0</v>
      </c>
      <c r="H818" s="279" t="b">
        <v>1</v>
      </c>
      <c r="I818" s="143" t="s">
        <v>490</v>
      </c>
      <c r="J818" s="41" t="s">
        <v>1155</v>
      </c>
      <c r="K818" s="279" t="b">
        <v>0</v>
      </c>
      <c r="L818" s="279" t="b">
        <v>0</v>
      </c>
      <c r="M818" s="324"/>
      <c r="N818" s="279" t="b">
        <v>0</v>
      </c>
      <c r="O818" s="324"/>
      <c r="P818" s="324"/>
      <c r="Q818" s="324"/>
      <c r="R818" s="324"/>
      <c r="S818" s="324"/>
      <c r="T818" s="324"/>
      <c r="U818" s="324"/>
      <c r="V818" s="324"/>
      <c r="W818" s="324"/>
      <c r="X818" s="324"/>
      <c r="Y818" s="324"/>
      <c r="Z818" s="324"/>
      <c r="AA818" s="324"/>
      <c r="AB818" s="324"/>
      <c r="AC818" s="324"/>
      <c r="AD818" s="324"/>
    </row>
    <row r="819" ht="14.25" hidden="1" customHeight="1" outlineLevel="1">
      <c r="A819" s="131" t="s">
        <v>36</v>
      </c>
      <c r="B819" s="132">
        <v>45766.0</v>
      </c>
      <c r="C819" s="41" t="s">
        <v>61</v>
      </c>
      <c r="D819" s="182">
        <v>1.0</v>
      </c>
      <c r="E819" s="183">
        <v>200.0</v>
      </c>
      <c r="F819" s="183">
        <v>200.0</v>
      </c>
      <c r="G819" s="183">
        <v>200.0</v>
      </c>
      <c r="H819" s="279" t="b">
        <v>1</v>
      </c>
      <c r="I819" s="143" t="s">
        <v>490</v>
      </c>
      <c r="J819" s="41" t="s">
        <v>1156</v>
      </c>
      <c r="K819" s="279" t="b">
        <v>0</v>
      </c>
      <c r="L819" s="279" t="b">
        <v>0</v>
      </c>
      <c r="M819" s="324"/>
      <c r="N819" s="279" t="b">
        <v>0</v>
      </c>
      <c r="O819" s="324"/>
      <c r="P819" s="324"/>
      <c r="Q819" s="324"/>
      <c r="R819" s="324"/>
      <c r="S819" s="324"/>
      <c r="T819" s="324"/>
      <c r="U819" s="324"/>
      <c r="V819" s="324"/>
      <c r="W819" s="324"/>
      <c r="X819" s="324"/>
      <c r="Y819" s="324"/>
      <c r="Z819" s="324"/>
      <c r="AA819" s="324"/>
      <c r="AB819" s="324"/>
      <c r="AC819" s="324"/>
      <c r="AD819" s="324"/>
    </row>
    <row r="820" ht="14.25" hidden="1" customHeight="1" outlineLevel="1">
      <c r="A820" s="131" t="s">
        <v>36</v>
      </c>
      <c r="B820" s="132">
        <v>45767.0</v>
      </c>
      <c r="C820" s="285" t="s">
        <v>61</v>
      </c>
      <c r="D820" s="315">
        <v>1.0</v>
      </c>
      <c r="E820" s="316">
        <v>200.0</v>
      </c>
      <c r="F820" s="316">
        <v>200.0</v>
      </c>
      <c r="G820" s="316">
        <v>200.0</v>
      </c>
      <c r="H820" s="317" t="b">
        <v>1</v>
      </c>
      <c r="I820" s="318" t="s">
        <v>490</v>
      </c>
      <c r="J820" s="321" t="s">
        <v>513</v>
      </c>
      <c r="K820" s="279" t="b">
        <v>0</v>
      </c>
      <c r="L820" s="279" t="b">
        <v>1</v>
      </c>
      <c r="M820" s="324"/>
      <c r="N820" s="279" t="b">
        <v>0</v>
      </c>
      <c r="O820" s="324"/>
      <c r="P820" s="324"/>
      <c r="Q820" s="324"/>
      <c r="R820" s="324"/>
      <c r="S820" s="324"/>
      <c r="T820" s="324"/>
      <c r="U820" s="324"/>
      <c r="V820" s="324"/>
      <c r="W820" s="324"/>
      <c r="X820" s="324"/>
      <c r="Y820" s="324"/>
      <c r="Z820" s="324"/>
      <c r="AA820" s="324"/>
      <c r="AB820" s="324"/>
      <c r="AC820" s="324"/>
      <c r="AD820" s="324"/>
    </row>
    <row r="821" ht="14.25" hidden="1" customHeight="1" outlineLevel="1">
      <c r="A821" s="131" t="s">
        <v>36</v>
      </c>
      <c r="B821" s="132">
        <v>45767.0</v>
      </c>
      <c r="C821" s="41" t="s">
        <v>61</v>
      </c>
      <c r="D821" s="182">
        <v>1.0</v>
      </c>
      <c r="E821" s="183">
        <v>200.0</v>
      </c>
      <c r="F821" s="183">
        <v>200.0</v>
      </c>
      <c r="G821" s="183">
        <v>200.0</v>
      </c>
      <c r="H821" s="279" t="b">
        <v>1</v>
      </c>
      <c r="I821" s="143" t="s">
        <v>1020</v>
      </c>
      <c r="J821" s="41" t="s">
        <v>1138</v>
      </c>
      <c r="K821" s="279" t="b">
        <v>0</v>
      </c>
      <c r="L821" s="279" t="b">
        <v>1</v>
      </c>
      <c r="M821" s="324"/>
      <c r="N821" s="279" t="b">
        <v>0</v>
      </c>
      <c r="O821" s="324"/>
      <c r="P821" s="324"/>
      <c r="Q821" s="324"/>
      <c r="R821" s="324"/>
      <c r="S821" s="324"/>
      <c r="T821" s="324"/>
      <c r="U821" s="324"/>
      <c r="V821" s="324"/>
      <c r="W821" s="324"/>
      <c r="X821" s="324"/>
      <c r="Y821" s="324"/>
      <c r="Z821" s="324"/>
      <c r="AA821" s="324"/>
      <c r="AB821" s="324"/>
      <c r="AC821" s="324"/>
      <c r="AD821" s="324"/>
    </row>
    <row r="822" ht="14.25" hidden="1" customHeight="1" outlineLevel="1">
      <c r="A822" s="131" t="s">
        <v>36</v>
      </c>
      <c r="B822" s="132">
        <v>45767.0</v>
      </c>
      <c r="C822" s="41" t="s">
        <v>61</v>
      </c>
      <c r="D822" s="182">
        <v>1.0</v>
      </c>
      <c r="E822" s="183">
        <v>200.0</v>
      </c>
      <c r="F822" s="183">
        <v>200.0</v>
      </c>
      <c r="G822" s="183">
        <v>200.0</v>
      </c>
      <c r="H822" s="279" t="b">
        <v>1</v>
      </c>
      <c r="I822" s="143" t="s">
        <v>413</v>
      </c>
      <c r="J822" s="41" t="s">
        <v>514</v>
      </c>
      <c r="K822" s="279" t="b">
        <v>0</v>
      </c>
      <c r="L822" s="279" t="b">
        <v>1</v>
      </c>
      <c r="M822" s="324"/>
      <c r="N822" s="279" t="b">
        <v>0</v>
      </c>
      <c r="O822" s="324"/>
      <c r="P822" s="324"/>
      <c r="Q822" s="324"/>
      <c r="R822" s="324"/>
      <c r="S822" s="324"/>
      <c r="T822" s="324"/>
      <c r="U822" s="324"/>
      <c r="V822" s="324"/>
      <c r="W822" s="324"/>
      <c r="X822" s="324"/>
      <c r="Y822" s="324"/>
      <c r="Z822" s="324"/>
      <c r="AA822" s="324"/>
      <c r="AB822" s="324"/>
      <c r="AC822" s="324"/>
      <c r="AD822" s="324"/>
    </row>
    <row r="823" ht="14.25" hidden="1" customHeight="1" outlineLevel="1">
      <c r="A823" s="131" t="s">
        <v>36</v>
      </c>
      <c r="B823" s="132">
        <v>45769.0</v>
      </c>
      <c r="C823" s="41" t="s">
        <v>75</v>
      </c>
      <c r="D823" s="182">
        <v>2.0</v>
      </c>
      <c r="E823" s="183">
        <v>31.6</v>
      </c>
      <c r="F823" s="325">
        <f t="shared" ref="F823:F824" si="96">D823*E823</f>
        <v>63.2</v>
      </c>
      <c r="G823" s="326">
        <f>SUM(F823:F824)</f>
        <v>94.4</v>
      </c>
      <c r="H823" s="278" t="b">
        <v>0</v>
      </c>
      <c r="I823" s="164" t="s">
        <v>225</v>
      </c>
      <c r="J823" s="41" t="s">
        <v>1160</v>
      </c>
      <c r="K823" s="278" t="b">
        <v>1</v>
      </c>
      <c r="L823" s="278" t="b">
        <v>1</v>
      </c>
      <c r="M823" s="324"/>
      <c r="N823" s="279" t="b">
        <v>0</v>
      </c>
      <c r="O823" s="324"/>
      <c r="P823" s="324"/>
      <c r="Q823" s="324"/>
      <c r="R823" s="324"/>
      <c r="S823" s="324"/>
      <c r="T823" s="324"/>
      <c r="U823" s="324"/>
      <c r="V823" s="324"/>
      <c r="W823" s="324"/>
      <c r="X823" s="324"/>
      <c r="Y823" s="324"/>
      <c r="Z823" s="324"/>
      <c r="AA823" s="324"/>
      <c r="AB823" s="324"/>
      <c r="AC823" s="324"/>
      <c r="AD823" s="324"/>
    </row>
    <row r="824" ht="14.25" hidden="1" customHeight="1" outlineLevel="1">
      <c r="A824" s="131" t="s">
        <v>36</v>
      </c>
      <c r="B824" s="132">
        <v>45769.0</v>
      </c>
      <c r="C824" s="41" t="s">
        <v>75</v>
      </c>
      <c r="D824" s="182">
        <v>1.0</v>
      </c>
      <c r="E824" s="183">
        <v>31.2</v>
      </c>
      <c r="F824" s="325">
        <f t="shared" si="96"/>
        <v>31.2</v>
      </c>
      <c r="G824" s="10"/>
      <c r="H824" s="10"/>
      <c r="I824" s="74"/>
      <c r="J824" s="41" t="s">
        <v>1162</v>
      </c>
      <c r="K824" s="10"/>
      <c r="L824" s="10"/>
      <c r="M824" s="324"/>
      <c r="N824" s="279" t="b">
        <v>0</v>
      </c>
      <c r="O824" s="324"/>
      <c r="P824" s="324"/>
      <c r="Q824" s="324"/>
      <c r="R824" s="324"/>
      <c r="S824" s="324"/>
      <c r="T824" s="324"/>
      <c r="U824" s="324"/>
      <c r="V824" s="324"/>
      <c r="W824" s="324"/>
      <c r="X824" s="324"/>
      <c r="Y824" s="324"/>
      <c r="Z824" s="324"/>
      <c r="AA824" s="324"/>
      <c r="AB824" s="324"/>
      <c r="AC824" s="324"/>
      <c r="AD824" s="324"/>
    </row>
    <row r="825" ht="14.25" hidden="1" customHeight="1" outlineLevel="1">
      <c r="A825" s="131" t="s">
        <v>36</v>
      </c>
      <c r="B825" s="132">
        <v>45769.0</v>
      </c>
      <c r="C825" s="41" t="s">
        <v>231</v>
      </c>
      <c r="D825" s="182">
        <v>1.0</v>
      </c>
      <c r="E825" s="183">
        <v>10.0</v>
      </c>
      <c r="F825" s="183">
        <v>10.0</v>
      </c>
      <c r="G825" s="183">
        <v>10.0</v>
      </c>
      <c r="H825" s="279" t="b">
        <v>0</v>
      </c>
      <c r="I825" s="143" t="s">
        <v>1163</v>
      </c>
      <c r="J825" s="41" t="s">
        <v>1164</v>
      </c>
      <c r="K825" s="279" t="b">
        <v>1</v>
      </c>
      <c r="L825" s="279" t="b">
        <v>1</v>
      </c>
      <c r="M825" s="324"/>
      <c r="N825" s="279" t="b">
        <v>0</v>
      </c>
      <c r="O825" s="324"/>
      <c r="P825" s="324"/>
      <c r="Q825" s="324"/>
      <c r="R825" s="324"/>
      <c r="S825" s="324"/>
      <c r="T825" s="324"/>
      <c r="U825" s="324"/>
      <c r="V825" s="324"/>
      <c r="W825" s="324"/>
      <c r="X825" s="324"/>
      <c r="Y825" s="324"/>
      <c r="Z825" s="324"/>
      <c r="AA825" s="324"/>
      <c r="AB825" s="324"/>
      <c r="AC825" s="324"/>
      <c r="AD825" s="324"/>
    </row>
    <row r="826" ht="14.25" hidden="1" customHeight="1" outlineLevel="1">
      <c r="A826" s="131" t="s">
        <v>36</v>
      </c>
      <c r="B826" s="132">
        <v>45768.0</v>
      </c>
      <c r="C826" s="41" t="s">
        <v>61</v>
      </c>
      <c r="D826" s="182">
        <v>1.0</v>
      </c>
      <c r="E826" s="183">
        <v>150.0</v>
      </c>
      <c r="F826" s="183">
        <v>150.0</v>
      </c>
      <c r="G826" s="183">
        <v>150.0</v>
      </c>
      <c r="H826" s="279" t="b">
        <v>1</v>
      </c>
      <c r="I826" s="143" t="s">
        <v>456</v>
      </c>
      <c r="J826" s="41" t="s">
        <v>1139</v>
      </c>
      <c r="K826" s="279" t="b">
        <v>0</v>
      </c>
      <c r="L826" s="279" t="b">
        <v>1</v>
      </c>
      <c r="M826" s="324"/>
      <c r="N826" s="279" t="b">
        <v>0</v>
      </c>
      <c r="O826" s="324"/>
      <c r="P826" s="324"/>
      <c r="Q826" s="324"/>
      <c r="R826" s="324"/>
      <c r="S826" s="324"/>
      <c r="T826" s="324"/>
      <c r="U826" s="324"/>
      <c r="V826" s="324"/>
      <c r="W826" s="324"/>
      <c r="X826" s="324"/>
      <c r="Y826" s="324"/>
      <c r="Z826" s="324"/>
      <c r="AA826" s="324"/>
      <c r="AB826" s="324"/>
      <c r="AC826" s="324"/>
      <c r="AD826" s="324"/>
    </row>
    <row r="827" ht="14.25" hidden="1" customHeight="1" outlineLevel="1">
      <c r="A827" s="131" t="s">
        <v>36</v>
      </c>
      <c r="B827" s="132">
        <v>45769.0</v>
      </c>
      <c r="C827" s="41" t="s">
        <v>61</v>
      </c>
      <c r="D827" s="182">
        <v>1.0</v>
      </c>
      <c r="E827" s="183">
        <v>150.0</v>
      </c>
      <c r="F827" s="183">
        <v>150.0</v>
      </c>
      <c r="G827" s="183">
        <v>150.0</v>
      </c>
      <c r="H827" s="279" t="b">
        <v>1</v>
      </c>
      <c r="I827" s="143" t="s">
        <v>236</v>
      </c>
      <c r="J827" s="41" t="s">
        <v>410</v>
      </c>
      <c r="K827" s="279" t="b">
        <v>0</v>
      </c>
      <c r="L827" s="279" t="b">
        <v>1</v>
      </c>
      <c r="M827" s="324"/>
      <c r="N827" s="279" t="b">
        <v>0</v>
      </c>
      <c r="O827" s="324"/>
      <c r="P827" s="324"/>
      <c r="Q827" s="324"/>
      <c r="R827" s="324"/>
      <c r="S827" s="324"/>
      <c r="T827" s="324"/>
      <c r="U827" s="324"/>
      <c r="V827" s="324"/>
      <c r="W827" s="324"/>
      <c r="X827" s="324"/>
      <c r="Y827" s="324"/>
      <c r="Z827" s="324"/>
      <c r="AA827" s="324"/>
      <c r="AB827" s="324"/>
      <c r="AC827" s="324"/>
      <c r="AD827" s="324"/>
    </row>
    <row r="828" ht="14.25" hidden="1" customHeight="1" outlineLevel="1">
      <c r="A828" s="131" t="s">
        <v>36</v>
      </c>
      <c r="B828" s="132">
        <v>45769.0</v>
      </c>
      <c r="C828" s="41" t="s">
        <v>61</v>
      </c>
      <c r="D828" s="182">
        <v>1.0</v>
      </c>
      <c r="E828" s="183">
        <v>150.0</v>
      </c>
      <c r="F828" s="183">
        <v>150.0</v>
      </c>
      <c r="G828" s="183">
        <v>150.0</v>
      </c>
      <c r="H828" s="279" t="b">
        <v>1</v>
      </c>
      <c r="I828" s="143" t="s">
        <v>456</v>
      </c>
      <c r="J828" s="41" t="s">
        <v>1105</v>
      </c>
      <c r="K828" s="279" t="b">
        <v>0</v>
      </c>
      <c r="L828" s="279" t="b">
        <v>1</v>
      </c>
      <c r="M828" s="324"/>
      <c r="N828" s="279" t="b">
        <v>0</v>
      </c>
      <c r="O828" s="324"/>
      <c r="P828" s="324"/>
      <c r="Q828" s="324"/>
      <c r="R828" s="324"/>
      <c r="S828" s="324"/>
      <c r="T828" s="324"/>
      <c r="U828" s="324"/>
      <c r="V828" s="324"/>
      <c r="W828" s="324"/>
      <c r="X828" s="324"/>
      <c r="Y828" s="324"/>
      <c r="Z828" s="324"/>
      <c r="AA828" s="324"/>
      <c r="AB828" s="324"/>
      <c r="AC828" s="324"/>
      <c r="AD828" s="324"/>
    </row>
    <row r="829" ht="14.25" hidden="1" customHeight="1" outlineLevel="1">
      <c r="A829" s="131" t="s">
        <v>36</v>
      </c>
      <c r="B829" s="132">
        <v>45770.0</v>
      </c>
      <c r="C829" s="41" t="s">
        <v>61</v>
      </c>
      <c r="D829" s="182">
        <v>1.0</v>
      </c>
      <c r="E829" s="183">
        <v>150.0</v>
      </c>
      <c r="F829" s="183">
        <v>150.0</v>
      </c>
      <c r="G829" s="183">
        <v>150.0</v>
      </c>
      <c r="H829" s="279" t="b">
        <v>1</v>
      </c>
      <c r="I829" s="143" t="s">
        <v>456</v>
      </c>
      <c r="J829" s="41" t="s">
        <v>1106</v>
      </c>
      <c r="K829" s="279" t="b">
        <v>0</v>
      </c>
      <c r="L829" s="279" t="b">
        <v>1</v>
      </c>
      <c r="M829" s="324"/>
      <c r="N829" s="279" t="b">
        <v>0</v>
      </c>
      <c r="O829" s="324"/>
      <c r="P829" s="324"/>
      <c r="Q829" s="324"/>
      <c r="R829" s="324"/>
      <c r="S829" s="324"/>
      <c r="T829" s="324"/>
      <c r="U829" s="324"/>
      <c r="V829" s="324"/>
      <c r="W829" s="324"/>
      <c r="X829" s="324"/>
      <c r="Y829" s="324"/>
      <c r="Z829" s="324"/>
      <c r="AA829" s="324"/>
      <c r="AB829" s="324"/>
      <c r="AC829" s="324"/>
      <c r="AD829" s="324"/>
    </row>
    <row r="830" ht="14.25" hidden="1" customHeight="1" outlineLevel="1">
      <c r="A830" s="131" t="s">
        <v>36</v>
      </c>
      <c r="B830" s="132">
        <v>45770.0</v>
      </c>
      <c r="C830" s="41" t="s">
        <v>80</v>
      </c>
      <c r="D830" s="182">
        <v>2.0</v>
      </c>
      <c r="E830" s="183">
        <v>15.0</v>
      </c>
      <c r="F830" s="325">
        <f>D830*E830</f>
        <v>30</v>
      </c>
      <c r="G830" s="325">
        <f>F830</f>
        <v>30</v>
      </c>
      <c r="H830" s="279" t="b">
        <v>0</v>
      </c>
      <c r="I830" s="143" t="s">
        <v>481</v>
      </c>
      <c r="J830" s="41" t="s">
        <v>1013</v>
      </c>
      <c r="K830" s="279" t="b">
        <v>1</v>
      </c>
      <c r="L830" s="279" t="b">
        <v>1</v>
      </c>
      <c r="M830" s="324"/>
      <c r="N830" s="279" t="b">
        <v>0</v>
      </c>
      <c r="O830" s="324"/>
      <c r="P830" s="324"/>
      <c r="Q830" s="324"/>
      <c r="R830" s="324"/>
      <c r="S830" s="324"/>
      <c r="T830" s="324"/>
      <c r="U830" s="324"/>
      <c r="V830" s="324"/>
      <c r="W830" s="324"/>
      <c r="X830" s="324"/>
      <c r="Y830" s="324"/>
      <c r="Z830" s="324"/>
      <c r="AA830" s="324"/>
      <c r="AB830" s="324"/>
      <c r="AC830" s="324"/>
      <c r="AD830" s="324"/>
    </row>
    <row r="831" ht="14.25" hidden="1" customHeight="1" outlineLevel="1">
      <c r="A831" s="131" t="s">
        <v>36</v>
      </c>
      <c r="B831" s="132">
        <v>45771.0</v>
      </c>
      <c r="C831" s="41" t="s">
        <v>61</v>
      </c>
      <c r="D831" s="182">
        <v>1.0</v>
      </c>
      <c r="E831" s="183">
        <v>150.0</v>
      </c>
      <c r="F831" s="183">
        <v>150.0</v>
      </c>
      <c r="G831" s="183">
        <v>150.0</v>
      </c>
      <c r="H831" s="279" t="b">
        <v>1</v>
      </c>
      <c r="I831" s="143" t="s">
        <v>980</v>
      </c>
      <c r="J831" s="41" t="s">
        <v>1115</v>
      </c>
      <c r="K831" s="279" t="b">
        <v>0</v>
      </c>
      <c r="L831" s="279" t="b">
        <v>1</v>
      </c>
      <c r="M831" s="324"/>
      <c r="N831" s="279" t="b">
        <v>0</v>
      </c>
      <c r="O831" s="324"/>
      <c r="P831" s="324"/>
      <c r="Q831" s="324"/>
      <c r="R831" s="324"/>
      <c r="S831" s="324"/>
      <c r="T831" s="324"/>
      <c r="U831" s="324"/>
      <c r="V831" s="324"/>
      <c r="W831" s="324"/>
      <c r="X831" s="324"/>
      <c r="Y831" s="324"/>
      <c r="Z831" s="324"/>
      <c r="AA831" s="324"/>
      <c r="AB831" s="324"/>
      <c r="AC831" s="324"/>
      <c r="AD831" s="324"/>
    </row>
    <row r="832" ht="14.25" hidden="1" customHeight="1" outlineLevel="1">
      <c r="A832" s="131" t="s">
        <v>36</v>
      </c>
      <c r="B832" s="132">
        <v>45772.0</v>
      </c>
      <c r="C832" s="41" t="s">
        <v>61</v>
      </c>
      <c r="D832" s="182">
        <v>1.0</v>
      </c>
      <c r="E832" s="183">
        <v>150.0</v>
      </c>
      <c r="F832" s="325">
        <f>D832*E832</f>
        <v>150</v>
      </c>
      <c r="G832" s="325">
        <f>F832</f>
        <v>150</v>
      </c>
      <c r="H832" s="279" t="b">
        <v>1</v>
      </c>
      <c r="I832" s="143" t="s">
        <v>236</v>
      </c>
      <c r="J832" s="41" t="s">
        <v>384</v>
      </c>
      <c r="K832" s="279" t="b">
        <v>0</v>
      </c>
      <c r="L832" s="279" t="b">
        <v>1</v>
      </c>
      <c r="M832" s="324"/>
      <c r="N832" s="279" t="b">
        <v>0</v>
      </c>
      <c r="O832" s="324"/>
      <c r="P832" s="324"/>
      <c r="Q832" s="324"/>
      <c r="R832" s="324"/>
      <c r="S832" s="324"/>
      <c r="T832" s="324"/>
      <c r="U832" s="324"/>
      <c r="V832" s="324"/>
      <c r="W832" s="324"/>
      <c r="X832" s="324"/>
      <c r="Y832" s="324"/>
      <c r="Z832" s="324"/>
      <c r="AA832" s="324"/>
      <c r="AB832" s="324"/>
      <c r="AC832" s="324"/>
      <c r="AD832" s="324"/>
    </row>
    <row r="833" ht="14.25" hidden="1" customHeight="1" outlineLevel="1">
      <c r="A833" s="131" t="s">
        <v>36</v>
      </c>
      <c r="B833" s="132">
        <v>45772.0</v>
      </c>
      <c r="C833" s="41" t="s">
        <v>61</v>
      </c>
      <c r="D833" s="182">
        <v>1.0</v>
      </c>
      <c r="E833" s="183">
        <v>150.0</v>
      </c>
      <c r="F833" s="183">
        <v>150.0</v>
      </c>
      <c r="G833" s="183">
        <v>150.0</v>
      </c>
      <c r="H833" s="279" t="b">
        <v>1</v>
      </c>
      <c r="I833" s="143" t="s">
        <v>456</v>
      </c>
      <c r="J833" s="41" t="s">
        <v>1117</v>
      </c>
      <c r="K833" s="279" t="b">
        <v>0</v>
      </c>
      <c r="L833" s="279" t="b">
        <v>0</v>
      </c>
      <c r="M833" s="324"/>
      <c r="N833" s="279" t="b">
        <v>0</v>
      </c>
      <c r="O833" s="324"/>
      <c r="P833" s="324"/>
      <c r="Q833" s="324"/>
      <c r="R833" s="324"/>
      <c r="S833" s="324"/>
      <c r="T833" s="324"/>
      <c r="U833" s="324"/>
      <c r="V833" s="324"/>
      <c r="W833" s="324"/>
      <c r="X833" s="324"/>
      <c r="Y833" s="324"/>
      <c r="Z833" s="324"/>
      <c r="AA833" s="324"/>
      <c r="AB833" s="324"/>
      <c r="AC833" s="324"/>
      <c r="AD833" s="324"/>
    </row>
    <row r="834" ht="14.25" hidden="1" customHeight="1" outlineLevel="1">
      <c r="A834" s="131" t="s">
        <v>36</v>
      </c>
      <c r="B834" s="132">
        <v>45774.0</v>
      </c>
      <c r="C834" s="41" t="s">
        <v>61</v>
      </c>
      <c r="D834" s="182">
        <v>1.0</v>
      </c>
      <c r="E834" s="316">
        <v>200.0</v>
      </c>
      <c r="F834" s="316">
        <v>200.0</v>
      </c>
      <c r="G834" s="316">
        <v>200.0</v>
      </c>
      <c r="H834" s="317" t="b">
        <v>1</v>
      </c>
      <c r="I834" s="318" t="s">
        <v>490</v>
      </c>
      <c r="J834" s="321" t="s">
        <v>513</v>
      </c>
      <c r="K834" s="279" t="b">
        <v>0</v>
      </c>
      <c r="L834" s="279" t="b">
        <v>1</v>
      </c>
      <c r="M834" s="324"/>
      <c r="N834" s="279" t="b">
        <v>0</v>
      </c>
      <c r="O834" s="324"/>
      <c r="P834" s="324"/>
      <c r="Q834" s="324"/>
      <c r="R834" s="324"/>
      <c r="S834" s="324"/>
      <c r="T834" s="324"/>
      <c r="U834" s="324"/>
      <c r="V834" s="324"/>
      <c r="W834" s="324"/>
      <c r="X834" s="324"/>
      <c r="Y834" s="324"/>
      <c r="Z834" s="324"/>
      <c r="AA834" s="324"/>
      <c r="AB834" s="324"/>
      <c r="AC834" s="324"/>
      <c r="AD834" s="324"/>
    </row>
    <row r="835" ht="14.25" hidden="1" customHeight="1" outlineLevel="1">
      <c r="A835" s="131" t="s">
        <v>36</v>
      </c>
      <c r="B835" s="132">
        <v>45774.0</v>
      </c>
      <c r="C835" s="41" t="s">
        <v>61</v>
      </c>
      <c r="D835" s="182">
        <v>1.0</v>
      </c>
      <c r="E835" s="183">
        <v>200.0</v>
      </c>
      <c r="F835" s="183">
        <v>200.0</v>
      </c>
      <c r="G835" s="183">
        <v>200.0</v>
      </c>
      <c r="H835" s="279" t="b">
        <v>1</v>
      </c>
      <c r="I835" s="143" t="s">
        <v>1020</v>
      </c>
      <c r="J835" s="41" t="s">
        <v>1138</v>
      </c>
      <c r="K835" s="279" t="b">
        <v>0</v>
      </c>
      <c r="L835" s="279" t="b">
        <v>1</v>
      </c>
      <c r="M835" s="324"/>
      <c r="N835" s="279" t="b">
        <v>0</v>
      </c>
      <c r="O835" s="324"/>
      <c r="P835" s="324"/>
      <c r="Q835" s="324"/>
      <c r="R835" s="324"/>
      <c r="S835" s="324"/>
      <c r="T835" s="324"/>
      <c r="U835" s="324"/>
      <c r="V835" s="324"/>
      <c r="W835" s="324"/>
      <c r="X835" s="324"/>
      <c r="Y835" s="324"/>
      <c r="Z835" s="324"/>
      <c r="AA835" s="324"/>
      <c r="AB835" s="324"/>
      <c r="AC835" s="324"/>
      <c r="AD835" s="324"/>
    </row>
    <row r="836" ht="14.25" hidden="1" customHeight="1" outlineLevel="1">
      <c r="A836" s="131" t="s">
        <v>36</v>
      </c>
      <c r="B836" s="132">
        <v>45774.0</v>
      </c>
      <c r="C836" s="41" t="s">
        <v>61</v>
      </c>
      <c r="D836" s="182">
        <v>1.0</v>
      </c>
      <c r="E836" s="183">
        <v>150.0</v>
      </c>
      <c r="F836" s="183">
        <v>150.0</v>
      </c>
      <c r="G836" s="183">
        <v>150.0</v>
      </c>
      <c r="H836" s="279" t="b">
        <v>1</v>
      </c>
      <c r="I836" s="143" t="s">
        <v>320</v>
      </c>
      <c r="J836" s="41" t="s">
        <v>1173</v>
      </c>
      <c r="K836" s="279" t="b">
        <v>0</v>
      </c>
      <c r="L836" s="279" t="b">
        <v>1</v>
      </c>
      <c r="M836" s="324"/>
      <c r="N836" s="279" t="b">
        <v>0</v>
      </c>
      <c r="O836" s="324"/>
      <c r="P836" s="324"/>
      <c r="Q836" s="324"/>
      <c r="R836" s="324"/>
      <c r="S836" s="324"/>
      <c r="T836" s="324"/>
      <c r="U836" s="324"/>
      <c r="V836" s="324"/>
      <c r="W836" s="324"/>
      <c r="X836" s="324"/>
      <c r="Y836" s="324"/>
      <c r="Z836" s="324"/>
      <c r="AA836" s="324"/>
      <c r="AB836" s="324"/>
      <c r="AC836" s="324"/>
      <c r="AD836" s="324"/>
    </row>
    <row r="837" ht="14.25" hidden="1" customHeight="1" outlineLevel="1">
      <c r="A837" s="131" t="s">
        <v>36</v>
      </c>
      <c r="B837" s="132">
        <v>45774.0</v>
      </c>
      <c r="C837" s="41" t="s">
        <v>61</v>
      </c>
      <c r="D837" s="182">
        <v>1.0</v>
      </c>
      <c r="E837" s="183">
        <v>200.0</v>
      </c>
      <c r="F837" s="183">
        <v>200.0</v>
      </c>
      <c r="G837" s="183">
        <v>200.0</v>
      </c>
      <c r="H837" s="279" t="b">
        <v>1</v>
      </c>
      <c r="I837" s="143" t="s">
        <v>325</v>
      </c>
      <c r="J837" s="41" t="s">
        <v>514</v>
      </c>
      <c r="K837" s="279" t="b">
        <v>0</v>
      </c>
      <c r="L837" s="279" t="b">
        <v>1</v>
      </c>
      <c r="M837" s="324"/>
      <c r="N837" s="279" t="b">
        <v>0</v>
      </c>
      <c r="O837" s="324"/>
      <c r="P837" s="324"/>
      <c r="Q837" s="324"/>
      <c r="R837" s="324"/>
      <c r="S837" s="324"/>
      <c r="T837" s="324"/>
      <c r="U837" s="324"/>
      <c r="V837" s="324"/>
      <c r="W837" s="324"/>
      <c r="X837" s="324"/>
      <c r="Y837" s="324"/>
      <c r="Z837" s="324"/>
      <c r="AA837" s="324"/>
      <c r="AB837" s="324"/>
      <c r="AC837" s="324"/>
      <c r="AD837" s="324"/>
    </row>
    <row r="838" ht="14.25" hidden="1" customHeight="1" outlineLevel="1">
      <c r="A838" s="131" t="s">
        <v>36</v>
      </c>
      <c r="B838" s="132">
        <v>45775.0</v>
      </c>
      <c r="C838" s="41" t="s">
        <v>61</v>
      </c>
      <c r="D838" s="182">
        <v>1.0</v>
      </c>
      <c r="E838" s="183">
        <v>150.0</v>
      </c>
      <c r="F838" s="183">
        <v>150.0</v>
      </c>
      <c r="G838" s="183">
        <v>150.0</v>
      </c>
      <c r="H838" s="279" t="b">
        <v>1</v>
      </c>
      <c r="I838" s="143" t="s">
        <v>456</v>
      </c>
      <c r="J838" s="41" t="s">
        <v>1139</v>
      </c>
      <c r="K838" s="279" t="b">
        <v>0</v>
      </c>
      <c r="L838" s="279" t="b">
        <v>1</v>
      </c>
      <c r="M838" s="324"/>
      <c r="N838" s="279" t="b">
        <v>0</v>
      </c>
      <c r="O838" s="324"/>
      <c r="P838" s="324"/>
      <c r="Q838" s="324"/>
      <c r="R838" s="324"/>
      <c r="S838" s="324"/>
      <c r="T838" s="324"/>
      <c r="U838" s="324"/>
      <c r="V838" s="324"/>
      <c r="W838" s="324"/>
      <c r="X838" s="324"/>
      <c r="Y838" s="324"/>
      <c r="Z838" s="324"/>
      <c r="AA838" s="324"/>
      <c r="AB838" s="324"/>
      <c r="AC838" s="324"/>
      <c r="AD838" s="324"/>
    </row>
    <row r="839" ht="14.25" hidden="1" customHeight="1" outlineLevel="1">
      <c r="A839" s="131" t="s">
        <v>36</v>
      </c>
      <c r="B839" s="132">
        <v>45776.0</v>
      </c>
      <c r="C839" s="41" t="s">
        <v>93</v>
      </c>
      <c r="D839" s="182">
        <v>1.0</v>
      </c>
      <c r="E839" s="183">
        <v>268.9</v>
      </c>
      <c r="F839" s="183">
        <v>268.9</v>
      </c>
      <c r="G839" s="183">
        <v>268.9</v>
      </c>
      <c r="H839" s="279" t="b">
        <v>0</v>
      </c>
      <c r="I839" s="143" t="s">
        <v>337</v>
      </c>
      <c r="J839" s="41" t="s">
        <v>1174</v>
      </c>
      <c r="K839" s="279" t="b">
        <v>1</v>
      </c>
      <c r="L839" s="279" t="b">
        <v>1</v>
      </c>
      <c r="M839" s="324"/>
      <c r="N839" s="279" t="b">
        <v>0</v>
      </c>
      <c r="O839" s="324"/>
      <c r="P839" s="324"/>
      <c r="Q839" s="324"/>
      <c r="R839" s="324"/>
      <c r="S839" s="324"/>
      <c r="T839" s="324"/>
      <c r="U839" s="324"/>
      <c r="V839" s="324"/>
      <c r="W839" s="324"/>
      <c r="X839" s="324"/>
      <c r="Y839" s="324"/>
      <c r="Z839" s="324"/>
      <c r="AA839" s="324"/>
      <c r="AB839" s="324"/>
      <c r="AC839" s="324"/>
      <c r="AD839" s="324"/>
    </row>
    <row r="840" ht="14.25" hidden="1" customHeight="1" outlineLevel="1">
      <c r="A840" s="131" t="s">
        <v>36</v>
      </c>
      <c r="B840" s="132">
        <v>45776.0</v>
      </c>
      <c r="C840" s="41" t="s">
        <v>61</v>
      </c>
      <c r="D840" s="182">
        <v>1.0</v>
      </c>
      <c r="E840" s="183">
        <v>150.0</v>
      </c>
      <c r="F840" s="183">
        <v>150.0</v>
      </c>
      <c r="G840" s="183">
        <v>150.0</v>
      </c>
      <c r="H840" s="279" t="b">
        <v>1</v>
      </c>
      <c r="I840" s="143" t="s">
        <v>456</v>
      </c>
      <c r="J840" s="41" t="s">
        <v>410</v>
      </c>
      <c r="K840" s="279" t="b">
        <v>0</v>
      </c>
      <c r="L840" s="279" t="b">
        <v>1</v>
      </c>
      <c r="M840" s="324"/>
      <c r="N840" s="279" t="b">
        <v>0</v>
      </c>
      <c r="O840" s="324"/>
      <c r="P840" s="324"/>
      <c r="Q840" s="324"/>
      <c r="R840" s="324"/>
      <c r="S840" s="324"/>
      <c r="T840" s="324"/>
      <c r="U840" s="324"/>
      <c r="V840" s="324"/>
      <c r="W840" s="324"/>
      <c r="X840" s="324"/>
      <c r="Y840" s="324"/>
      <c r="Z840" s="324"/>
      <c r="AA840" s="324"/>
      <c r="AB840" s="324"/>
      <c r="AC840" s="324"/>
      <c r="AD840" s="324"/>
    </row>
    <row r="841" ht="14.25" hidden="1" customHeight="1" outlineLevel="1">
      <c r="A841" s="131" t="s">
        <v>36</v>
      </c>
      <c r="B841" s="132">
        <v>45776.0</v>
      </c>
      <c r="C841" s="41" t="s">
        <v>61</v>
      </c>
      <c r="D841" s="182">
        <v>1.0</v>
      </c>
      <c r="E841" s="183">
        <v>150.0</v>
      </c>
      <c r="F841" s="183">
        <v>150.0</v>
      </c>
      <c r="G841" s="183">
        <v>150.0</v>
      </c>
      <c r="H841" s="279" t="b">
        <v>1</v>
      </c>
      <c r="I841" s="143" t="s">
        <v>456</v>
      </c>
      <c r="J841" s="41" t="s">
        <v>1105</v>
      </c>
      <c r="K841" s="279" t="b">
        <v>0</v>
      </c>
      <c r="L841" s="279" t="b">
        <v>1</v>
      </c>
      <c r="M841" s="324"/>
      <c r="N841" s="279" t="b">
        <v>0</v>
      </c>
      <c r="O841" s="324"/>
      <c r="P841" s="324"/>
      <c r="Q841" s="324"/>
      <c r="R841" s="324"/>
      <c r="S841" s="324"/>
      <c r="T841" s="324"/>
      <c r="U841" s="324"/>
      <c r="V841" s="324"/>
      <c r="W841" s="324"/>
      <c r="X841" s="324"/>
      <c r="Y841" s="324"/>
      <c r="Z841" s="324"/>
      <c r="AA841" s="324"/>
      <c r="AB841" s="324"/>
      <c r="AC841" s="324"/>
      <c r="AD841" s="324"/>
    </row>
    <row r="842" ht="14.25" hidden="1" customHeight="1" outlineLevel="1">
      <c r="A842" s="131" t="s">
        <v>36</v>
      </c>
      <c r="B842" s="132">
        <v>45777.0</v>
      </c>
      <c r="C842" s="41" t="s">
        <v>61</v>
      </c>
      <c r="D842" s="182">
        <v>1.0</v>
      </c>
      <c r="E842" s="183">
        <v>150.0</v>
      </c>
      <c r="F842" s="183">
        <v>150.0</v>
      </c>
      <c r="G842" s="183">
        <v>150.0</v>
      </c>
      <c r="H842" s="279" t="b">
        <v>1</v>
      </c>
      <c r="I842" s="143" t="s">
        <v>456</v>
      </c>
      <c r="J842" s="41" t="s">
        <v>1106</v>
      </c>
      <c r="K842" s="279" t="b">
        <v>0</v>
      </c>
      <c r="L842" s="279" t="b">
        <v>1</v>
      </c>
      <c r="M842" s="324"/>
      <c r="N842" s="279" t="b">
        <v>0</v>
      </c>
      <c r="O842" s="324"/>
      <c r="P842" s="324"/>
      <c r="Q842" s="324"/>
      <c r="R842" s="324"/>
      <c r="S842" s="324"/>
      <c r="T842" s="324"/>
      <c r="U842" s="324"/>
      <c r="V842" s="324"/>
      <c r="W842" s="324"/>
      <c r="X842" s="324"/>
      <c r="Y842" s="324"/>
      <c r="Z842" s="324"/>
      <c r="AA842" s="324"/>
      <c r="AB842" s="324"/>
      <c r="AC842" s="324"/>
      <c r="AD842" s="324"/>
    </row>
    <row r="843" ht="14.25" hidden="1" customHeight="1" outlineLevel="1">
      <c r="A843" s="131" t="s">
        <v>36</v>
      </c>
      <c r="B843" s="132">
        <v>45777.0</v>
      </c>
      <c r="C843" s="41" t="s">
        <v>248</v>
      </c>
      <c r="D843" s="182">
        <v>1.0</v>
      </c>
      <c r="E843" s="183">
        <v>863.0</v>
      </c>
      <c r="F843" s="183">
        <v>863.0</v>
      </c>
      <c r="G843" s="183">
        <v>863.0</v>
      </c>
      <c r="H843" s="279" t="b">
        <v>0</v>
      </c>
      <c r="I843" s="143" t="s">
        <v>704</v>
      </c>
      <c r="J843" s="41" t="s">
        <v>1176</v>
      </c>
      <c r="K843" s="279" t="b">
        <v>0</v>
      </c>
      <c r="L843" s="279" t="b">
        <v>1</v>
      </c>
      <c r="M843" s="324"/>
      <c r="N843" s="279" t="b">
        <v>0</v>
      </c>
      <c r="O843" s="324"/>
      <c r="P843" s="324"/>
      <c r="Q843" s="324"/>
      <c r="R843" s="324"/>
      <c r="S843" s="324"/>
      <c r="T843" s="324"/>
      <c r="U843" s="324"/>
      <c r="V843" s="324"/>
      <c r="W843" s="324"/>
      <c r="X843" s="324"/>
      <c r="Y843" s="324"/>
      <c r="Z843" s="324"/>
      <c r="AA843" s="324"/>
      <c r="AB843" s="324"/>
      <c r="AC843" s="324"/>
      <c r="AD843" s="324"/>
    </row>
    <row r="844" ht="14.25" hidden="1" customHeight="1" outlineLevel="1">
      <c r="A844" s="131" t="s">
        <v>36</v>
      </c>
      <c r="B844" s="132">
        <v>45748.0</v>
      </c>
      <c r="C844" s="327"/>
      <c r="D844" s="328"/>
      <c r="E844" s="325"/>
      <c r="F844" s="325"/>
      <c r="G844" s="325"/>
      <c r="H844" s="279" t="b">
        <v>0</v>
      </c>
      <c r="I844" s="143"/>
      <c r="J844" s="41"/>
      <c r="K844" s="279" t="b">
        <v>0</v>
      </c>
      <c r="L844" s="279" t="b">
        <v>0</v>
      </c>
      <c r="M844" s="324"/>
      <c r="N844" s="279" t="b">
        <v>0</v>
      </c>
      <c r="O844" s="324"/>
      <c r="P844" s="324"/>
      <c r="Q844" s="324"/>
      <c r="R844" s="324"/>
      <c r="S844" s="324"/>
      <c r="T844" s="324"/>
      <c r="U844" s="324"/>
      <c r="V844" s="324"/>
      <c r="W844" s="324"/>
      <c r="X844" s="324"/>
      <c r="Y844" s="324"/>
      <c r="Z844" s="324"/>
      <c r="AA844" s="324"/>
      <c r="AB844" s="324"/>
      <c r="AC844" s="324"/>
      <c r="AD844" s="324"/>
    </row>
    <row r="845" ht="14.25" hidden="1" customHeight="1" outlineLevel="1">
      <c r="A845" s="131" t="s">
        <v>36</v>
      </c>
      <c r="B845" s="132">
        <v>45748.0</v>
      </c>
      <c r="C845" s="327"/>
      <c r="D845" s="328"/>
      <c r="E845" s="325"/>
      <c r="F845" s="325"/>
      <c r="G845" s="325"/>
      <c r="H845" s="279" t="b">
        <v>0</v>
      </c>
      <c r="I845" s="143"/>
      <c r="J845" s="41"/>
      <c r="K845" s="279" t="b">
        <v>0</v>
      </c>
      <c r="L845" s="279" t="b">
        <v>0</v>
      </c>
      <c r="M845" s="324"/>
      <c r="N845" s="279" t="b">
        <v>0</v>
      </c>
      <c r="O845" s="324"/>
      <c r="P845" s="324"/>
      <c r="Q845" s="324"/>
      <c r="R845" s="324"/>
      <c r="S845" s="324"/>
      <c r="T845" s="324"/>
      <c r="U845" s="324"/>
      <c r="V845" s="324"/>
      <c r="W845" s="324"/>
      <c r="X845" s="324"/>
      <c r="Y845" s="324"/>
      <c r="Z845" s="324"/>
      <c r="AA845" s="324"/>
      <c r="AB845" s="324"/>
      <c r="AC845" s="324"/>
      <c r="AD845" s="324"/>
    </row>
    <row r="846" ht="14.25" hidden="1" customHeight="1" outlineLevel="1">
      <c r="A846" s="131" t="s">
        <v>36</v>
      </c>
      <c r="B846" s="132">
        <v>45748.0</v>
      </c>
      <c r="C846" s="327"/>
      <c r="D846" s="328"/>
      <c r="E846" s="325"/>
      <c r="F846" s="325"/>
      <c r="G846" s="325"/>
      <c r="H846" s="279" t="b">
        <v>0</v>
      </c>
      <c r="I846" s="143"/>
      <c r="J846" s="41"/>
      <c r="K846" s="279" t="b">
        <v>0</v>
      </c>
      <c r="L846" s="279" t="b">
        <v>0</v>
      </c>
      <c r="M846" s="324"/>
      <c r="N846" s="279" t="b">
        <v>0</v>
      </c>
      <c r="O846" s="324"/>
      <c r="P846" s="324"/>
      <c r="Q846" s="324"/>
      <c r="R846" s="324"/>
      <c r="S846" s="324"/>
      <c r="T846" s="324"/>
      <c r="U846" s="324"/>
      <c r="V846" s="324"/>
      <c r="W846" s="324"/>
      <c r="X846" s="324"/>
      <c r="Y846" s="324"/>
      <c r="Z846" s="324"/>
      <c r="AA846" s="324"/>
      <c r="AB846" s="324"/>
      <c r="AC846" s="324"/>
      <c r="AD846" s="324"/>
    </row>
    <row r="847" ht="14.25" hidden="1" customHeight="1" outlineLevel="1">
      <c r="A847" s="131" t="s">
        <v>36</v>
      </c>
      <c r="B847" s="132">
        <v>45748.0</v>
      </c>
      <c r="C847" s="327"/>
      <c r="D847" s="328"/>
      <c r="E847" s="325"/>
      <c r="F847" s="325"/>
      <c r="G847" s="325"/>
      <c r="H847" s="279" t="b">
        <v>0</v>
      </c>
      <c r="I847" s="143"/>
      <c r="J847" s="41"/>
      <c r="K847" s="279" t="b">
        <v>0</v>
      </c>
      <c r="L847" s="279" t="b">
        <v>0</v>
      </c>
      <c r="M847" s="324"/>
      <c r="N847" s="279" t="b">
        <v>0</v>
      </c>
      <c r="O847" s="324"/>
      <c r="P847" s="324"/>
      <c r="Q847" s="324"/>
      <c r="R847" s="324"/>
      <c r="S847" s="324"/>
      <c r="T847" s="324"/>
      <c r="U847" s="324"/>
      <c r="V847" s="324"/>
      <c r="W847" s="324"/>
      <c r="X847" s="324"/>
      <c r="Y847" s="324"/>
      <c r="Z847" s="324"/>
      <c r="AA847" s="324"/>
      <c r="AB847" s="324"/>
      <c r="AC847" s="324"/>
      <c r="AD847" s="324"/>
    </row>
    <row r="848" ht="14.25" hidden="1" customHeight="1" outlineLevel="1">
      <c r="A848" s="131" t="s">
        <v>36</v>
      </c>
      <c r="B848" s="132">
        <v>45748.0</v>
      </c>
      <c r="C848" s="327"/>
      <c r="D848" s="328"/>
      <c r="E848" s="325"/>
      <c r="F848" s="325"/>
      <c r="G848" s="325"/>
      <c r="H848" s="279" t="b">
        <v>0</v>
      </c>
      <c r="I848" s="143"/>
      <c r="J848" s="41"/>
      <c r="K848" s="279" t="b">
        <v>0</v>
      </c>
      <c r="L848" s="279" t="b">
        <v>0</v>
      </c>
      <c r="M848" s="324"/>
      <c r="N848" s="279" t="b">
        <v>0</v>
      </c>
      <c r="O848" s="324"/>
      <c r="P848" s="324"/>
      <c r="Q848" s="324"/>
      <c r="R848" s="324"/>
      <c r="S848" s="324"/>
      <c r="T848" s="324"/>
      <c r="U848" s="324"/>
      <c r="V848" s="324"/>
      <c r="W848" s="324"/>
      <c r="X848" s="324"/>
      <c r="Y848" s="324"/>
      <c r="Z848" s="324"/>
      <c r="AA848" s="324"/>
      <c r="AB848" s="324"/>
      <c r="AC848" s="324"/>
      <c r="AD848" s="324"/>
    </row>
    <row r="849" ht="14.25" hidden="1" customHeight="1" outlineLevel="1">
      <c r="A849" s="131" t="s">
        <v>36</v>
      </c>
      <c r="B849" s="132">
        <v>45748.0</v>
      </c>
      <c r="C849" s="327"/>
      <c r="D849" s="328"/>
      <c r="E849" s="325"/>
      <c r="F849" s="325"/>
      <c r="G849" s="325"/>
      <c r="H849" s="279" t="b">
        <v>0</v>
      </c>
      <c r="I849" s="143"/>
      <c r="J849" s="41"/>
      <c r="K849" s="279" t="b">
        <v>0</v>
      </c>
      <c r="L849" s="279" t="b">
        <v>0</v>
      </c>
      <c r="M849" s="324"/>
      <c r="N849" s="279" t="b">
        <v>0</v>
      </c>
      <c r="O849" s="324"/>
      <c r="P849" s="324"/>
      <c r="Q849" s="324"/>
      <c r="R849" s="324"/>
      <c r="S849" s="324"/>
      <c r="T849" s="324"/>
      <c r="U849" s="324"/>
      <c r="V849" s="324"/>
      <c r="W849" s="324"/>
      <c r="X849" s="324"/>
      <c r="Y849" s="324"/>
      <c r="Z849" s="324"/>
      <c r="AA849" s="324"/>
      <c r="AB849" s="324"/>
      <c r="AC849" s="324"/>
      <c r="AD849" s="324"/>
    </row>
    <row r="850" ht="14.25" hidden="1" customHeight="1" outlineLevel="1">
      <c r="A850" s="131" t="s">
        <v>36</v>
      </c>
      <c r="B850" s="132">
        <v>45748.0</v>
      </c>
      <c r="C850" s="327"/>
      <c r="D850" s="328"/>
      <c r="E850" s="325"/>
      <c r="F850" s="325"/>
      <c r="G850" s="325"/>
      <c r="H850" s="279" t="b">
        <v>0</v>
      </c>
      <c r="I850" s="143"/>
      <c r="J850" s="41"/>
      <c r="K850" s="279" t="b">
        <v>0</v>
      </c>
      <c r="L850" s="279" t="b">
        <v>0</v>
      </c>
      <c r="M850" s="324"/>
      <c r="N850" s="279" t="b">
        <v>0</v>
      </c>
      <c r="O850" s="324"/>
      <c r="P850" s="324"/>
      <c r="Q850" s="324"/>
      <c r="R850" s="324"/>
      <c r="S850" s="324"/>
      <c r="T850" s="324"/>
      <c r="U850" s="324"/>
      <c r="V850" s="324"/>
      <c r="W850" s="324"/>
      <c r="X850" s="324"/>
      <c r="Y850" s="324"/>
      <c r="Z850" s="324"/>
      <c r="AA850" s="324"/>
      <c r="AB850" s="324"/>
      <c r="AC850" s="324"/>
      <c r="AD850" s="324"/>
    </row>
    <row r="851" ht="14.25" hidden="1" customHeight="1" outlineLevel="1">
      <c r="A851" s="131" t="s">
        <v>36</v>
      </c>
      <c r="B851" s="132">
        <v>45748.0</v>
      </c>
      <c r="C851" s="327"/>
      <c r="D851" s="328"/>
      <c r="E851" s="325"/>
      <c r="F851" s="325"/>
      <c r="G851" s="325"/>
      <c r="H851" s="279" t="b">
        <v>0</v>
      </c>
      <c r="I851" s="143"/>
      <c r="J851" s="41"/>
      <c r="K851" s="279" t="b">
        <v>0</v>
      </c>
      <c r="L851" s="279" t="b">
        <v>0</v>
      </c>
      <c r="M851" s="324"/>
      <c r="N851" s="279" t="b">
        <v>0</v>
      </c>
      <c r="O851" s="324"/>
      <c r="P851" s="324"/>
      <c r="Q851" s="324"/>
      <c r="R851" s="324"/>
      <c r="S851" s="324"/>
      <c r="T851" s="324"/>
      <c r="U851" s="324"/>
      <c r="V851" s="324"/>
      <c r="W851" s="324"/>
      <c r="X851" s="324"/>
      <c r="Y851" s="324"/>
      <c r="Z851" s="324"/>
      <c r="AA851" s="324"/>
      <c r="AB851" s="324"/>
      <c r="AC851" s="324"/>
      <c r="AD851" s="324"/>
    </row>
    <row r="852" ht="14.25" hidden="1" customHeight="1" outlineLevel="1">
      <c r="A852" s="131" t="s">
        <v>36</v>
      </c>
      <c r="B852" s="132">
        <v>45748.0</v>
      </c>
      <c r="C852" s="327"/>
      <c r="D852" s="328"/>
      <c r="E852" s="325"/>
      <c r="F852" s="325"/>
      <c r="G852" s="325"/>
      <c r="H852" s="279" t="b">
        <v>0</v>
      </c>
      <c r="I852" s="143"/>
      <c r="J852" s="41"/>
      <c r="K852" s="279" t="b">
        <v>0</v>
      </c>
      <c r="L852" s="279" t="b">
        <v>0</v>
      </c>
      <c r="M852" s="324"/>
      <c r="N852" s="279" t="b">
        <v>0</v>
      </c>
      <c r="O852" s="324"/>
      <c r="P852" s="324"/>
      <c r="Q852" s="324"/>
      <c r="R852" s="324"/>
      <c r="S852" s="324"/>
      <c r="T852" s="324"/>
      <c r="U852" s="324"/>
      <c r="V852" s="324"/>
      <c r="W852" s="324"/>
      <c r="X852" s="324"/>
      <c r="Y852" s="324"/>
      <c r="Z852" s="324"/>
      <c r="AA852" s="324"/>
      <c r="AB852" s="324"/>
      <c r="AC852" s="324"/>
      <c r="AD852" s="324"/>
    </row>
    <row r="853" ht="14.25" customHeight="1">
      <c r="A853" s="180" t="s">
        <v>192</v>
      </c>
      <c r="B853" s="27"/>
      <c r="C853" s="27"/>
      <c r="D853" s="27"/>
      <c r="E853" s="28"/>
      <c r="F853" s="181">
        <f t="shared" ref="F853:G853" si="97">SUM(F777:F852)</f>
        <v>11055.31</v>
      </c>
      <c r="G853" s="181">
        <f t="shared" si="97"/>
        <v>11055.31</v>
      </c>
    </row>
    <row r="854" ht="14.25" customHeight="1" collapsed="1">
      <c r="A854" s="245" t="s">
        <v>1035</v>
      </c>
      <c r="B854" s="246"/>
      <c r="C854" s="246"/>
      <c r="D854" s="246"/>
      <c r="E854" s="246"/>
      <c r="F854" s="246"/>
      <c r="G854" s="246"/>
      <c r="H854" s="246"/>
      <c r="I854" s="246"/>
      <c r="J854" s="247"/>
      <c r="K854" s="238"/>
      <c r="L854" s="238"/>
    </row>
    <row r="855" ht="14.25" hidden="1" customHeight="1" outlineLevel="1">
      <c r="A855" s="131" t="s">
        <v>35</v>
      </c>
      <c r="B855" s="132">
        <v>45778.0</v>
      </c>
      <c r="C855" s="41" t="s">
        <v>61</v>
      </c>
      <c r="D855" s="182">
        <v>1.0</v>
      </c>
      <c r="E855" s="183">
        <v>150.0</v>
      </c>
      <c r="F855" s="183">
        <v>150.0</v>
      </c>
      <c r="G855" s="183">
        <v>150.0</v>
      </c>
      <c r="H855" s="279" t="b">
        <v>1</v>
      </c>
      <c r="I855" s="143" t="s">
        <v>456</v>
      </c>
      <c r="J855" s="41" t="s">
        <v>1181</v>
      </c>
      <c r="K855" s="279" t="b">
        <v>0</v>
      </c>
      <c r="L855" s="279" t="b">
        <v>0</v>
      </c>
    </row>
    <row r="856" ht="14.25" hidden="1" customHeight="1" outlineLevel="1">
      <c r="A856" s="131" t="s">
        <v>35</v>
      </c>
      <c r="B856" s="132">
        <v>45779.0</v>
      </c>
      <c r="C856" s="41" t="s">
        <v>61</v>
      </c>
      <c r="D856" s="182">
        <v>1.0</v>
      </c>
      <c r="E856" s="183">
        <v>150.0</v>
      </c>
      <c r="F856" s="325">
        <f>D856*E856</f>
        <v>150</v>
      </c>
      <c r="G856" s="325">
        <f>F856</f>
        <v>150</v>
      </c>
      <c r="H856" s="279" t="b">
        <v>1</v>
      </c>
      <c r="I856" s="143" t="s">
        <v>236</v>
      </c>
      <c r="J856" s="41" t="s">
        <v>1184</v>
      </c>
      <c r="K856" s="279" t="b">
        <v>0</v>
      </c>
      <c r="L856" s="279" t="b">
        <v>1</v>
      </c>
    </row>
    <row r="857" ht="14.25" hidden="1" customHeight="1" outlineLevel="1">
      <c r="A857" s="131" t="s">
        <v>35</v>
      </c>
      <c r="B857" s="132">
        <v>45779.0</v>
      </c>
      <c r="C857" s="41" t="s">
        <v>61</v>
      </c>
      <c r="D857" s="182">
        <v>1.0</v>
      </c>
      <c r="E857" s="183">
        <v>150.0</v>
      </c>
      <c r="F857" s="183">
        <v>150.0</v>
      </c>
      <c r="G857" s="183">
        <v>150.0</v>
      </c>
      <c r="H857" s="279" t="b">
        <v>1</v>
      </c>
      <c r="I857" s="143" t="s">
        <v>456</v>
      </c>
      <c r="J857" s="41" t="s">
        <v>1117</v>
      </c>
      <c r="K857" s="279" t="b">
        <v>0</v>
      </c>
      <c r="L857" s="279" t="b">
        <v>0</v>
      </c>
    </row>
    <row r="858" ht="14.25" hidden="1" customHeight="1" outlineLevel="1">
      <c r="A858" s="131" t="s">
        <v>35</v>
      </c>
      <c r="B858" s="132">
        <v>45780.0</v>
      </c>
      <c r="C858" s="41" t="s">
        <v>116</v>
      </c>
      <c r="D858" s="182">
        <v>4.0</v>
      </c>
      <c r="E858" s="183">
        <v>6.99</v>
      </c>
      <c r="F858" s="183">
        <f t="shared" ref="F858:F860" si="98">D858*E858</f>
        <v>27.96</v>
      </c>
      <c r="G858" s="196">
        <f>SUM(F858:F860)</f>
        <v>53.94</v>
      </c>
      <c r="H858" s="278" t="b">
        <v>0</v>
      </c>
      <c r="I858" s="164" t="s">
        <v>1187</v>
      </c>
      <c r="J858" s="41" t="s">
        <v>1188</v>
      </c>
      <c r="K858" s="278" t="b">
        <v>1</v>
      </c>
      <c r="L858" s="278" t="b">
        <v>1</v>
      </c>
    </row>
    <row r="859" ht="14.25" hidden="1" customHeight="1" outlineLevel="1">
      <c r="A859" s="131" t="s">
        <v>35</v>
      </c>
      <c r="B859" s="132">
        <v>45780.0</v>
      </c>
      <c r="C859" s="41" t="s">
        <v>112</v>
      </c>
      <c r="D859" s="182">
        <v>1.0</v>
      </c>
      <c r="E859" s="183">
        <v>11.99</v>
      </c>
      <c r="F859" s="183">
        <f t="shared" si="98"/>
        <v>11.99</v>
      </c>
      <c r="G859" s="58"/>
      <c r="H859" s="58"/>
      <c r="I859" s="194"/>
      <c r="J859" s="41" t="s">
        <v>1189</v>
      </c>
      <c r="K859" s="58"/>
      <c r="L859" s="58"/>
    </row>
    <row r="860" ht="14.25" hidden="1" customHeight="1" outlineLevel="1">
      <c r="A860" s="131" t="s">
        <v>35</v>
      </c>
      <c r="B860" s="132">
        <v>45780.0</v>
      </c>
      <c r="C860" s="41" t="s">
        <v>69</v>
      </c>
      <c r="D860" s="182">
        <v>1.0</v>
      </c>
      <c r="E860" s="183">
        <v>13.99</v>
      </c>
      <c r="F860" s="183">
        <f t="shared" si="98"/>
        <v>13.99</v>
      </c>
      <c r="G860" s="10"/>
      <c r="H860" s="10"/>
      <c r="I860" s="74"/>
      <c r="J860" s="41" t="s">
        <v>1190</v>
      </c>
      <c r="K860" s="10"/>
      <c r="L860" s="10"/>
    </row>
    <row r="861" ht="14.25" hidden="1" customHeight="1" outlineLevel="1">
      <c r="A861" s="131" t="s">
        <v>35</v>
      </c>
      <c r="B861" s="132">
        <v>45781.0</v>
      </c>
      <c r="C861" s="41" t="s">
        <v>61</v>
      </c>
      <c r="D861" s="182">
        <v>1.0</v>
      </c>
      <c r="E861" s="316">
        <v>200.0</v>
      </c>
      <c r="F861" s="316">
        <v>200.0</v>
      </c>
      <c r="G861" s="316">
        <v>200.0</v>
      </c>
      <c r="H861" s="317" t="b">
        <v>1</v>
      </c>
      <c r="I861" s="318" t="s">
        <v>490</v>
      </c>
      <c r="J861" s="321" t="s">
        <v>1192</v>
      </c>
      <c r="K861" s="279" t="b">
        <v>0</v>
      </c>
      <c r="L861" s="279" t="b">
        <v>1</v>
      </c>
    </row>
    <row r="862" ht="14.25" hidden="1" customHeight="1" outlineLevel="1">
      <c r="A862" s="131" t="s">
        <v>35</v>
      </c>
      <c r="B862" s="132">
        <v>45781.0</v>
      </c>
      <c r="C862" s="41" t="s">
        <v>61</v>
      </c>
      <c r="D862" s="182">
        <v>1.0</v>
      </c>
      <c r="E862" s="183">
        <v>200.0</v>
      </c>
      <c r="F862" s="183">
        <v>200.0</v>
      </c>
      <c r="G862" s="183">
        <v>200.0</v>
      </c>
      <c r="H862" s="279" t="b">
        <v>1</v>
      </c>
      <c r="I862" s="143" t="s">
        <v>1020</v>
      </c>
      <c r="J862" s="41" t="s">
        <v>1193</v>
      </c>
      <c r="K862" s="279" t="b">
        <v>0</v>
      </c>
      <c r="L862" s="279" t="b">
        <v>1</v>
      </c>
    </row>
    <row r="863" ht="14.25" hidden="1" customHeight="1" outlineLevel="1">
      <c r="A863" s="131" t="s">
        <v>35</v>
      </c>
      <c r="B863" s="132">
        <v>45781.0</v>
      </c>
      <c r="C863" s="41" t="s">
        <v>61</v>
      </c>
      <c r="D863" s="182">
        <v>1.0</v>
      </c>
      <c r="E863" s="183">
        <v>200.0</v>
      </c>
      <c r="F863" s="183">
        <v>200.0</v>
      </c>
      <c r="G863" s="183">
        <v>200.0</v>
      </c>
      <c r="H863" s="279" t="b">
        <v>1</v>
      </c>
      <c r="I863" s="143" t="s">
        <v>413</v>
      </c>
      <c r="J863" s="41" t="s">
        <v>1195</v>
      </c>
      <c r="K863" s="279" t="b">
        <v>0</v>
      </c>
      <c r="L863" s="279" t="b">
        <v>1</v>
      </c>
    </row>
    <row r="864" ht="14.25" hidden="1" customHeight="1" outlineLevel="1">
      <c r="A864" s="131" t="s">
        <v>35</v>
      </c>
      <c r="B864" s="132">
        <v>45782.0</v>
      </c>
      <c r="C864" s="41" t="s">
        <v>61</v>
      </c>
      <c r="D864" s="182">
        <v>1.0</v>
      </c>
      <c r="E864" s="183">
        <v>150.0</v>
      </c>
      <c r="F864" s="325">
        <f t="shared" ref="F864:F866" si="99">D864*E864</f>
        <v>150</v>
      </c>
      <c r="G864" s="325">
        <f t="shared" ref="G864:G866" si="100">F864</f>
        <v>150</v>
      </c>
      <c r="H864" s="279" t="b">
        <v>1</v>
      </c>
      <c r="I864" s="143" t="s">
        <v>456</v>
      </c>
      <c r="J864" s="41" t="s">
        <v>1196</v>
      </c>
      <c r="K864" s="279" t="b">
        <v>0</v>
      </c>
      <c r="L864" s="279" t="b">
        <v>1</v>
      </c>
    </row>
    <row r="865" ht="14.25" hidden="1" customHeight="1" outlineLevel="1">
      <c r="A865" s="131" t="s">
        <v>35</v>
      </c>
      <c r="B865" s="132">
        <v>45783.0</v>
      </c>
      <c r="C865" s="285" t="s">
        <v>61</v>
      </c>
      <c r="D865" s="315">
        <v>1.0</v>
      </c>
      <c r="E865" s="316">
        <v>150.0</v>
      </c>
      <c r="F865" s="316">
        <f t="shared" si="99"/>
        <v>150</v>
      </c>
      <c r="G865" s="316">
        <f t="shared" si="100"/>
        <v>150</v>
      </c>
      <c r="H865" s="317" t="b">
        <v>1</v>
      </c>
      <c r="I865" s="334" t="s">
        <v>236</v>
      </c>
      <c r="J865" s="321" t="s">
        <v>1198</v>
      </c>
      <c r="K865" s="317" t="b">
        <v>0</v>
      </c>
      <c r="L865" s="317" t="b">
        <v>1</v>
      </c>
    </row>
    <row r="866" ht="14.25" hidden="1" customHeight="1" outlineLevel="1">
      <c r="A866" s="131" t="s">
        <v>35</v>
      </c>
      <c r="B866" s="132">
        <v>45783.0</v>
      </c>
      <c r="C866" s="285" t="s">
        <v>61</v>
      </c>
      <c r="D866" s="315">
        <v>1.0</v>
      </c>
      <c r="E866" s="316">
        <v>150.0</v>
      </c>
      <c r="F866" s="316">
        <f t="shared" si="99"/>
        <v>150</v>
      </c>
      <c r="G866" s="316">
        <f t="shared" si="100"/>
        <v>150</v>
      </c>
      <c r="H866" s="317" t="b">
        <v>1</v>
      </c>
      <c r="I866" s="143" t="s">
        <v>456</v>
      </c>
      <c r="J866" s="321" t="s">
        <v>1199</v>
      </c>
      <c r="K866" s="317" t="b">
        <v>0</v>
      </c>
      <c r="L866" s="317" t="b">
        <v>1</v>
      </c>
    </row>
    <row r="867" ht="14.25" hidden="1" customHeight="1" outlineLevel="1">
      <c r="A867" s="131" t="s">
        <v>35</v>
      </c>
      <c r="B867" s="132">
        <v>45783.0</v>
      </c>
      <c r="C867" s="41" t="s">
        <v>93</v>
      </c>
      <c r="D867" s="182">
        <v>1.0</v>
      </c>
      <c r="E867" s="183">
        <v>155.0</v>
      </c>
      <c r="F867" s="183">
        <v>155.0</v>
      </c>
      <c r="G867" s="183">
        <v>155.0</v>
      </c>
      <c r="H867" s="279" t="b">
        <v>0</v>
      </c>
      <c r="I867" s="143" t="s">
        <v>337</v>
      </c>
      <c r="J867" s="41" t="s">
        <v>1201</v>
      </c>
      <c r="K867" s="279" t="b">
        <v>1</v>
      </c>
      <c r="L867" s="279" t="b">
        <v>1</v>
      </c>
    </row>
    <row r="868" ht="14.25" hidden="1" customHeight="1" outlineLevel="1">
      <c r="A868" s="131" t="s">
        <v>35</v>
      </c>
      <c r="B868" s="132">
        <v>45784.0</v>
      </c>
      <c r="C868" s="285" t="s">
        <v>61</v>
      </c>
      <c r="D868" s="315">
        <v>1.0</v>
      </c>
      <c r="E868" s="316">
        <v>150.0</v>
      </c>
      <c r="F868" s="316">
        <f t="shared" ref="F868:F876" si="101">D868*E868</f>
        <v>150</v>
      </c>
      <c r="G868" s="316">
        <f t="shared" ref="G868:G869" si="102">F868</f>
        <v>150</v>
      </c>
      <c r="H868" s="317" t="b">
        <v>1</v>
      </c>
      <c r="I868" s="143" t="s">
        <v>456</v>
      </c>
      <c r="J868" s="321" t="s">
        <v>1204</v>
      </c>
      <c r="K868" s="317" t="b">
        <v>0</v>
      </c>
      <c r="L868" s="317" t="b">
        <v>1</v>
      </c>
    </row>
    <row r="869" ht="14.25" hidden="1" customHeight="1" outlineLevel="1">
      <c r="A869" s="131" t="s">
        <v>35</v>
      </c>
      <c r="B869" s="132">
        <v>45785.0</v>
      </c>
      <c r="C869" s="285" t="s">
        <v>61</v>
      </c>
      <c r="D869" s="315">
        <v>1.0</v>
      </c>
      <c r="E869" s="316">
        <v>150.0</v>
      </c>
      <c r="F869" s="316">
        <f t="shared" si="101"/>
        <v>150</v>
      </c>
      <c r="G869" s="316">
        <f t="shared" si="102"/>
        <v>150</v>
      </c>
      <c r="H869" s="317" t="b">
        <v>1</v>
      </c>
      <c r="I869" s="143" t="s">
        <v>980</v>
      </c>
      <c r="J869" s="321" t="s">
        <v>1181</v>
      </c>
      <c r="K869" s="317" t="b">
        <v>0</v>
      </c>
      <c r="L869" s="317" t="b">
        <v>1</v>
      </c>
    </row>
    <row r="870" ht="14.25" hidden="1" customHeight="1" outlineLevel="1">
      <c r="A870" s="131" t="s">
        <v>35</v>
      </c>
      <c r="B870" s="132">
        <v>45785.0</v>
      </c>
      <c r="C870" s="41" t="s">
        <v>55</v>
      </c>
      <c r="D870" s="182">
        <v>3.0</v>
      </c>
      <c r="E870" s="183">
        <v>5.9</v>
      </c>
      <c r="F870" s="183">
        <f t="shared" si="101"/>
        <v>17.7</v>
      </c>
      <c r="G870" s="196">
        <f>SUM(F870:F872)</f>
        <v>155.1</v>
      </c>
      <c r="H870" s="278" t="b">
        <v>0</v>
      </c>
      <c r="I870" s="164" t="s">
        <v>254</v>
      </c>
      <c r="J870" s="41" t="s">
        <v>1206</v>
      </c>
      <c r="K870" s="278" t="b">
        <v>1</v>
      </c>
      <c r="L870" s="278" t="b">
        <v>1</v>
      </c>
    </row>
    <row r="871" ht="14.25" hidden="1" customHeight="1" outlineLevel="1">
      <c r="A871" s="131" t="s">
        <v>35</v>
      </c>
      <c r="B871" s="132">
        <v>45785.0</v>
      </c>
      <c r="C871" s="41" t="s">
        <v>55</v>
      </c>
      <c r="D871" s="182">
        <v>6.0</v>
      </c>
      <c r="E871" s="183">
        <v>18.9</v>
      </c>
      <c r="F871" s="183">
        <f t="shared" si="101"/>
        <v>113.4</v>
      </c>
      <c r="G871" s="58"/>
      <c r="H871" s="58"/>
      <c r="I871" s="194"/>
      <c r="J871" s="41" t="s">
        <v>1083</v>
      </c>
      <c r="K871" s="58"/>
      <c r="L871" s="58"/>
    </row>
    <row r="872" ht="14.25" hidden="1" customHeight="1" outlineLevel="1">
      <c r="A872" s="131" t="s">
        <v>35</v>
      </c>
      <c r="B872" s="132">
        <v>45785.0</v>
      </c>
      <c r="C872" s="41" t="s">
        <v>55</v>
      </c>
      <c r="D872" s="182">
        <v>1.0</v>
      </c>
      <c r="E872" s="183">
        <v>24.0</v>
      </c>
      <c r="F872" s="183">
        <f t="shared" si="101"/>
        <v>24</v>
      </c>
      <c r="G872" s="10"/>
      <c r="H872" s="10"/>
      <c r="I872" s="74"/>
      <c r="J872" s="41" t="s">
        <v>1207</v>
      </c>
      <c r="K872" s="10"/>
      <c r="L872" s="10"/>
    </row>
    <row r="873" ht="14.25" hidden="1" customHeight="1" outlineLevel="1">
      <c r="A873" s="131" t="s">
        <v>35</v>
      </c>
      <c r="B873" s="132">
        <v>45785.0</v>
      </c>
      <c r="C873" s="41" t="s">
        <v>75</v>
      </c>
      <c r="D873" s="182">
        <v>3.0</v>
      </c>
      <c r="E873" s="183">
        <v>40.0</v>
      </c>
      <c r="F873" s="183">
        <f t="shared" si="101"/>
        <v>120</v>
      </c>
      <c r="G873" s="183">
        <f t="shared" ref="G873:G876" si="103">F873</f>
        <v>120</v>
      </c>
      <c r="H873" s="279" t="b">
        <v>0</v>
      </c>
      <c r="I873" s="143" t="s">
        <v>76</v>
      </c>
      <c r="J873" s="41" t="s">
        <v>1210</v>
      </c>
      <c r="K873" s="279" t="b">
        <v>0</v>
      </c>
      <c r="L873" s="279" t="b">
        <v>1</v>
      </c>
    </row>
    <row r="874" ht="14.25" hidden="1" customHeight="1" outlineLevel="1">
      <c r="A874" s="131" t="s">
        <v>35</v>
      </c>
      <c r="B874" s="132">
        <v>45786.0</v>
      </c>
      <c r="C874" s="285" t="s">
        <v>61</v>
      </c>
      <c r="D874" s="315">
        <v>1.0</v>
      </c>
      <c r="E874" s="316">
        <v>150.0</v>
      </c>
      <c r="F874" s="316">
        <f t="shared" si="101"/>
        <v>150</v>
      </c>
      <c r="G874" s="316">
        <f t="shared" si="103"/>
        <v>150</v>
      </c>
      <c r="H874" s="317" t="b">
        <v>1</v>
      </c>
      <c r="I874" s="334" t="s">
        <v>236</v>
      </c>
      <c r="J874" s="321" t="s">
        <v>1184</v>
      </c>
      <c r="K874" s="317" t="b">
        <v>0</v>
      </c>
      <c r="L874" s="317" t="b">
        <v>1</v>
      </c>
    </row>
    <row r="875" ht="14.25" hidden="1" customHeight="1" outlineLevel="1">
      <c r="A875" s="131" t="s">
        <v>35</v>
      </c>
      <c r="B875" s="132">
        <v>45786.0</v>
      </c>
      <c r="C875" s="285" t="s">
        <v>61</v>
      </c>
      <c r="D875" s="315">
        <v>1.0</v>
      </c>
      <c r="E875" s="316">
        <v>150.0</v>
      </c>
      <c r="F875" s="316">
        <f t="shared" si="101"/>
        <v>150</v>
      </c>
      <c r="G875" s="316">
        <f t="shared" si="103"/>
        <v>150</v>
      </c>
      <c r="H875" s="317" t="b">
        <v>1</v>
      </c>
      <c r="I875" s="143" t="s">
        <v>456</v>
      </c>
      <c r="J875" s="321" t="s">
        <v>1213</v>
      </c>
      <c r="K875" s="317" t="b">
        <v>0</v>
      </c>
      <c r="L875" s="317" t="b">
        <v>1</v>
      </c>
    </row>
    <row r="876" ht="14.25" hidden="1" customHeight="1" outlineLevel="1">
      <c r="A876" s="131" t="s">
        <v>35</v>
      </c>
      <c r="B876" s="132">
        <v>45787.0</v>
      </c>
      <c r="C876" s="41" t="s">
        <v>75</v>
      </c>
      <c r="D876" s="182">
        <v>2.0</v>
      </c>
      <c r="E876" s="183">
        <v>31.2</v>
      </c>
      <c r="F876" s="183">
        <f t="shared" si="101"/>
        <v>62.4</v>
      </c>
      <c r="G876" s="183">
        <f t="shared" si="103"/>
        <v>62.4</v>
      </c>
      <c r="H876" s="279" t="b">
        <v>0</v>
      </c>
      <c r="I876" s="143" t="s">
        <v>225</v>
      </c>
      <c r="J876" s="41" t="s">
        <v>1162</v>
      </c>
      <c r="K876" s="279" t="b">
        <v>1</v>
      </c>
      <c r="L876" s="279" t="b">
        <v>1</v>
      </c>
    </row>
    <row r="877" ht="14.25" hidden="1" customHeight="1" outlineLevel="1">
      <c r="A877" s="131" t="s">
        <v>35</v>
      </c>
      <c r="B877" s="132">
        <v>45788.0</v>
      </c>
      <c r="C877" s="41" t="s">
        <v>61</v>
      </c>
      <c r="D877" s="182">
        <v>1.0</v>
      </c>
      <c r="E877" s="316">
        <v>200.0</v>
      </c>
      <c r="F877" s="316">
        <v>200.0</v>
      </c>
      <c r="G877" s="316">
        <v>200.0</v>
      </c>
      <c r="H877" s="317" t="b">
        <v>1</v>
      </c>
      <c r="I877" s="318" t="s">
        <v>490</v>
      </c>
      <c r="J877" s="321" t="s">
        <v>1192</v>
      </c>
      <c r="K877" s="279" t="b">
        <v>0</v>
      </c>
      <c r="L877" s="279" t="b">
        <v>1</v>
      </c>
    </row>
    <row r="878" ht="14.25" hidden="1" customHeight="1" outlineLevel="1">
      <c r="A878" s="131" t="s">
        <v>35</v>
      </c>
      <c r="B878" s="132">
        <v>45788.0</v>
      </c>
      <c r="C878" s="41" t="s">
        <v>61</v>
      </c>
      <c r="D878" s="182">
        <v>1.0</v>
      </c>
      <c r="E878" s="183">
        <v>200.0</v>
      </c>
      <c r="F878" s="183">
        <v>200.0</v>
      </c>
      <c r="G878" s="183">
        <v>200.0</v>
      </c>
      <c r="H878" s="279" t="b">
        <v>1</v>
      </c>
      <c r="I878" s="143" t="s">
        <v>980</v>
      </c>
      <c r="J878" s="41" t="s">
        <v>1193</v>
      </c>
      <c r="K878" s="279" t="b">
        <v>0</v>
      </c>
      <c r="L878" s="279" t="b">
        <v>1</v>
      </c>
    </row>
    <row r="879" ht="14.25" hidden="1" customHeight="1" outlineLevel="1">
      <c r="A879" s="131" t="s">
        <v>35</v>
      </c>
      <c r="B879" s="132">
        <v>45788.0</v>
      </c>
      <c r="C879" s="41" t="s">
        <v>61</v>
      </c>
      <c r="D879" s="182">
        <v>1.0</v>
      </c>
      <c r="E879" s="183">
        <v>200.0</v>
      </c>
      <c r="F879" s="183">
        <v>200.0</v>
      </c>
      <c r="G879" s="183">
        <v>200.0</v>
      </c>
      <c r="H879" s="279" t="b">
        <v>1</v>
      </c>
      <c r="I879" s="143" t="s">
        <v>342</v>
      </c>
      <c r="J879" s="41" t="s">
        <v>1195</v>
      </c>
      <c r="K879" s="279" t="b">
        <v>0</v>
      </c>
      <c r="L879" s="279" t="b">
        <v>1</v>
      </c>
    </row>
    <row r="880" ht="14.25" hidden="1" customHeight="1" outlineLevel="1">
      <c r="A880" s="131" t="s">
        <v>35</v>
      </c>
      <c r="B880" s="132">
        <v>45789.0</v>
      </c>
      <c r="C880" s="41" t="s">
        <v>61</v>
      </c>
      <c r="D880" s="182">
        <v>1.0</v>
      </c>
      <c r="E880" s="183">
        <v>150.0</v>
      </c>
      <c r="F880" s="325">
        <f t="shared" ref="F880:F889" si="104">D880*E880</f>
        <v>150</v>
      </c>
      <c r="G880" s="325">
        <f t="shared" ref="G880:G886" si="105">F880</f>
        <v>150</v>
      </c>
      <c r="H880" s="279" t="b">
        <v>1</v>
      </c>
      <c r="I880" s="143" t="s">
        <v>456</v>
      </c>
      <c r="J880" s="41" t="s">
        <v>1196</v>
      </c>
      <c r="K880" s="279" t="b">
        <v>0</v>
      </c>
      <c r="L880" s="279" t="b">
        <v>1</v>
      </c>
    </row>
    <row r="881" ht="14.25" hidden="1" customHeight="1" outlineLevel="1">
      <c r="A881" s="131" t="s">
        <v>35</v>
      </c>
      <c r="B881" s="132">
        <v>45790.0</v>
      </c>
      <c r="C881" s="285" t="s">
        <v>61</v>
      </c>
      <c r="D881" s="315">
        <v>1.0</v>
      </c>
      <c r="E881" s="316">
        <v>150.0</v>
      </c>
      <c r="F881" s="316">
        <f t="shared" si="104"/>
        <v>150</v>
      </c>
      <c r="G881" s="316">
        <f t="shared" si="105"/>
        <v>150</v>
      </c>
      <c r="H881" s="317" t="b">
        <v>1</v>
      </c>
      <c r="I881" s="318" t="s">
        <v>296</v>
      </c>
      <c r="J881" s="321" t="s">
        <v>1198</v>
      </c>
      <c r="K881" s="317" t="b">
        <v>0</v>
      </c>
      <c r="L881" s="317" t="b">
        <v>1</v>
      </c>
    </row>
    <row r="882" ht="14.25" hidden="1" customHeight="1" outlineLevel="1">
      <c r="A882" s="131" t="s">
        <v>35</v>
      </c>
      <c r="B882" s="132">
        <v>45790.0</v>
      </c>
      <c r="C882" s="285" t="s">
        <v>61</v>
      </c>
      <c r="D882" s="315">
        <v>1.0</v>
      </c>
      <c r="E882" s="316">
        <v>150.0</v>
      </c>
      <c r="F882" s="316">
        <f t="shared" si="104"/>
        <v>150</v>
      </c>
      <c r="G882" s="316">
        <f t="shared" si="105"/>
        <v>150</v>
      </c>
      <c r="H882" s="317" t="b">
        <v>1</v>
      </c>
      <c r="I882" s="143" t="s">
        <v>456</v>
      </c>
      <c r="J882" s="321" t="s">
        <v>1199</v>
      </c>
      <c r="K882" s="317" t="b">
        <v>0</v>
      </c>
      <c r="L882" s="317" t="b">
        <v>1</v>
      </c>
    </row>
    <row r="883" ht="14.25" hidden="1" customHeight="1" outlineLevel="1">
      <c r="A883" s="131" t="s">
        <v>35</v>
      </c>
      <c r="B883" s="132">
        <v>45791.0</v>
      </c>
      <c r="C883" s="285" t="s">
        <v>61</v>
      </c>
      <c r="D883" s="315">
        <v>1.0</v>
      </c>
      <c r="E883" s="316">
        <v>150.0</v>
      </c>
      <c r="F883" s="316">
        <f t="shared" si="104"/>
        <v>150</v>
      </c>
      <c r="G883" s="316">
        <f t="shared" si="105"/>
        <v>150</v>
      </c>
      <c r="H883" s="317" t="b">
        <v>1</v>
      </c>
      <c r="I883" s="143" t="s">
        <v>456</v>
      </c>
      <c r="J883" s="321" t="s">
        <v>1204</v>
      </c>
      <c r="K883" s="317" t="b">
        <v>0</v>
      </c>
      <c r="L883" s="317" t="b">
        <v>1</v>
      </c>
    </row>
    <row r="884" ht="14.25" hidden="1" customHeight="1" outlineLevel="1">
      <c r="A884" s="131" t="s">
        <v>35</v>
      </c>
      <c r="B884" s="132">
        <v>45792.0</v>
      </c>
      <c r="C884" s="285" t="s">
        <v>61</v>
      </c>
      <c r="D884" s="315">
        <v>1.0</v>
      </c>
      <c r="E884" s="316">
        <v>150.0</v>
      </c>
      <c r="F884" s="316">
        <f t="shared" si="104"/>
        <v>150</v>
      </c>
      <c r="G884" s="316">
        <f t="shared" si="105"/>
        <v>150</v>
      </c>
      <c r="H884" s="317" t="b">
        <v>1</v>
      </c>
      <c r="I884" s="143" t="s">
        <v>980</v>
      </c>
      <c r="J884" s="321" t="s">
        <v>1181</v>
      </c>
      <c r="K884" s="317" t="b">
        <v>0</v>
      </c>
      <c r="L884" s="317" t="b">
        <v>1</v>
      </c>
    </row>
    <row r="885" ht="14.25" hidden="1" customHeight="1" outlineLevel="1">
      <c r="A885" s="131" t="s">
        <v>35</v>
      </c>
      <c r="B885" s="132">
        <v>45793.0</v>
      </c>
      <c r="C885" s="285" t="s">
        <v>61</v>
      </c>
      <c r="D885" s="315">
        <v>1.0</v>
      </c>
      <c r="E885" s="316">
        <v>150.0</v>
      </c>
      <c r="F885" s="316">
        <f t="shared" si="104"/>
        <v>150</v>
      </c>
      <c r="G885" s="316">
        <f t="shared" si="105"/>
        <v>150</v>
      </c>
      <c r="H885" s="317" t="b">
        <v>1</v>
      </c>
      <c r="I885" s="318" t="s">
        <v>296</v>
      </c>
      <c r="J885" s="321" t="s">
        <v>1184</v>
      </c>
      <c r="K885" s="317" t="b">
        <v>0</v>
      </c>
      <c r="L885" s="317" t="b">
        <v>1</v>
      </c>
    </row>
    <row r="886" ht="14.25" hidden="1" customHeight="1" outlineLevel="1">
      <c r="A886" s="131" t="s">
        <v>35</v>
      </c>
      <c r="B886" s="132">
        <v>45793.0</v>
      </c>
      <c r="C886" s="285" t="s">
        <v>61</v>
      </c>
      <c r="D886" s="315">
        <v>1.0</v>
      </c>
      <c r="E886" s="316">
        <v>150.0</v>
      </c>
      <c r="F886" s="316">
        <f t="shared" si="104"/>
        <v>150</v>
      </c>
      <c r="G886" s="316">
        <f t="shared" si="105"/>
        <v>150</v>
      </c>
      <c r="H886" s="317" t="b">
        <v>1</v>
      </c>
      <c r="I886" s="143" t="s">
        <v>456</v>
      </c>
      <c r="J886" s="321" t="s">
        <v>1213</v>
      </c>
      <c r="K886" s="317" t="b">
        <v>0</v>
      </c>
      <c r="L886" s="317" t="b">
        <v>1</v>
      </c>
    </row>
    <row r="887" ht="14.25" hidden="1" customHeight="1" outlineLevel="1">
      <c r="A887" s="131" t="s">
        <v>35</v>
      </c>
      <c r="B887" s="132">
        <v>45793.0</v>
      </c>
      <c r="C887" s="41" t="s">
        <v>55</v>
      </c>
      <c r="D887" s="182">
        <v>2.0</v>
      </c>
      <c r="E887" s="183">
        <v>12.4</v>
      </c>
      <c r="F887" s="183">
        <f t="shared" si="104"/>
        <v>24.8</v>
      </c>
      <c r="G887" s="196">
        <f>SUM(F887:F888)</f>
        <v>39.4</v>
      </c>
      <c r="H887" s="278" t="b">
        <v>0</v>
      </c>
      <c r="I887" s="164" t="s">
        <v>254</v>
      </c>
      <c r="J887" s="41" t="s">
        <v>1218</v>
      </c>
      <c r="K887" s="278" t="b">
        <v>1</v>
      </c>
      <c r="L887" s="278" t="b">
        <v>1</v>
      </c>
    </row>
    <row r="888" ht="14.25" hidden="1" customHeight="1" outlineLevel="1">
      <c r="A888" s="131" t="s">
        <v>35</v>
      </c>
      <c r="B888" s="132">
        <v>45793.0</v>
      </c>
      <c r="C888" s="41" t="s">
        <v>55</v>
      </c>
      <c r="D888" s="182">
        <v>2.0</v>
      </c>
      <c r="E888" s="183">
        <v>7.3</v>
      </c>
      <c r="F888" s="183">
        <f t="shared" si="104"/>
        <v>14.6</v>
      </c>
      <c r="G888" s="10"/>
      <c r="H888" s="10"/>
      <c r="I888" s="74"/>
      <c r="J888" s="41" t="s">
        <v>1219</v>
      </c>
      <c r="K888" s="10"/>
      <c r="L888" s="10"/>
    </row>
    <row r="889" ht="14.25" hidden="1" customHeight="1" outlineLevel="1">
      <c r="A889" s="131" t="s">
        <v>35</v>
      </c>
      <c r="B889" s="132">
        <v>45793.0</v>
      </c>
      <c r="C889" s="41" t="s">
        <v>80</v>
      </c>
      <c r="D889" s="182">
        <v>2.0</v>
      </c>
      <c r="E889" s="183">
        <v>15.0</v>
      </c>
      <c r="F889" s="183">
        <f t="shared" si="104"/>
        <v>30</v>
      </c>
      <c r="G889" s="183">
        <f>F889</f>
        <v>30</v>
      </c>
      <c r="H889" s="279" t="b">
        <v>0</v>
      </c>
      <c r="I889" s="143" t="s">
        <v>481</v>
      </c>
      <c r="J889" s="41"/>
      <c r="K889" s="279" t="b">
        <v>0</v>
      </c>
      <c r="L889" s="279" t="b">
        <v>0</v>
      </c>
    </row>
    <row r="890" ht="14.25" hidden="1" customHeight="1" outlineLevel="1">
      <c r="A890" s="131" t="s">
        <v>35</v>
      </c>
      <c r="B890" s="132">
        <v>45793.0</v>
      </c>
      <c r="C890" s="41" t="s">
        <v>171</v>
      </c>
      <c r="D890" s="182">
        <v>1.0</v>
      </c>
      <c r="E890" s="183">
        <v>142.5</v>
      </c>
      <c r="F890" s="183">
        <v>142.5</v>
      </c>
      <c r="G890" s="183">
        <v>142.5</v>
      </c>
      <c r="H890" s="279" t="b">
        <v>0</v>
      </c>
      <c r="I890" s="143" t="s">
        <v>172</v>
      </c>
      <c r="J890" s="41" t="s">
        <v>898</v>
      </c>
      <c r="K890" s="279" t="b">
        <v>1</v>
      </c>
      <c r="L890" s="279" t="b">
        <v>1</v>
      </c>
    </row>
    <row r="891" ht="14.25" hidden="1" customHeight="1" outlineLevel="1">
      <c r="A891" s="131" t="s">
        <v>35</v>
      </c>
      <c r="B891" s="132">
        <v>45795.0</v>
      </c>
      <c r="C891" s="41" t="s">
        <v>61</v>
      </c>
      <c r="D891" s="182">
        <v>1.0</v>
      </c>
      <c r="E891" s="316">
        <v>200.0</v>
      </c>
      <c r="F891" s="316">
        <v>200.0</v>
      </c>
      <c r="G891" s="316">
        <v>200.0</v>
      </c>
      <c r="H891" s="317" t="b">
        <v>1</v>
      </c>
      <c r="I891" s="318" t="s">
        <v>265</v>
      </c>
      <c r="J891" s="321" t="s">
        <v>1192</v>
      </c>
      <c r="K891" s="279" t="b">
        <v>0</v>
      </c>
      <c r="L891" s="279" t="b">
        <v>1</v>
      </c>
    </row>
    <row r="892" ht="14.25" hidden="1" customHeight="1" outlineLevel="1">
      <c r="A892" s="131" t="s">
        <v>35</v>
      </c>
      <c r="B892" s="132">
        <v>45795.0</v>
      </c>
      <c r="C892" s="41" t="s">
        <v>61</v>
      </c>
      <c r="D892" s="182">
        <v>1.0</v>
      </c>
      <c r="E892" s="183">
        <v>200.0</v>
      </c>
      <c r="F892" s="183">
        <v>200.0</v>
      </c>
      <c r="G892" s="183">
        <v>200.0</v>
      </c>
      <c r="H892" s="279" t="b">
        <v>1</v>
      </c>
      <c r="I892" s="143" t="s">
        <v>1020</v>
      </c>
      <c r="J892" s="41" t="s">
        <v>1193</v>
      </c>
      <c r="K892" s="279" t="b">
        <v>0</v>
      </c>
      <c r="L892" s="279" t="b">
        <v>1</v>
      </c>
    </row>
    <row r="893" ht="14.25" hidden="1" customHeight="1" outlineLevel="1">
      <c r="A893" s="131" t="s">
        <v>35</v>
      </c>
      <c r="B893" s="132">
        <v>45795.0</v>
      </c>
      <c r="C893" s="41" t="s">
        <v>61</v>
      </c>
      <c r="D893" s="182">
        <v>1.0</v>
      </c>
      <c r="E893" s="183">
        <v>200.0</v>
      </c>
      <c r="F893" s="183">
        <v>200.0</v>
      </c>
      <c r="G893" s="183">
        <v>200.0</v>
      </c>
      <c r="H893" s="279" t="b">
        <v>1</v>
      </c>
      <c r="I893" s="143" t="s">
        <v>342</v>
      </c>
      <c r="J893" s="41" t="s">
        <v>1195</v>
      </c>
      <c r="K893" s="279" t="b">
        <v>0</v>
      </c>
      <c r="L893" s="279" t="b">
        <v>1</v>
      </c>
    </row>
    <row r="894" ht="14.25" hidden="1" customHeight="1" outlineLevel="1">
      <c r="A894" s="131" t="s">
        <v>35</v>
      </c>
      <c r="B894" s="132">
        <v>45796.0</v>
      </c>
      <c r="C894" s="41" t="s">
        <v>61</v>
      </c>
      <c r="D894" s="182">
        <v>1.0</v>
      </c>
      <c r="E894" s="183">
        <v>150.0</v>
      </c>
      <c r="F894" s="325">
        <f t="shared" ref="F894:F903" si="106">D894*E894</f>
        <v>150</v>
      </c>
      <c r="G894" s="325">
        <f t="shared" ref="G894:G896" si="107">F894</f>
        <v>150</v>
      </c>
      <c r="H894" s="279" t="b">
        <v>1</v>
      </c>
      <c r="I894" s="143" t="s">
        <v>456</v>
      </c>
      <c r="J894" s="41" t="s">
        <v>1196</v>
      </c>
      <c r="K894" s="279" t="b">
        <v>0</v>
      </c>
      <c r="L894" s="279" t="b">
        <v>1</v>
      </c>
    </row>
    <row r="895" ht="14.25" hidden="1" customHeight="1" outlineLevel="1">
      <c r="A895" s="131" t="s">
        <v>35</v>
      </c>
      <c r="B895" s="132">
        <v>45797.0</v>
      </c>
      <c r="C895" s="285" t="s">
        <v>61</v>
      </c>
      <c r="D895" s="315">
        <v>1.0</v>
      </c>
      <c r="E895" s="316">
        <v>150.0</v>
      </c>
      <c r="F895" s="316">
        <f t="shared" si="106"/>
        <v>150</v>
      </c>
      <c r="G895" s="316">
        <f t="shared" si="107"/>
        <v>150</v>
      </c>
      <c r="H895" s="317" t="b">
        <v>1</v>
      </c>
      <c r="I895" s="334" t="s">
        <v>236</v>
      </c>
      <c r="J895" s="321" t="s">
        <v>1198</v>
      </c>
      <c r="K895" s="317" t="b">
        <v>0</v>
      </c>
      <c r="L895" s="279" t="b">
        <v>1</v>
      </c>
    </row>
    <row r="896" ht="14.25" hidden="1" customHeight="1" outlineLevel="1">
      <c r="A896" s="131" t="s">
        <v>35</v>
      </c>
      <c r="B896" s="132">
        <v>45797.0</v>
      </c>
      <c r="C896" s="285" t="s">
        <v>61</v>
      </c>
      <c r="D896" s="315">
        <v>1.0</v>
      </c>
      <c r="E896" s="316">
        <v>150.0</v>
      </c>
      <c r="F896" s="316">
        <f t="shared" si="106"/>
        <v>150</v>
      </c>
      <c r="G896" s="316">
        <f t="shared" si="107"/>
        <v>150</v>
      </c>
      <c r="H896" s="317" t="b">
        <v>1</v>
      </c>
      <c r="I896" s="143" t="s">
        <v>456</v>
      </c>
      <c r="J896" s="321" t="s">
        <v>1199</v>
      </c>
      <c r="K896" s="317" t="b">
        <v>0</v>
      </c>
      <c r="L896" s="279" t="b">
        <v>1</v>
      </c>
    </row>
    <row r="897" ht="14.25" hidden="1" customHeight="1" outlineLevel="1">
      <c r="A897" s="131" t="s">
        <v>35</v>
      </c>
      <c r="B897" s="132">
        <v>45797.0</v>
      </c>
      <c r="C897" s="41" t="s">
        <v>75</v>
      </c>
      <c r="D897" s="182">
        <v>2.0</v>
      </c>
      <c r="E897" s="183">
        <v>40.0</v>
      </c>
      <c r="F897" s="183">
        <f t="shared" si="106"/>
        <v>80</v>
      </c>
      <c r="G897" s="196">
        <f>SUM(F897:F898)</f>
        <v>150</v>
      </c>
      <c r="H897" s="278" t="b">
        <v>0</v>
      </c>
      <c r="I897" s="164" t="s">
        <v>76</v>
      </c>
      <c r="J897" s="41" t="s">
        <v>1225</v>
      </c>
      <c r="K897" s="278" t="b">
        <v>0</v>
      </c>
      <c r="L897" s="278" t="b">
        <v>1</v>
      </c>
    </row>
    <row r="898" ht="14.25" hidden="1" customHeight="1" outlineLevel="1">
      <c r="A898" s="131" t="s">
        <v>35</v>
      </c>
      <c r="B898" s="132">
        <v>45797.0</v>
      </c>
      <c r="C898" s="41" t="s">
        <v>75</v>
      </c>
      <c r="D898" s="182">
        <v>2.0</v>
      </c>
      <c r="E898" s="183">
        <v>35.0</v>
      </c>
      <c r="F898" s="183">
        <f t="shared" si="106"/>
        <v>70</v>
      </c>
      <c r="G898" s="10"/>
      <c r="H898" s="10"/>
      <c r="I898" s="74"/>
      <c r="J898" s="41" t="s">
        <v>1226</v>
      </c>
      <c r="K898" s="10"/>
      <c r="L898" s="10"/>
    </row>
    <row r="899" ht="14.25" hidden="1" customHeight="1" outlineLevel="1">
      <c r="A899" s="131" t="s">
        <v>35</v>
      </c>
      <c r="B899" s="132">
        <v>45797.0</v>
      </c>
      <c r="C899" s="41" t="s">
        <v>231</v>
      </c>
      <c r="D899" s="182">
        <v>5.0</v>
      </c>
      <c r="E899" s="183">
        <v>60.0</v>
      </c>
      <c r="F899" s="183">
        <f t="shared" si="106"/>
        <v>300</v>
      </c>
      <c r="G899" s="183">
        <f t="shared" ref="G899:G903" si="108">F899</f>
        <v>300</v>
      </c>
      <c r="H899" s="279" t="b">
        <v>0</v>
      </c>
      <c r="I899" s="143" t="s">
        <v>558</v>
      </c>
      <c r="J899" s="41" t="s">
        <v>1227</v>
      </c>
      <c r="K899" s="279" t="b">
        <v>1</v>
      </c>
      <c r="L899" s="279" t="b">
        <v>1</v>
      </c>
    </row>
    <row r="900" ht="14.25" hidden="1" customHeight="1" outlineLevel="1">
      <c r="A900" s="131" t="s">
        <v>35</v>
      </c>
      <c r="B900" s="132">
        <v>45798.0</v>
      </c>
      <c r="C900" s="285" t="s">
        <v>61</v>
      </c>
      <c r="D900" s="315">
        <v>1.0</v>
      </c>
      <c r="E900" s="316">
        <v>150.0</v>
      </c>
      <c r="F900" s="316">
        <f t="shared" si="106"/>
        <v>150</v>
      </c>
      <c r="G900" s="316">
        <f t="shared" si="108"/>
        <v>150</v>
      </c>
      <c r="H900" s="317" t="b">
        <v>1</v>
      </c>
      <c r="I900" s="143" t="s">
        <v>456</v>
      </c>
      <c r="J900" s="321" t="s">
        <v>1204</v>
      </c>
      <c r="K900" s="317" t="b">
        <v>0</v>
      </c>
      <c r="L900" s="279" t="b">
        <v>1</v>
      </c>
    </row>
    <row r="901" ht="14.25" hidden="1" customHeight="1" outlineLevel="1">
      <c r="A901" s="131" t="s">
        <v>35</v>
      </c>
      <c r="B901" s="132">
        <v>45799.0</v>
      </c>
      <c r="C901" s="285" t="s">
        <v>61</v>
      </c>
      <c r="D901" s="315">
        <v>1.0</v>
      </c>
      <c r="E901" s="316">
        <v>150.0</v>
      </c>
      <c r="F901" s="316">
        <f t="shared" si="106"/>
        <v>150</v>
      </c>
      <c r="G901" s="316">
        <f t="shared" si="108"/>
        <v>150</v>
      </c>
      <c r="H901" s="317" t="b">
        <v>1</v>
      </c>
      <c r="I901" s="143" t="s">
        <v>980</v>
      </c>
      <c r="J901" s="321" t="s">
        <v>1181</v>
      </c>
      <c r="K901" s="317" t="b">
        <v>0</v>
      </c>
      <c r="L901" s="279" t="b">
        <v>1</v>
      </c>
    </row>
    <row r="902" ht="14.25" hidden="1" customHeight="1" outlineLevel="1">
      <c r="A902" s="131" t="s">
        <v>35</v>
      </c>
      <c r="B902" s="132">
        <v>45800.0</v>
      </c>
      <c r="C902" s="285" t="s">
        <v>61</v>
      </c>
      <c r="D902" s="315">
        <v>1.0</v>
      </c>
      <c r="E902" s="316">
        <v>150.0</v>
      </c>
      <c r="F902" s="316">
        <f t="shared" si="106"/>
        <v>150</v>
      </c>
      <c r="G902" s="316">
        <f t="shared" si="108"/>
        <v>150</v>
      </c>
      <c r="H902" s="317" t="b">
        <v>1</v>
      </c>
      <c r="I902" s="334" t="s">
        <v>236</v>
      </c>
      <c r="J902" s="321" t="s">
        <v>1184</v>
      </c>
      <c r="K902" s="317" t="b">
        <v>0</v>
      </c>
      <c r="L902" s="279" t="b">
        <v>1</v>
      </c>
    </row>
    <row r="903" ht="14.25" hidden="1" customHeight="1" outlineLevel="1">
      <c r="A903" s="131" t="s">
        <v>35</v>
      </c>
      <c r="B903" s="132">
        <v>45800.0</v>
      </c>
      <c r="C903" s="285" t="s">
        <v>61</v>
      </c>
      <c r="D903" s="315">
        <v>1.0</v>
      </c>
      <c r="E903" s="316">
        <v>150.0</v>
      </c>
      <c r="F903" s="316">
        <f t="shared" si="106"/>
        <v>150</v>
      </c>
      <c r="G903" s="316">
        <f t="shared" si="108"/>
        <v>150</v>
      </c>
      <c r="H903" s="317" t="b">
        <v>1</v>
      </c>
      <c r="I903" s="143" t="s">
        <v>456</v>
      </c>
      <c r="J903" s="321" t="s">
        <v>1213</v>
      </c>
      <c r="K903" s="317" t="b">
        <v>0</v>
      </c>
      <c r="L903" s="279" t="b">
        <v>1</v>
      </c>
    </row>
    <row r="904" ht="14.25" hidden="1" customHeight="1" outlineLevel="1">
      <c r="A904" s="131" t="s">
        <v>35</v>
      </c>
      <c r="B904" s="132">
        <v>45802.0</v>
      </c>
      <c r="C904" s="41" t="s">
        <v>61</v>
      </c>
      <c r="D904" s="182">
        <v>1.0</v>
      </c>
      <c r="E904" s="316">
        <v>200.0</v>
      </c>
      <c r="F904" s="316">
        <v>200.0</v>
      </c>
      <c r="G904" s="316">
        <v>200.0</v>
      </c>
      <c r="H904" s="317" t="b">
        <v>1</v>
      </c>
      <c r="I904" s="318" t="s">
        <v>490</v>
      </c>
      <c r="J904" s="321" t="s">
        <v>1192</v>
      </c>
      <c r="K904" s="279" t="b">
        <v>0</v>
      </c>
      <c r="L904" s="279" t="b">
        <v>1</v>
      </c>
    </row>
    <row r="905" ht="14.25" hidden="1" customHeight="1" outlineLevel="1">
      <c r="A905" s="131" t="s">
        <v>35</v>
      </c>
      <c r="B905" s="132">
        <v>45802.0</v>
      </c>
      <c r="C905" s="41" t="s">
        <v>61</v>
      </c>
      <c r="D905" s="182">
        <v>1.0</v>
      </c>
      <c r="E905" s="183">
        <v>200.0</v>
      </c>
      <c r="F905" s="183">
        <v>200.0</v>
      </c>
      <c r="G905" s="183">
        <v>200.0</v>
      </c>
      <c r="H905" s="279" t="b">
        <v>1</v>
      </c>
      <c r="I905" s="143" t="s">
        <v>980</v>
      </c>
      <c r="J905" s="41" t="s">
        <v>1193</v>
      </c>
      <c r="K905" s="279" t="b">
        <v>0</v>
      </c>
      <c r="L905" s="279" t="b">
        <v>1</v>
      </c>
    </row>
    <row r="906" ht="14.25" hidden="1" customHeight="1" outlineLevel="1">
      <c r="A906" s="131" t="s">
        <v>35</v>
      </c>
      <c r="B906" s="132">
        <v>45802.0</v>
      </c>
      <c r="C906" s="41" t="s">
        <v>61</v>
      </c>
      <c r="D906" s="182">
        <v>1.0</v>
      </c>
      <c r="E906" s="183">
        <v>200.0</v>
      </c>
      <c r="F906" s="183">
        <v>200.0</v>
      </c>
      <c r="G906" s="183">
        <v>200.0</v>
      </c>
      <c r="H906" s="279" t="b">
        <v>1</v>
      </c>
      <c r="I906" s="143" t="s">
        <v>325</v>
      </c>
      <c r="J906" s="41" t="s">
        <v>1195</v>
      </c>
      <c r="K906" s="279" t="b">
        <v>0</v>
      </c>
      <c r="L906" s="279" t="b">
        <v>1</v>
      </c>
    </row>
    <row r="907" ht="14.25" hidden="1" customHeight="1" outlineLevel="1">
      <c r="A907" s="131" t="s">
        <v>35</v>
      </c>
      <c r="B907" s="132">
        <v>45801.0</v>
      </c>
      <c r="C907" s="41" t="s">
        <v>315</v>
      </c>
      <c r="D907" s="182">
        <v>2.0</v>
      </c>
      <c r="E907" s="183">
        <v>49.99</v>
      </c>
      <c r="F907" s="183">
        <f t="shared" ref="F907:F910" si="109">D907*E907</f>
        <v>99.98</v>
      </c>
      <c r="G907" s="183">
        <f t="shared" ref="G907:G910" si="110">F907</f>
        <v>99.98</v>
      </c>
      <c r="H907" s="279" t="b">
        <v>0</v>
      </c>
      <c r="I907" s="143" t="s">
        <v>570</v>
      </c>
      <c r="J907" s="41" t="s">
        <v>333</v>
      </c>
      <c r="K907" s="279" t="b">
        <v>1</v>
      </c>
      <c r="L907" s="279" t="b">
        <v>1</v>
      </c>
    </row>
    <row r="908" ht="14.25" hidden="1" customHeight="1" outlineLevel="1">
      <c r="A908" s="131" t="s">
        <v>35</v>
      </c>
      <c r="B908" s="132">
        <v>45803.0</v>
      </c>
      <c r="C908" s="41" t="s">
        <v>61</v>
      </c>
      <c r="D908" s="182">
        <v>1.0</v>
      </c>
      <c r="E908" s="183">
        <v>150.0</v>
      </c>
      <c r="F908" s="325">
        <f t="shared" si="109"/>
        <v>150</v>
      </c>
      <c r="G908" s="325">
        <f t="shared" si="110"/>
        <v>150</v>
      </c>
      <c r="H908" s="279" t="b">
        <v>1</v>
      </c>
      <c r="I908" s="143" t="s">
        <v>456</v>
      </c>
      <c r="J908" s="41" t="s">
        <v>1196</v>
      </c>
      <c r="K908" s="279" t="b">
        <v>0</v>
      </c>
      <c r="L908" s="279" t="b">
        <v>1</v>
      </c>
    </row>
    <row r="909" ht="14.25" hidden="1" customHeight="1" outlineLevel="1">
      <c r="A909" s="131" t="s">
        <v>35</v>
      </c>
      <c r="B909" s="132">
        <v>45804.0</v>
      </c>
      <c r="C909" s="285" t="s">
        <v>61</v>
      </c>
      <c r="D909" s="315">
        <v>1.0</v>
      </c>
      <c r="E909" s="316">
        <v>150.0</v>
      </c>
      <c r="F909" s="316">
        <f t="shared" si="109"/>
        <v>150</v>
      </c>
      <c r="G909" s="316">
        <f t="shared" si="110"/>
        <v>150</v>
      </c>
      <c r="H909" s="317" t="b">
        <v>1</v>
      </c>
      <c r="I909" s="334" t="s">
        <v>236</v>
      </c>
      <c r="J909" s="321" t="s">
        <v>1198</v>
      </c>
      <c r="K909" s="317" t="b">
        <v>0</v>
      </c>
      <c r="L909" s="279" t="b">
        <v>1</v>
      </c>
    </row>
    <row r="910" ht="14.25" hidden="1" customHeight="1" outlineLevel="1">
      <c r="A910" s="131" t="s">
        <v>35</v>
      </c>
      <c r="B910" s="132">
        <v>45804.0</v>
      </c>
      <c r="C910" s="285" t="s">
        <v>61</v>
      </c>
      <c r="D910" s="315">
        <v>1.0</v>
      </c>
      <c r="E910" s="316">
        <v>150.0</v>
      </c>
      <c r="F910" s="316">
        <f t="shared" si="109"/>
        <v>150</v>
      </c>
      <c r="G910" s="316">
        <f t="shared" si="110"/>
        <v>150</v>
      </c>
      <c r="H910" s="317" t="b">
        <v>1</v>
      </c>
      <c r="I910" s="143" t="s">
        <v>456</v>
      </c>
      <c r="J910" s="321" t="s">
        <v>1199</v>
      </c>
      <c r="K910" s="317" t="b">
        <v>0</v>
      </c>
      <c r="L910" s="279" t="b">
        <v>1</v>
      </c>
    </row>
    <row r="911" ht="14.25" hidden="1" customHeight="1" outlineLevel="1">
      <c r="A911" s="131" t="s">
        <v>35</v>
      </c>
      <c r="B911" s="132">
        <v>45804.0</v>
      </c>
      <c r="C911" s="41" t="s">
        <v>231</v>
      </c>
      <c r="D911" s="182">
        <v>1.0</v>
      </c>
      <c r="E911" s="183">
        <v>17.82</v>
      </c>
      <c r="F911" s="183">
        <f t="shared" ref="F911:F912" si="111">E911*D911</f>
        <v>17.82</v>
      </c>
      <c r="G911" s="196">
        <f>SUM(F911:F912)</f>
        <v>34.83</v>
      </c>
      <c r="H911" s="278" t="b">
        <v>0</v>
      </c>
      <c r="I911" s="164" t="s">
        <v>403</v>
      </c>
      <c r="J911" s="41" t="s">
        <v>1234</v>
      </c>
      <c r="K911" s="278" t="b">
        <v>1</v>
      </c>
      <c r="L911" s="278" t="b">
        <v>1</v>
      </c>
    </row>
    <row r="912" ht="14.25" hidden="1" customHeight="1" outlineLevel="1">
      <c r="A912" s="131" t="s">
        <v>35</v>
      </c>
      <c r="B912" s="132">
        <v>45804.0</v>
      </c>
      <c r="C912" s="41" t="s">
        <v>231</v>
      </c>
      <c r="D912" s="182">
        <v>1.0</v>
      </c>
      <c r="E912" s="183">
        <v>17.01</v>
      </c>
      <c r="F912" s="183">
        <f t="shared" si="111"/>
        <v>17.01</v>
      </c>
      <c r="G912" s="10"/>
      <c r="H912" s="10"/>
      <c r="I912" s="74"/>
      <c r="J912" s="41" t="s">
        <v>262</v>
      </c>
      <c r="K912" s="10"/>
      <c r="L912" s="10"/>
    </row>
    <row r="913" ht="14.25" hidden="1" customHeight="1" outlineLevel="1">
      <c r="A913" s="131" t="s">
        <v>35</v>
      </c>
      <c r="B913" s="132">
        <v>45805.0</v>
      </c>
      <c r="C913" s="285" t="s">
        <v>61</v>
      </c>
      <c r="D913" s="315">
        <v>1.0</v>
      </c>
      <c r="E913" s="316">
        <v>150.0</v>
      </c>
      <c r="F913" s="316">
        <f t="shared" ref="F913:F914" si="112">D913*E913</f>
        <v>150</v>
      </c>
      <c r="G913" s="316">
        <f t="shared" ref="G913:G914" si="113">F913</f>
        <v>150</v>
      </c>
      <c r="H913" s="317" t="b">
        <v>1</v>
      </c>
      <c r="I913" s="143" t="s">
        <v>456</v>
      </c>
      <c r="J913" s="321" t="s">
        <v>1204</v>
      </c>
      <c r="K913" s="317" t="b">
        <v>0</v>
      </c>
      <c r="L913" s="279" t="b">
        <v>1</v>
      </c>
    </row>
    <row r="914" ht="14.25" hidden="1" customHeight="1" outlineLevel="1">
      <c r="A914" s="131" t="s">
        <v>35</v>
      </c>
      <c r="B914" s="132">
        <v>45806.0</v>
      </c>
      <c r="C914" s="285" t="s">
        <v>61</v>
      </c>
      <c r="D914" s="315">
        <v>1.0</v>
      </c>
      <c r="E914" s="316">
        <v>150.0</v>
      </c>
      <c r="F914" s="316">
        <f t="shared" si="112"/>
        <v>150</v>
      </c>
      <c r="G914" s="316">
        <f t="shared" si="113"/>
        <v>150</v>
      </c>
      <c r="H914" s="317" t="b">
        <v>1</v>
      </c>
      <c r="I914" s="143" t="s">
        <v>980</v>
      </c>
      <c r="J914" s="321" t="s">
        <v>1181</v>
      </c>
      <c r="K914" s="317" t="b">
        <v>0</v>
      </c>
      <c r="L914" s="279" t="b">
        <v>1</v>
      </c>
    </row>
    <row r="915" ht="14.25" hidden="1" customHeight="1" outlineLevel="1">
      <c r="A915" s="131" t="s">
        <v>35</v>
      </c>
      <c r="B915" s="132">
        <v>45807.0</v>
      </c>
      <c r="C915" s="41" t="s">
        <v>61</v>
      </c>
      <c r="D915" s="182">
        <v>1.0</v>
      </c>
      <c r="E915" s="183">
        <v>4050.0</v>
      </c>
      <c r="F915" s="183">
        <v>4050.0</v>
      </c>
      <c r="G915" s="183">
        <v>4050.0</v>
      </c>
      <c r="H915" s="279" t="b">
        <v>1</v>
      </c>
      <c r="I915" s="143" t="s">
        <v>119</v>
      </c>
      <c r="J915" s="41" t="s">
        <v>1237</v>
      </c>
      <c r="K915" s="279" t="b">
        <v>0</v>
      </c>
      <c r="L915" s="279" t="b">
        <v>0</v>
      </c>
    </row>
    <row r="916" ht="14.25" hidden="1" customHeight="1" outlineLevel="1">
      <c r="A916" s="131" t="s">
        <v>35</v>
      </c>
      <c r="B916" s="132">
        <v>45807.0</v>
      </c>
      <c r="C916" s="285" t="s">
        <v>61</v>
      </c>
      <c r="D916" s="315">
        <v>1.0</v>
      </c>
      <c r="E916" s="316">
        <v>150.0</v>
      </c>
      <c r="F916" s="316">
        <f t="shared" ref="F916:F917" si="114">D916*E916</f>
        <v>150</v>
      </c>
      <c r="G916" s="316">
        <f t="shared" ref="G916:G919" si="115">F916</f>
        <v>150</v>
      </c>
      <c r="H916" s="317" t="b">
        <v>1</v>
      </c>
      <c r="I916" s="334" t="s">
        <v>236</v>
      </c>
      <c r="J916" s="321" t="s">
        <v>1184</v>
      </c>
      <c r="K916" s="317" t="b">
        <v>0</v>
      </c>
      <c r="L916" s="279" t="b">
        <v>1</v>
      </c>
    </row>
    <row r="917" ht="14.25" hidden="1" customHeight="1" outlineLevel="1">
      <c r="A917" s="131" t="s">
        <v>35</v>
      </c>
      <c r="B917" s="132">
        <v>45807.0</v>
      </c>
      <c r="C917" s="285" t="s">
        <v>61</v>
      </c>
      <c r="D917" s="315">
        <v>1.0</v>
      </c>
      <c r="E917" s="316">
        <v>150.0</v>
      </c>
      <c r="F917" s="316">
        <f t="shared" si="114"/>
        <v>150</v>
      </c>
      <c r="G917" s="316">
        <f t="shared" si="115"/>
        <v>150</v>
      </c>
      <c r="H917" s="317" t="b">
        <v>1</v>
      </c>
      <c r="I917" s="143" t="s">
        <v>456</v>
      </c>
      <c r="J917" s="321" t="s">
        <v>1213</v>
      </c>
      <c r="K917" s="317" t="b">
        <v>0</v>
      </c>
      <c r="L917" s="279" t="b">
        <v>1</v>
      </c>
    </row>
    <row r="918" ht="14.25" hidden="1" customHeight="1" outlineLevel="1">
      <c r="A918" s="131" t="s">
        <v>35</v>
      </c>
      <c r="B918" s="132">
        <v>45807.0</v>
      </c>
      <c r="C918" s="41" t="s">
        <v>93</v>
      </c>
      <c r="D918" s="182">
        <v>1.0</v>
      </c>
      <c r="E918" s="183">
        <v>81.0</v>
      </c>
      <c r="F918" s="183">
        <v>81.0</v>
      </c>
      <c r="G918" s="183">
        <f t="shared" si="115"/>
        <v>81</v>
      </c>
      <c r="H918" s="279" t="b">
        <v>0</v>
      </c>
      <c r="I918" s="143" t="s">
        <v>337</v>
      </c>
      <c r="J918" s="41" t="s">
        <v>1240</v>
      </c>
      <c r="K918" s="279" t="b">
        <v>1</v>
      </c>
      <c r="L918" s="279" t="b">
        <v>1</v>
      </c>
    </row>
    <row r="919" ht="14.25" hidden="1" customHeight="1" outlineLevel="1">
      <c r="A919" s="131" t="s">
        <v>35</v>
      </c>
      <c r="B919" s="132">
        <v>45807.0</v>
      </c>
      <c r="C919" s="41" t="s">
        <v>171</v>
      </c>
      <c r="D919" s="182">
        <v>1.0</v>
      </c>
      <c r="E919" s="183">
        <v>226.0</v>
      </c>
      <c r="F919" s="183">
        <f>D919*E919</f>
        <v>226</v>
      </c>
      <c r="G919" s="183">
        <f t="shared" si="115"/>
        <v>226</v>
      </c>
      <c r="H919" s="279" t="b">
        <v>0</v>
      </c>
      <c r="I919" s="143" t="s">
        <v>1242</v>
      </c>
      <c r="J919" s="41" t="s">
        <v>1243</v>
      </c>
      <c r="K919" s="279" t="b">
        <v>1</v>
      </c>
      <c r="L919" s="279" t="b">
        <v>1</v>
      </c>
    </row>
    <row r="920" ht="14.25" hidden="1" customHeight="1" outlineLevel="1">
      <c r="A920" s="131" t="s">
        <v>35</v>
      </c>
      <c r="B920" s="132">
        <v>45778.0</v>
      </c>
      <c r="C920" s="41"/>
      <c r="D920" s="182"/>
      <c r="E920" s="183"/>
      <c r="F920" s="183"/>
      <c r="G920" s="183"/>
      <c r="H920" s="279" t="b">
        <v>0</v>
      </c>
      <c r="I920" s="143"/>
      <c r="J920" s="41"/>
      <c r="K920" s="279" t="b">
        <v>0</v>
      </c>
      <c r="L920" s="279" t="b">
        <v>0</v>
      </c>
    </row>
    <row r="921" ht="14.25" hidden="1" customHeight="1" outlineLevel="1">
      <c r="A921" s="131" t="s">
        <v>35</v>
      </c>
      <c r="B921" s="132">
        <v>45778.0</v>
      </c>
      <c r="C921" s="41"/>
      <c r="D921" s="182"/>
      <c r="E921" s="183"/>
      <c r="F921" s="183"/>
      <c r="G921" s="183"/>
      <c r="H921" s="279" t="b">
        <v>0</v>
      </c>
      <c r="I921" s="143"/>
      <c r="J921" s="41"/>
      <c r="K921" s="279" t="b">
        <v>0</v>
      </c>
      <c r="L921" s="279" t="b">
        <v>0</v>
      </c>
    </row>
    <row r="922" ht="14.25" hidden="1" customHeight="1" outlineLevel="1">
      <c r="A922" s="131" t="s">
        <v>35</v>
      </c>
      <c r="B922" s="132">
        <v>45778.0</v>
      </c>
      <c r="C922" s="41"/>
      <c r="D922" s="182"/>
      <c r="E922" s="183"/>
      <c r="F922" s="183"/>
      <c r="G922" s="183"/>
      <c r="H922" s="279" t="b">
        <v>0</v>
      </c>
      <c r="I922" s="143"/>
      <c r="J922" s="41"/>
      <c r="K922" s="279" t="b">
        <v>0</v>
      </c>
      <c r="L922" s="279" t="b">
        <v>0</v>
      </c>
    </row>
    <row r="923" ht="14.25" customHeight="1">
      <c r="A923" s="180" t="s">
        <v>192</v>
      </c>
      <c r="B923" s="27"/>
      <c r="C923" s="27"/>
      <c r="D923" s="27"/>
      <c r="E923" s="28"/>
      <c r="F923" s="181">
        <f t="shared" ref="F923:G923" si="116">SUM(F855:F922)</f>
        <v>12750.15</v>
      </c>
      <c r="G923" s="181">
        <f t="shared" si="116"/>
        <v>12750.15</v>
      </c>
    </row>
    <row r="924" ht="14.25" customHeight="1" collapsed="1">
      <c r="A924" s="245" t="s">
        <v>1084</v>
      </c>
      <c r="B924" s="246"/>
      <c r="C924" s="246"/>
      <c r="D924" s="246"/>
      <c r="E924" s="246"/>
      <c r="F924" s="246"/>
      <c r="G924" s="246"/>
      <c r="H924" s="246"/>
      <c r="I924" s="246"/>
      <c r="J924" s="247"/>
      <c r="K924" s="238"/>
      <c r="L924" s="238"/>
    </row>
    <row r="925" ht="14.25" hidden="1" customHeight="1" outlineLevel="1">
      <c r="A925" s="131" t="s">
        <v>34</v>
      </c>
      <c r="B925" s="132">
        <v>45809.0</v>
      </c>
      <c r="C925" s="41" t="s">
        <v>61</v>
      </c>
      <c r="D925" s="182">
        <v>1.0</v>
      </c>
      <c r="E925" s="316">
        <v>200.0</v>
      </c>
      <c r="F925" s="316">
        <v>200.0</v>
      </c>
      <c r="G925" s="316">
        <v>200.0</v>
      </c>
      <c r="H925" s="317" t="b">
        <v>1</v>
      </c>
      <c r="I925" s="318" t="s">
        <v>490</v>
      </c>
      <c r="J925" s="321" t="s">
        <v>1192</v>
      </c>
      <c r="K925" s="279" t="b">
        <v>0</v>
      </c>
      <c r="L925" s="279" t="b">
        <v>1</v>
      </c>
    </row>
    <row r="926" ht="14.25" hidden="1" customHeight="1" outlineLevel="1">
      <c r="A926" s="131" t="s">
        <v>34</v>
      </c>
      <c r="B926" s="132">
        <v>45809.0</v>
      </c>
      <c r="C926" s="41" t="s">
        <v>61</v>
      </c>
      <c r="D926" s="182">
        <v>1.0</v>
      </c>
      <c r="E926" s="183">
        <v>200.0</v>
      </c>
      <c r="F926" s="183">
        <v>200.0</v>
      </c>
      <c r="G926" s="183">
        <v>200.0</v>
      </c>
      <c r="H926" s="279" t="b">
        <v>1</v>
      </c>
      <c r="I926" s="143" t="s">
        <v>980</v>
      </c>
      <c r="J926" s="41" t="s">
        <v>1193</v>
      </c>
      <c r="K926" s="279" t="b">
        <v>0</v>
      </c>
      <c r="L926" s="279" t="b">
        <v>1</v>
      </c>
    </row>
    <row r="927" ht="14.25" hidden="1" customHeight="1" outlineLevel="1">
      <c r="A927" s="131" t="s">
        <v>34</v>
      </c>
      <c r="B927" s="132">
        <v>45809.0</v>
      </c>
      <c r="C927" s="41" t="s">
        <v>61</v>
      </c>
      <c r="D927" s="182">
        <v>1.0</v>
      </c>
      <c r="E927" s="183">
        <v>200.0</v>
      </c>
      <c r="F927" s="183">
        <v>200.0</v>
      </c>
      <c r="G927" s="183">
        <v>200.0</v>
      </c>
      <c r="H927" s="279" t="b">
        <v>1</v>
      </c>
      <c r="I927" s="143" t="s">
        <v>325</v>
      </c>
      <c r="J927" s="41" t="s">
        <v>1195</v>
      </c>
      <c r="K927" s="279" t="b">
        <v>0</v>
      </c>
      <c r="L927" s="279" t="b">
        <v>1</v>
      </c>
    </row>
    <row r="928" ht="14.25" hidden="1" customHeight="1" outlineLevel="1">
      <c r="A928" s="131" t="s">
        <v>34</v>
      </c>
      <c r="B928" s="132">
        <v>45810.0</v>
      </c>
      <c r="C928" s="41" t="s">
        <v>80</v>
      </c>
      <c r="D928" s="182">
        <v>2.0</v>
      </c>
      <c r="E928" s="183">
        <v>15.0</v>
      </c>
      <c r="F928" s="183">
        <f t="shared" ref="F928:F933" si="117">D928*E928</f>
        <v>30</v>
      </c>
      <c r="G928" s="183">
        <f t="shared" ref="G928:G933" si="118">F928</f>
        <v>30</v>
      </c>
      <c r="H928" s="279" t="b">
        <v>0</v>
      </c>
      <c r="I928" s="143" t="s">
        <v>481</v>
      </c>
      <c r="J928" s="41" t="s">
        <v>1248</v>
      </c>
      <c r="K928" s="279" t="b">
        <v>0</v>
      </c>
      <c r="L928" s="279" t="b">
        <v>0</v>
      </c>
    </row>
    <row r="929" ht="14.25" hidden="1" customHeight="1" outlineLevel="1">
      <c r="A929" s="131" t="s">
        <v>34</v>
      </c>
      <c r="B929" s="132">
        <v>45810.0</v>
      </c>
      <c r="C929" s="41" t="s">
        <v>61</v>
      </c>
      <c r="D929" s="182">
        <v>1.0</v>
      </c>
      <c r="E929" s="183">
        <v>150.0</v>
      </c>
      <c r="F929" s="325">
        <f t="shared" si="117"/>
        <v>150</v>
      </c>
      <c r="G929" s="325">
        <f t="shared" si="118"/>
        <v>150</v>
      </c>
      <c r="H929" s="279" t="b">
        <v>1</v>
      </c>
      <c r="I929" s="143" t="s">
        <v>456</v>
      </c>
      <c r="J929" s="41" t="s">
        <v>1196</v>
      </c>
      <c r="K929" s="279" t="b">
        <v>0</v>
      </c>
      <c r="L929" s="279" t="b">
        <v>1</v>
      </c>
    </row>
    <row r="930" ht="14.25" hidden="1" customHeight="1" outlineLevel="1">
      <c r="A930" s="131" t="s">
        <v>34</v>
      </c>
      <c r="B930" s="132">
        <v>45811.0</v>
      </c>
      <c r="C930" s="285" t="s">
        <v>61</v>
      </c>
      <c r="D930" s="315">
        <v>1.0</v>
      </c>
      <c r="E930" s="316">
        <v>150.0</v>
      </c>
      <c r="F930" s="316">
        <f t="shared" si="117"/>
        <v>150</v>
      </c>
      <c r="G930" s="316">
        <f t="shared" si="118"/>
        <v>150</v>
      </c>
      <c r="H930" s="317" t="b">
        <v>1</v>
      </c>
      <c r="I930" s="334" t="s">
        <v>236</v>
      </c>
      <c r="J930" s="321" t="s">
        <v>1198</v>
      </c>
      <c r="K930" s="317" t="b">
        <v>0</v>
      </c>
      <c r="L930" s="279" t="b">
        <v>1</v>
      </c>
    </row>
    <row r="931" ht="14.25" hidden="1" customHeight="1" outlineLevel="1">
      <c r="A931" s="131" t="s">
        <v>34</v>
      </c>
      <c r="B931" s="132">
        <v>45811.0</v>
      </c>
      <c r="C931" s="285" t="s">
        <v>61</v>
      </c>
      <c r="D931" s="315">
        <v>1.0</v>
      </c>
      <c r="E931" s="316">
        <v>150.0</v>
      </c>
      <c r="F931" s="316">
        <f t="shared" si="117"/>
        <v>150</v>
      </c>
      <c r="G931" s="316">
        <f t="shared" si="118"/>
        <v>150</v>
      </c>
      <c r="H931" s="317" t="b">
        <v>1</v>
      </c>
      <c r="I931" s="143" t="s">
        <v>456</v>
      </c>
      <c r="J931" s="321" t="s">
        <v>1199</v>
      </c>
      <c r="K931" s="317" t="b">
        <v>0</v>
      </c>
      <c r="L931" s="279" t="b">
        <v>1</v>
      </c>
    </row>
    <row r="932" ht="14.25" hidden="1" customHeight="1" outlineLevel="1">
      <c r="A932" s="131" t="s">
        <v>34</v>
      </c>
      <c r="B932" s="132">
        <v>45812.0</v>
      </c>
      <c r="C932" s="285" t="s">
        <v>61</v>
      </c>
      <c r="D932" s="315">
        <v>1.0</v>
      </c>
      <c r="E932" s="316">
        <v>150.0</v>
      </c>
      <c r="F932" s="316">
        <f t="shared" si="117"/>
        <v>150</v>
      </c>
      <c r="G932" s="316">
        <f t="shared" si="118"/>
        <v>150</v>
      </c>
      <c r="H932" s="317" t="b">
        <v>1</v>
      </c>
      <c r="I932" s="143" t="s">
        <v>456</v>
      </c>
      <c r="J932" s="321" t="s">
        <v>1204</v>
      </c>
      <c r="K932" s="317" t="b">
        <v>0</v>
      </c>
      <c r="L932" s="279" t="b">
        <v>1</v>
      </c>
    </row>
    <row r="933" ht="14.25" hidden="1" customHeight="1" outlineLevel="1">
      <c r="A933" s="131" t="s">
        <v>34</v>
      </c>
      <c r="B933" s="132">
        <v>45812.0</v>
      </c>
      <c r="C933" s="41" t="s">
        <v>171</v>
      </c>
      <c r="D933" s="182">
        <v>1.0</v>
      </c>
      <c r="E933" s="183">
        <v>79.8</v>
      </c>
      <c r="F933" s="183">
        <f t="shared" si="117"/>
        <v>79.8</v>
      </c>
      <c r="G933" s="183">
        <f t="shared" si="118"/>
        <v>79.8</v>
      </c>
      <c r="H933" s="279" t="b">
        <v>0</v>
      </c>
      <c r="I933" s="143" t="s">
        <v>172</v>
      </c>
      <c r="J933" s="41" t="s">
        <v>898</v>
      </c>
      <c r="K933" s="279" t="b">
        <v>1</v>
      </c>
      <c r="L933" s="279" t="b">
        <v>1</v>
      </c>
    </row>
    <row r="934" ht="14.25" hidden="1" customHeight="1" outlineLevel="1">
      <c r="A934" s="131" t="s">
        <v>34</v>
      </c>
      <c r="B934" s="132">
        <v>45812.0</v>
      </c>
      <c r="C934" s="41" t="s">
        <v>71</v>
      </c>
      <c r="D934" s="182">
        <v>1.0</v>
      </c>
      <c r="E934" s="183">
        <v>2.09</v>
      </c>
      <c r="F934" s="183">
        <f t="shared" ref="F934:F937" si="119">E934</f>
        <v>2.09</v>
      </c>
      <c r="G934" s="196">
        <f>SUM(F934:F937)</f>
        <v>36.76</v>
      </c>
      <c r="H934" s="278" t="b">
        <v>0</v>
      </c>
      <c r="I934" s="164" t="s">
        <v>570</v>
      </c>
      <c r="J934" s="41" t="s">
        <v>718</v>
      </c>
      <c r="K934" s="278" t="b">
        <v>0</v>
      </c>
      <c r="L934" s="278" t="b">
        <v>0</v>
      </c>
    </row>
    <row r="935" ht="14.25" hidden="1" customHeight="1" outlineLevel="1">
      <c r="A935" s="131" t="s">
        <v>34</v>
      </c>
      <c r="B935" s="132">
        <v>45812.0</v>
      </c>
      <c r="C935" s="41" t="s">
        <v>112</v>
      </c>
      <c r="D935" s="182">
        <v>1.0</v>
      </c>
      <c r="E935" s="183">
        <v>13.29</v>
      </c>
      <c r="F935" s="183">
        <f t="shared" si="119"/>
        <v>13.29</v>
      </c>
      <c r="G935" s="58"/>
      <c r="H935" s="58"/>
      <c r="I935" s="194"/>
      <c r="J935" s="41" t="s">
        <v>1253</v>
      </c>
      <c r="K935" s="58"/>
      <c r="L935" s="58"/>
    </row>
    <row r="936" ht="14.25" hidden="1" customHeight="1" outlineLevel="1">
      <c r="A936" s="131" t="s">
        <v>34</v>
      </c>
      <c r="B936" s="132">
        <v>45812.0</v>
      </c>
      <c r="C936" s="41" t="s">
        <v>112</v>
      </c>
      <c r="D936" s="182">
        <v>1.0</v>
      </c>
      <c r="E936" s="183">
        <v>6.59</v>
      </c>
      <c r="F936" s="183">
        <f t="shared" si="119"/>
        <v>6.59</v>
      </c>
      <c r="G936" s="58"/>
      <c r="H936" s="58"/>
      <c r="I936" s="194"/>
      <c r="J936" s="41" t="s">
        <v>1254</v>
      </c>
      <c r="K936" s="58"/>
      <c r="L936" s="58"/>
    </row>
    <row r="937" ht="14.25" hidden="1" customHeight="1" outlineLevel="1">
      <c r="A937" s="131" t="s">
        <v>34</v>
      </c>
      <c r="B937" s="132">
        <v>45812.0</v>
      </c>
      <c r="C937" s="41" t="s">
        <v>231</v>
      </c>
      <c r="D937" s="182">
        <v>1.0</v>
      </c>
      <c r="E937" s="183">
        <v>14.79</v>
      </c>
      <c r="F937" s="183">
        <f t="shared" si="119"/>
        <v>14.79</v>
      </c>
      <c r="G937" s="10"/>
      <c r="H937" s="10"/>
      <c r="I937" s="74"/>
      <c r="J937" s="41" t="s">
        <v>1256</v>
      </c>
      <c r="K937" s="10"/>
      <c r="L937" s="10"/>
    </row>
    <row r="938" ht="14.25" hidden="1" customHeight="1" outlineLevel="1">
      <c r="A938" s="131" t="s">
        <v>34</v>
      </c>
      <c r="B938" s="132">
        <v>45813.0</v>
      </c>
      <c r="C938" s="41" t="s">
        <v>1134</v>
      </c>
      <c r="D938" s="182">
        <v>5.0</v>
      </c>
      <c r="E938" s="183">
        <v>22.0</v>
      </c>
      <c r="F938" s="183">
        <f t="shared" ref="F938:F943" si="120">D938*E938</f>
        <v>110</v>
      </c>
      <c r="G938" s="183">
        <f t="shared" ref="G938:G943" si="121">F938</f>
        <v>110</v>
      </c>
      <c r="H938" s="279" t="b">
        <v>0</v>
      </c>
      <c r="I938" s="143" t="s">
        <v>225</v>
      </c>
      <c r="J938" s="41" t="s">
        <v>1258</v>
      </c>
      <c r="K938" s="279" t="b">
        <v>1</v>
      </c>
      <c r="L938" s="279" t="b">
        <v>1</v>
      </c>
    </row>
    <row r="939" ht="14.25" hidden="1" customHeight="1" outlineLevel="1">
      <c r="A939" s="131" t="s">
        <v>34</v>
      </c>
      <c r="B939" s="132">
        <v>45813.0</v>
      </c>
      <c r="C939" s="285" t="s">
        <v>61</v>
      </c>
      <c r="D939" s="315">
        <v>1.0</v>
      </c>
      <c r="E939" s="316">
        <v>150.0</v>
      </c>
      <c r="F939" s="316">
        <f t="shared" si="120"/>
        <v>150</v>
      </c>
      <c r="G939" s="316">
        <f t="shared" si="121"/>
        <v>150</v>
      </c>
      <c r="H939" s="317" t="b">
        <v>1</v>
      </c>
      <c r="I939" s="143" t="s">
        <v>980</v>
      </c>
      <c r="J939" s="321" t="s">
        <v>1181</v>
      </c>
      <c r="K939" s="317" t="b">
        <v>0</v>
      </c>
      <c r="L939" s="279" t="b">
        <v>1</v>
      </c>
    </row>
    <row r="940" ht="14.25" hidden="1" customHeight="1" outlineLevel="1">
      <c r="A940" s="131" t="s">
        <v>34</v>
      </c>
      <c r="B940" s="132">
        <v>45813.0</v>
      </c>
      <c r="C940" s="41" t="s">
        <v>75</v>
      </c>
      <c r="D940" s="182">
        <v>2.0</v>
      </c>
      <c r="E940" s="183">
        <v>35.0</v>
      </c>
      <c r="F940" s="183">
        <f t="shared" si="120"/>
        <v>70</v>
      </c>
      <c r="G940" s="183">
        <f t="shared" si="121"/>
        <v>70</v>
      </c>
      <c r="H940" s="279" t="b">
        <v>0</v>
      </c>
      <c r="I940" s="143" t="s">
        <v>599</v>
      </c>
      <c r="J940" s="41" t="s">
        <v>1259</v>
      </c>
      <c r="K940" s="279" t="b">
        <v>0</v>
      </c>
      <c r="L940" s="279" t="b">
        <v>1</v>
      </c>
    </row>
    <row r="941" ht="14.25" hidden="1" customHeight="1" outlineLevel="1">
      <c r="A941" s="131" t="s">
        <v>34</v>
      </c>
      <c r="B941" s="132">
        <v>45813.0</v>
      </c>
      <c r="C941" s="41" t="s">
        <v>55</v>
      </c>
      <c r="D941" s="182">
        <v>4.0</v>
      </c>
      <c r="E941" s="183">
        <v>18.9</v>
      </c>
      <c r="F941" s="183">
        <f t="shared" si="120"/>
        <v>75.6</v>
      </c>
      <c r="G941" s="183">
        <f t="shared" si="121"/>
        <v>75.6</v>
      </c>
      <c r="H941" s="279" t="b">
        <v>0</v>
      </c>
      <c r="I941" s="143" t="s">
        <v>254</v>
      </c>
      <c r="J941" s="41" t="s">
        <v>1261</v>
      </c>
      <c r="K941" s="279" t="b">
        <v>1</v>
      </c>
      <c r="L941" s="279" t="b">
        <v>1</v>
      </c>
    </row>
    <row r="942" ht="14.25" hidden="1" customHeight="1" outlineLevel="1">
      <c r="A942" s="131" t="s">
        <v>34</v>
      </c>
      <c r="B942" s="132">
        <v>45814.0</v>
      </c>
      <c r="C942" s="285" t="s">
        <v>61</v>
      </c>
      <c r="D942" s="315">
        <v>1.0</v>
      </c>
      <c r="E942" s="316">
        <v>150.0</v>
      </c>
      <c r="F942" s="316">
        <f t="shared" si="120"/>
        <v>150</v>
      </c>
      <c r="G942" s="316">
        <f t="shared" si="121"/>
        <v>150</v>
      </c>
      <c r="H942" s="317" t="b">
        <v>1</v>
      </c>
      <c r="I942" s="334" t="s">
        <v>236</v>
      </c>
      <c r="J942" s="321" t="s">
        <v>1184</v>
      </c>
      <c r="K942" s="317" t="b">
        <v>0</v>
      </c>
      <c r="L942" s="279" t="b">
        <v>1</v>
      </c>
    </row>
    <row r="943" ht="14.25" hidden="1" customHeight="1" outlineLevel="1">
      <c r="A943" s="131" t="s">
        <v>34</v>
      </c>
      <c r="B943" s="132">
        <v>45814.0</v>
      </c>
      <c r="C943" s="285" t="s">
        <v>61</v>
      </c>
      <c r="D943" s="315">
        <v>1.0</v>
      </c>
      <c r="E943" s="316">
        <v>150.0</v>
      </c>
      <c r="F943" s="316">
        <f t="shared" si="120"/>
        <v>150</v>
      </c>
      <c r="G943" s="316">
        <f t="shared" si="121"/>
        <v>150</v>
      </c>
      <c r="H943" s="317" t="b">
        <v>1</v>
      </c>
      <c r="I943" s="318" t="s">
        <v>456</v>
      </c>
      <c r="J943" s="321" t="s">
        <v>1213</v>
      </c>
      <c r="K943" s="317" t="b">
        <v>0</v>
      </c>
      <c r="L943" s="279" t="b">
        <v>1</v>
      </c>
    </row>
    <row r="944" ht="14.25" hidden="1" customHeight="1" outlineLevel="1">
      <c r="A944" s="131" t="s">
        <v>34</v>
      </c>
      <c r="B944" s="132">
        <v>45814.0</v>
      </c>
      <c r="C944" s="41" t="s">
        <v>171</v>
      </c>
      <c r="D944" s="182">
        <v>1.0</v>
      </c>
      <c r="E944" s="183">
        <v>206.15</v>
      </c>
      <c r="F944" s="183">
        <v>206.15</v>
      </c>
      <c r="G944" s="183">
        <v>206.15</v>
      </c>
      <c r="H944" s="279" t="b">
        <v>0</v>
      </c>
      <c r="I944" s="143" t="s">
        <v>172</v>
      </c>
      <c r="J944" s="41" t="s">
        <v>898</v>
      </c>
      <c r="K944" s="279" t="b">
        <v>1</v>
      </c>
      <c r="L944" s="279" t="b">
        <v>1</v>
      </c>
    </row>
    <row r="945" ht="14.25" hidden="1" customHeight="1" outlineLevel="1">
      <c r="A945" s="131" t="s">
        <v>34</v>
      </c>
      <c r="B945" s="132">
        <v>45814.0</v>
      </c>
      <c r="C945" s="41" t="s">
        <v>1134</v>
      </c>
      <c r="D945" s="182">
        <v>1.0</v>
      </c>
      <c r="E945" s="183">
        <v>50.0</v>
      </c>
      <c r="F945" s="287">
        <f>D945*E945</f>
        <v>50</v>
      </c>
      <c r="G945" s="287">
        <f>F945</f>
        <v>50</v>
      </c>
      <c r="H945" s="279" t="b">
        <v>0</v>
      </c>
      <c r="I945" s="143" t="s">
        <v>558</v>
      </c>
      <c r="J945" s="41" t="s">
        <v>1263</v>
      </c>
      <c r="K945" s="279" t="b">
        <v>0</v>
      </c>
      <c r="L945" s="279" t="b">
        <v>0</v>
      </c>
    </row>
    <row r="946" ht="14.25" hidden="1" customHeight="1" outlineLevel="1">
      <c r="A946" s="131" t="s">
        <v>34</v>
      </c>
      <c r="B946" s="132">
        <v>45816.0</v>
      </c>
      <c r="C946" s="41" t="s">
        <v>61</v>
      </c>
      <c r="D946" s="182">
        <v>1.0</v>
      </c>
      <c r="E946" s="316">
        <v>200.0</v>
      </c>
      <c r="F946" s="316">
        <v>200.0</v>
      </c>
      <c r="G946" s="316">
        <v>200.0</v>
      </c>
      <c r="H946" s="317" t="b">
        <v>1</v>
      </c>
      <c r="I946" s="318" t="s">
        <v>490</v>
      </c>
      <c r="J946" s="321" t="s">
        <v>1192</v>
      </c>
      <c r="K946" s="279" t="b">
        <v>0</v>
      </c>
      <c r="L946" s="279" t="b">
        <v>1</v>
      </c>
    </row>
    <row r="947" ht="14.25" hidden="1" customHeight="1" outlineLevel="1">
      <c r="A947" s="131" t="s">
        <v>34</v>
      </c>
      <c r="B947" s="132">
        <v>45816.0</v>
      </c>
      <c r="C947" s="41" t="s">
        <v>61</v>
      </c>
      <c r="D947" s="182">
        <v>1.0</v>
      </c>
      <c r="E947" s="183">
        <v>200.0</v>
      </c>
      <c r="F947" s="183">
        <v>200.0</v>
      </c>
      <c r="G947" s="183">
        <v>200.0</v>
      </c>
      <c r="H947" s="279" t="b">
        <v>1</v>
      </c>
      <c r="I947" s="143" t="s">
        <v>325</v>
      </c>
      <c r="J947" s="41" t="s">
        <v>1195</v>
      </c>
      <c r="K947" s="279" t="b">
        <v>0</v>
      </c>
      <c r="L947" s="279" t="b">
        <v>1</v>
      </c>
    </row>
    <row r="948" ht="14.25" hidden="1" customHeight="1" outlineLevel="1">
      <c r="A948" s="131" t="s">
        <v>34</v>
      </c>
      <c r="B948" s="132">
        <v>45817.0</v>
      </c>
      <c r="C948" s="41" t="s">
        <v>61</v>
      </c>
      <c r="D948" s="182">
        <v>1.0</v>
      </c>
      <c r="E948" s="183">
        <v>150.0</v>
      </c>
      <c r="F948" s="325">
        <f t="shared" ref="F948:F958" si="122">D948*E948</f>
        <v>150</v>
      </c>
      <c r="G948" s="325">
        <f t="shared" ref="G948:G956" si="123">F948</f>
        <v>150</v>
      </c>
      <c r="H948" s="279" t="b">
        <v>1</v>
      </c>
      <c r="I948" s="143" t="s">
        <v>456</v>
      </c>
      <c r="J948" s="41" t="s">
        <v>1196</v>
      </c>
      <c r="K948" s="279" t="b">
        <v>0</v>
      </c>
      <c r="L948" s="279" t="b">
        <v>1</v>
      </c>
    </row>
    <row r="949" ht="14.25" hidden="1" customHeight="1" outlineLevel="1">
      <c r="A949" s="131" t="s">
        <v>34</v>
      </c>
      <c r="B949" s="132">
        <v>45817.0</v>
      </c>
      <c r="C949" s="41" t="s">
        <v>75</v>
      </c>
      <c r="D949" s="182">
        <v>2.0</v>
      </c>
      <c r="E949" s="183">
        <v>41.6</v>
      </c>
      <c r="F949" s="183">
        <f t="shared" si="122"/>
        <v>83.2</v>
      </c>
      <c r="G949" s="183">
        <f t="shared" si="123"/>
        <v>83.2</v>
      </c>
      <c r="H949" s="279" t="b">
        <v>0</v>
      </c>
      <c r="I949" s="143" t="s">
        <v>225</v>
      </c>
      <c r="J949" s="41" t="s">
        <v>1265</v>
      </c>
      <c r="K949" s="279" t="b">
        <v>1</v>
      </c>
      <c r="L949" s="279" t="b">
        <v>1</v>
      </c>
    </row>
    <row r="950" ht="14.25" hidden="1" customHeight="1" outlineLevel="1">
      <c r="A950" s="131" t="s">
        <v>34</v>
      </c>
      <c r="B950" s="132">
        <v>45818.0</v>
      </c>
      <c r="C950" s="285" t="s">
        <v>61</v>
      </c>
      <c r="D950" s="315">
        <v>1.0</v>
      </c>
      <c r="E950" s="316">
        <v>150.0</v>
      </c>
      <c r="F950" s="316">
        <f t="shared" si="122"/>
        <v>150</v>
      </c>
      <c r="G950" s="316">
        <f t="shared" si="123"/>
        <v>150</v>
      </c>
      <c r="H950" s="317" t="b">
        <v>1</v>
      </c>
      <c r="I950" s="334" t="s">
        <v>236</v>
      </c>
      <c r="J950" s="321" t="s">
        <v>1198</v>
      </c>
      <c r="K950" s="317" t="b">
        <v>0</v>
      </c>
      <c r="L950" s="279" t="b">
        <v>1</v>
      </c>
    </row>
    <row r="951" ht="14.25" hidden="1" customHeight="1" outlineLevel="1">
      <c r="A951" s="131" t="s">
        <v>34</v>
      </c>
      <c r="B951" s="132">
        <v>45818.0</v>
      </c>
      <c r="C951" s="285" t="s">
        <v>61</v>
      </c>
      <c r="D951" s="315">
        <v>1.0</v>
      </c>
      <c r="E951" s="316">
        <v>150.0</v>
      </c>
      <c r="F951" s="316">
        <f t="shared" si="122"/>
        <v>150</v>
      </c>
      <c r="G951" s="316">
        <f t="shared" si="123"/>
        <v>150</v>
      </c>
      <c r="H951" s="317" t="b">
        <v>1</v>
      </c>
      <c r="I951" s="143" t="s">
        <v>456</v>
      </c>
      <c r="J951" s="321" t="s">
        <v>1199</v>
      </c>
      <c r="K951" s="317" t="b">
        <v>0</v>
      </c>
      <c r="L951" s="279" t="b">
        <v>1</v>
      </c>
    </row>
    <row r="952" ht="14.25" hidden="1" customHeight="1" outlineLevel="1">
      <c r="A952" s="131" t="s">
        <v>34</v>
      </c>
      <c r="B952" s="132">
        <v>45819.0</v>
      </c>
      <c r="C952" s="285" t="s">
        <v>61</v>
      </c>
      <c r="D952" s="315">
        <v>1.0</v>
      </c>
      <c r="E952" s="316">
        <v>150.0</v>
      </c>
      <c r="F952" s="316">
        <f t="shared" si="122"/>
        <v>150</v>
      </c>
      <c r="G952" s="316">
        <f t="shared" si="123"/>
        <v>150</v>
      </c>
      <c r="H952" s="317" t="b">
        <v>1</v>
      </c>
      <c r="I952" s="143" t="s">
        <v>456</v>
      </c>
      <c r="J952" s="321" t="s">
        <v>1204</v>
      </c>
      <c r="K952" s="317" t="b">
        <v>0</v>
      </c>
      <c r="L952" s="279" t="b">
        <v>1</v>
      </c>
    </row>
    <row r="953" ht="14.25" hidden="1" customHeight="1" outlineLevel="1">
      <c r="A953" s="131" t="s">
        <v>34</v>
      </c>
      <c r="B953" s="132">
        <v>45820.0</v>
      </c>
      <c r="C953" s="285" t="s">
        <v>61</v>
      </c>
      <c r="D953" s="315">
        <v>1.0</v>
      </c>
      <c r="E953" s="316">
        <v>150.0</v>
      </c>
      <c r="F953" s="316">
        <f t="shared" si="122"/>
        <v>150</v>
      </c>
      <c r="G953" s="316">
        <f t="shared" si="123"/>
        <v>150</v>
      </c>
      <c r="H953" s="317" t="b">
        <v>1</v>
      </c>
      <c r="I953" s="143" t="s">
        <v>980</v>
      </c>
      <c r="J953" s="321" t="s">
        <v>1181</v>
      </c>
      <c r="K953" s="317" t="b">
        <v>0</v>
      </c>
      <c r="L953" s="279" t="b">
        <v>1</v>
      </c>
    </row>
    <row r="954" ht="14.25" hidden="1" customHeight="1" outlineLevel="1">
      <c r="A954" s="131" t="s">
        <v>34</v>
      </c>
      <c r="B954" s="132">
        <v>45820.0</v>
      </c>
      <c r="C954" s="41" t="s">
        <v>75</v>
      </c>
      <c r="D954" s="182">
        <v>3.0</v>
      </c>
      <c r="E954" s="183">
        <v>40.0</v>
      </c>
      <c r="F954" s="183">
        <f t="shared" si="122"/>
        <v>120</v>
      </c>
      <c r="G954" s="183">
        <f t="shared" si="123"/>
        <v>120</v>
      </c>
      <c r="H954" s="279" t="b">
        <v>0</v>
      </c>
      <c r="I954" s="143" t="s">
        <v>599</v>
      </c>
      <c r="J954" s="41" t="s">
        <v>1032</v>
      </c>
      <c r="K954" s="279" t="b">
        <v>0</v>
      </c>
      <c r="L954" s="279" t="b">
        <v>1</v>
      </c>
    </row>
    <row r="955" ht="14.25" hidden="1" customHeight="1" outlineLevel="1">
      <c r="A955" s="131" t="s">
        <v>34</v>
      </c>
      <c r="B955" s="132">
        <v>45821.0</v>
      </c>
      <c r="C955" s="285" t="s">
        <v>61</v>
      </c>
      <c r="D955" s="315">
        <v>1.0</v>
      </c>
      <c r="E955" s="316">
        <v>150.0</v>
      </c>
      <c r="F955" s="316">
        <f t="shared" si="122"/>
        <v>150</v>
      </c>
      <c r="G955" s="316">
        <f t="shared" si="123"/>
        <v>150</v>
      </c>
      <c r="H955" s="317" t="b">
        <v>1</v>
      </c>
      <c r="I955" s="334" t="s">
        <v>236</v>
      </c>
      <c r="J955" s="321" t="s">
        <v>1184</v>
      </c>
      <c r="K955" s="317" t="b">
        <v>0</v>
      </c>
      <c r="L955" s="279" t="b">
        <v>1</v>
      </c>
    </row>
    <row r="956" ht="14.25" hidden="1" customHeight="1" outlineLevel="1">
      <c r="A956" s="131" t="s">
        <v>34</v>
      </c>
      <c r="B956" s="132">
        <v>45821.0</v>
      </c>
      <c r="C956" s="285" t="s">
        <v>61</v>
      </c>
      <c r="D956" s="315">
        <v>1.0</v>
      </c>
      <c r="E956" s="316">
        <v>150.0</v>
      </c>
      <c r="F956" s="316">
        <f t="shared" si="122"/>
        <v>150</v>
      </c>
      <c r="G956" s="316">
        <f t="shared" si="123"/>
        <v>150</v>
      </c>
      <c r="H956" s="317" t="b">
        <v>1</v>
      </c>
      <c r="I956" s="143" t="s">
        <v>1062</v>
      </c>
      <c r="J956" s="321" t="s">
        <v>1213</v>
      </c>
      <c r="K956" s="317" t="b">
        <v>0</v>
      </c>
      <c r="L956" s="279" t="b">
        <v>1</v>
      </c>
    </row>
    <row r="957" ht="13.5" hidden="1" customHeight="1" outlineLevel="1">
      <c r="A957" s="131" t="s">
        <v>34</v>
      </c>
      <c r="B957" s="132">
        <v>45821.0</v>
      </c>
      <c r="C957" s="41" t="s">
        <v>231</v>
      </c>
      <c r="D957" s="182">
        <v>2.0</v>
      </c>
      <c r="E957" s="183">
        <v>22.05</v>
      </c>
      <c r="F957" s="183">
        <f t="shared" si="122"/>
        <v>44.1</v>
      </c>
      <c r="G957" s="196">
        <f>F957+F958</f>
        <v>58.14</v>
      </c>
      <c r="H957" s="278" t="b">
        <v>0</v>
      </c>
      <c r="I957" s="164" t="s">
        <v>403</v>
      </c>
      <c r="J957" s="41" t="s">
        <v>799</v>
      </c>
      <c r="K957" s="278" t="b">
        <v>1</v>
      </c>
      <c r="L957" s="278" t="b">
        <v>1</v>
      </c>
    </row>
    <row r="958" ht="13.5" hidden="1" customHeight="1" outlineLevel="1">
      <c r="A958" s="131" t="s">
        <v>34</v>
      </c>
      <c r="B958" s="132">
        <v>45821.0</v>
      </c>
      <c r="C958" s="41" t="s">
        <v>231</v>
      </c>
      <c r="D958" s="182">
        <v>2.0</v>
      </c>
      <c r="E958" s="183">
        <v>7.02</v>
      </c>
      <c r="F958" s="183">
        <f t="shared" si="122"/>
        <v>14.04</v>
      </c>
      <c r="G958" s="10"/>
      <c r="H958" s="10"/>
      <c r="I958" s="74"/>
      <c r="J958" s="41" t="s">
        <v>1270</v>
      </c>
      <c r="K958" s="10"/>
      <c r="L958" s="10"/>
    </row>
    <row r="959" ht="14.25" hidden="1" customHeight="1" outlineLevel="1">
      <c r="A959" s="131" t="s">
        <v>34</v>
      </c>
      <c r="B959" s="132">
        <v>45823.0</v>
      </c>
      <c r="C959" s="41" t="s">
        <v>61</v>
      </c>
      <c r="D959" s="182">
        <v>1.0</v>
      </c>
      <c r="E959" s="316">
        <v>200.0</v>
      </c>
      <c r="F959" s="316">
        <v>200.0</v>
      </c>
      <c r="G959" s="316">
        <v>200.0</v>
      </c>
      <c r="H959" s="317" t="b">
        <v>1</v>
      </c>
      <c r="I959" s="318" t="s">
        <v>490</v>
      </c>
      <c r="J959" s="321" t="s">
        <v>1192</v>
      </c>
      <c r="K959" s="279" t="b">
        <v>0</v>
      </c>
      <c r="L959" s="279" t="b">
        <v>1</v>
      </c>
    </row>
    <row r="960" ht="14.25" hidden="1" customHeight="1" outlineLevel="1">
      <c r="A960" s="131" t="s">
        <v>34</v>
      </c>
      <c r="B960" s="132">
        <v>45823.0</v>
      </c>
      <c r="C960" s="41" t="s">
        <v>61</v>
      </c>
      <c r="D960" s="182">
        <v>1.0</v>
      </c>
      <c r="E960" s="183">
        <v>200.0</v>
      </c>
      <c r="F960" s="183">
        <v>200.0</v>
      </c>
      <c r="G960" s="183">
        <v>200.0</v>
      </c>
      <c r="H960" s="279" t="b">
        <v>1</v>
      </c>
      <c r="I960" s="143" t="s">
        <v>1185</v>
      </c>
      <c r="J960" s="41" t="s">
        <v>1193</v>
      </c>
      <c r="K960" s="279" t="b">
        <v>0</v>
      </c>
      <c r="L960" s="279" t="b">
        <v>1</v>
      </c>
    </row>
    <row r="961" ht="14.25" hidden="1" customHeight="1" outlineLevel="1">
      <c r="A961" s="131" t="s">
        <v>34</v>
      </c>
      <c r="B961" s="132">
        <v>45823.0</v>
      </c>
      <c r="C961" s="41" t="s">
        <v>61</v>
      </c>
      <c r="D961" s="182">
        <v>1.0</v>
      </c>
      <c r="E961" s="183">
        <v>200.0</v>
      </c>
      <c r="F961" s="183">
        <v>200.0</v>
      </c>
      <c r="G961" s="183">
        <v>200.0</v>
      </c>
      <c r="H961" s="279" t="b">
        <v>1</v>
      </c>
      <c r="I961" s="143" t="s">
        <v>325</v>
      </c>
      <c r="J961" s="41" t="s">
        <v>1195</v>
      </c>
      <c r="K961" s="279" t="b">
        <v>0</v>
      </c>
      <c r="L961" s="279" t="b">
        <v>1</v>
      </c>
    </row>
    <row r="962" ht="14.25" hidden="1" customHeight="1" outlineLevel="1">
      <c r="A962" s="131" t="s">
        <v>34</v>
      </c>
      <c r="B962" s="132">
        <v>45824.0</v>
      </c>
      <c r="C962" s="41" t="s">
        <v>61</v>
      </c>
      <c r="D962" s="182">
        <v>1.0</v>
      </c>
      <c r="E962" s="183">
        <v>150.0</v>
      </c>
      <c r="F962" s="325">
        <f t="shared" ref="F962:F969" si="124">D962*E962</f>
        <v>150</v>
      </c>
      <c r="G962" s="325">
        <f>F962</f>
        <v>150</v>
      </c>
      <c r="H962" s="279" t="b">
        <v>1</v>
      </c>
      <c r="I962" s="143" t="s">
        <v>1273</v>
      </c>
      <c r="J962" s="41" t="s">
        <v>1196</v>
      </c>
      <c r="K962" s="279" t="b">
        <v>0</v>
      </c>
      <c r="L962" s="279" t="b">
        <v>1</v>
      </c>
    </row>
    <row r="963" ht="14.25" hidden="1" customHeight="1" outlineLevel="1">
      <c r="A963" s="131" t="s">
        <v>34</v>
      </c>
      <c r="B963" s="132">
        <v>45824.0</v>
      </c>
      <c r="C963" s="41" t="s">
        <v>231</v>
      </c>
      <c r="D963" s="182">
        <v>1.0</v>
      </c>
      <c r="E963" s="183">
        <v>3.8</v>
      </c>
      <c r="F963" s="183">
        <f t="shared" si="124"/>
        <v>3.8</v>
      </c>
      <c r="G963" s="196">
        <f>SUM(F963:F966)</f>
        <v>47.3</v>
      </c>
      <c r="H963" s="278" t="b">
        <v>0</v>
      </c>
      <c r="I963" s="164" t="s">
        <v>1274</v>
      </c>
      <c r="J963" s="41" t="s">
        <v>1275</v>
      </c>
      <c r="K963" s="278" t="b">
        <v>1</v>
      </c>
      <c r="L963" s="278" t="b">
        <v>1</v>
      </c>
    </row>
    <row r="964" ht="14.25" hidden="1" customHeight="1" outlineLevel="1">
      <c r="A964" s="131" t="s">
        <v>34</v>
      </c>
      <c r="B964" s="132">
        <v>45824.0</v>
      </c>
      <c r="C964" s="41" t="s">
        <v>231</v>
      </c>
      <c r="D964" s="182">
        <v>1.0</v>
      </c>
      <c r="E964" s="183">
        <v>28.5</v>
      </c>
      <c r="F964" s="183">
        <f t="shared" si="124"/>
        <v>28.5</v>
      </c>
      <c r="G964" s="58"/>
      <c r="H964" s="58"/>
      <c r="I964" s="194"/>
      <c r="J964" s="41" t="s">
        <v>1276</v>
      </c>
      <c r="K964" s="58"/>
      <c r="L964" s="58"/>
    </row>
    <row r="965" ht="14.25" hidden="1" customHeight="1" outlineLevel="1">
      <c r="A965" s="131" t="s">
        <v>34</v>
      </c>
      <c r="B965" s="132">
        <v>45824.0</v>
      </c>
      <c r="C965" s="41" t="s">
        <v>231</v>
      </c>
      <c r="D965" s="182">
        <v>1.0</v>
      </c>
      <c r="E965" s="183">
        <v>5.0</v>
      </c>
      <c r="F965" s="183">
        <f t="shared" si="124"/>
        <v>5</v>
      </c>
      <c r="G965" s="58"/>
      <c r="H965" s="58"/>
      <c r="I965" s="194"/>
      <c r="J965" s="41" t="s">
        <v>1278</v>
      </c>
      <c r="K965" s="58"/>
      <c r="L965" s="58"/>
    </row>
    <row r="966" ht="14.25" hidden="1" customHeight="1" outlineLevel="1">
      <c r="A966" s="131" t="s">
        <v>34</v>
      </c>
      <c r="B966" s="132">
        <v>45824.0</v>
      </c>
      <c r="C966" s="41" t="s">
        <v>231</v>
      </c>
      <c r="D966" s="182">
        <v>5.0</v>
      </c>
      <c r="E966" s="183">
        <v>2.0</v>
      </c>
      <c r="F966" s="183">
        <f t="shared" si="124"/>
        <v>10</v>
      </c>
      <c r="G966" s="10"/>
      <c r="H966" s="10"/>
      <c r="I966" s="74"/>
      <c r="J966" s="41" t="s">
        <v>1280</v>
      </c>
      <c r="K966" s="10"/>
      <c r="L966" s="10"/>
    </row>
    <row r="967" ht="14.25" hidden="1" customHeight="1" outlineLevel="1">
      <c r="A967" s="131" t="s">
        <v>34</v>
      </c>
      <c r="B967" s="132">
        <v>45825.0</v>
      </c>
      <c r="C967" s="285" t="s">
        <v>61</v>
      </c>
      <c r="D967" s="315">
        <v>1.0</v>
      </c>
      <c r="E967" s="316">
        <v>150.0</v>
      </c>
      <c r="F967" s="316">
        <f t="shared" si="124"/>
        <v>150</v>
      </c>
      <c r="G967" s="316">
        <f t="shared" ref="G967:G969" si="125">F967</f>
        <v>150</v>
      </c>
      <c r="H967" s="317" t="b">
        <v>1</v>
      </c>
      <c r="I967" s="334" t="s">
        <v>236</v>
      </c>
      <c r="J967" s="321" t="s">
        <v>1198</v>
      </c>
      <c r="K967" s="317" t="b">
        <v>0</v>
      </c>
      <c r="L967" s="279" t="b">
        <v>1</v>
      </c>
    </row>
    <row r="968" ht="14.25" hidden="1" customHeight="1" outlineLevel="1">
      <c r="A968" s="131" t="s">
        <v>34</v>
      </c>
      <c r="B968" s="132">
        <v>45825.0</v>
      </c>
      <c r="C968" s="285" t="s">
        <v>61</v>
      </c>
      <c r="D968" s="315">
        <v>1.0</v>
      </c>
      <c r="E968" s="316">
        <v>150.0</v>
      </c>
      <c r="F968" s="316">
        <f t="shared" si="124"/>
        <v>150</v>
      </c>
      <c r="G968" s="316">
        <f t="shared" si="125"/>
        <v>150</v>
      </c>
      <c r="H968" s="317" t="b">
        <v>1</v>
      </c>
      <c r="I968" s="143" t="s">
        <v>456</v>
      </c>
      <c r="J968" s="321" t="s">
        <v>1199</v>
      </c>
      <c r="K968" s="317" t="b">
        <v>0</v>
      </c>
      <c r="L968" s="279" t="b">
        <v>1</v>
      </c>
    </row>
    <row r="969" ht="14.25" hidden="1" customHeight="1" outlineLevel="1">
      <c r="A969" s="131" t="s">
        <v>34</v>
      </c>
      <c r="B969" s="132">
        <v>45826.0</v>
      </c>
      <c r="C969" s="285" t="s">
        <v>61</v>
      </c>
      <c r="D969" s="315">
        <v>1.0</v>
      </c>
      <c r="E969" s="316">
        <v>150.0</v>
      </c>
      <c r="F969" s="316">
        <f t="shared" si="124"/>
        <v>150</v>
      </c>
      <c r="G969" s="316">
        <f t="shared" si="125"/>
        <v>150</v>
      </c>
      <c r="H969" s="317" t="b">
        <v>1</v>
      </c>
      <c r="I969" s="143" t="s">
        <v>456</v>
      </c>
      <c r="J969" s="321" t="s">
        <v>1204</v>
      </c>
      <c r="K969" s="317" t="b">
        <v>0</v>
      </c>
      <c r="L969" s="279" t="b">
        <v>1</v>
      </c>
    </row>
    <row r="970" ht="14.25" hidden="1" customHeight="1" outlineLevel="1">
      <c r="A970" s="131" t="s">
        <v>34</v>
      </c>
      <c r="B970" s="132">
        <v>45826.0</v>
      </c>
      <c r="C970" s="41" t="s">
        <v>75</v>
      </c>
      <c r="D970" s="182">
        <v>1.0</v>
      </c>
      <c r="E970" s="183">
        <v>35.0</v>
      </c>
      <c r="F970" s="183">
        <v>35.0</v>
      </c>
      <c r="G970" s="183">
        <v>35.0</v>
      </c>
      <c r="H970" s="279" t="b">
        <v>0</v>
      </c>
      <c r="I970" s="143" t="s">
        <v>599</v>
      </c>
      <c r="J970" s="41" t="s">
        <v>1285</v>
      </c>
      <c r="K970" s="279" t="b">
        <v>0</v>
      </c>
      <c r="L970" s="279" t="b">
        <v>1</v>
      </c>
    </row>
    <row r="971" ht="14.25" hidden="1" customHeight="1" outlineLevel="1">
      <c r="A971" s="131" t="s">
        <v>34</v>
      </c>
      <c r="B971" s="132">
        <v>45827.0</v>
      </c>
      <c r="C971" s="285" t="s">
        <v>61</v>
      </c>
      <c r="D971" s="315">
        <v>1.0</v>
      </c>
      <c r="E971" s="316">
        <v>150.0</v>
      </c>
      <c r="F971" s="316">
        <f t="shared" ref="F971:F977" si="126">D971*E971</f>
        <v>150</v>
      </c>
      <c r="G971" s="337">
        <f t="shared" ref="G971:G973" si="127">F971</f>
        <v>150</v>
      </c>
      <c r="H971" s="317" t="b">
        <v>1</v>
      </c>
      <c r="I971" s="143" t="s">
        <v>490</v>
      </c>
      <c r="J971" s="321" t="s">
        <v>1286</v>
      </c>
      <c r="K971" s="317" t="b">
        <v>0</v>
      </c>
      <c r="L971" s="279" t="b">
        <v>1</v>
      </c>
    </row>
    <row r="972" ht="14.25" hidden="1" customHeight="1" outlineLevel="1">
      <c r="A972" s="131" t="s">
        <v>34</v>
      </c>
      <c r="B972" s="132">
        <v>45828.0</v>
      </c>
      <c r="C972" s="285" t="s">
        <v>61</v>
      </c>
      <c r="D972" s="315">
        <v>1.0</v>
      </c>
      <c r="E972" s="316">
        <v>150.0</v>
      </c>
      <c r="F972" s="316">
        <f t="shared" si="126"/>
        <v>150</v>
      </c>
      <c r="G972" s="316">
        <f t="shared" si="127"/>
        <v>150</v>
      </c>
      <c r="H972" s="317" t="b">
        <v>1</v>
      </c>
      <c r="I972" s="334" t="s">
        <v>236</v>
      </c>
      <c r="J972" s="321" t="s">
        <v>1184</v>
      </c>
      <c r="K972" s="317" t="b">
        <v>0</v>
      </c>
      <c r="L972" s="279" t="b">
        <v>1</v>
      </c>
    </row>
    <row r="973" ht="14.25" hidden="1" customHeight="1" outlineLevel="1">
      <c r="A973" s="131" t="s">
        <v>34</v>
      </c>
      <c r="B973" s="132">
        <v>45828.0</v>
      </c>
      <c r="C973" s="285" t="s">
        <v>61</v>
      </c>
      <c r="D973" s="315">
        <v>1.0</v>
      </c>
      <c r="E973" s="316">
        <v>150.0</v>
      </c>
      <c r="F973" s="316">
        <f t="shared" si="126"/>
        <v>150</v>
      </c>
      <c r="G973" s="316">
        <f t="shared" si="127"/>
        <v>150</v>
      </c>
      <c r="H973" s="317" t="b">
        <v>1</v>
      </c>
      <c r="I973" s="143" t="s">
        <v>1062</v>
      </c>
      <c r="J973" s="321" t="s">
        <v>1213</v>
      </c>
      <c r="K973" s="317" t="b">
        <v>0</v>
      </c>
      <c r="L973" s="279" t="b">
        <v>1</v>
      </c>
    </row>
    <row r="974" ht="14.25" hidden="1" customHeight="1" outlineLevel="1">
      <c r="A974" s="131" t="s">
        <v>34</v>
      </c>
      <c r="B974" s="132">
        <v>45828.0</v>
      </c>
      <c r="C974" s="41" t="s">
        <v>112</v>
      </c>
      <c r="D974" s="182">
        <v>2.0</v>
      </c>
      <c r="E974" s="183">
        <v>1.3</v>
      </c>
      <c r="F974" s="183">
        <f t="shared" si="126"/>
        <v>2.6</v>
      </c>
      <c r="G974" s="196">
        <f>SUM(F974:F977)</f>
        <v>35.6</v>
      </c>
      <c r="H974" s="278" t="b">
        <v>0</v>
      </c>
      <c r="I974" s="164" t="s">
        <v>1291</v>
      </c>
      <c r="J974" s="41" t="s">
        <v>1292</v>
      </c>
      <c r="K974" s="278" t="b">
        <v>1</v>
      </c>
      <c r="L974" s="278" t="b">
        <v>1</v>
      </c>
    </row>
    <row r="975" ht="14.25" hidden="1" customHeight="1" outlineLevel="1">
      <c r="A975" s="131" t="s">
        <v>34</v>
      </c>
      <c r="B975" s="132">
        <v>45828.0</v>
      </c>
      <c r="C975" s="41" t="s">
        <v>112</v>
      </c>
      <c r="D975" s="182">
        <v>1.0</v>
      </c>
      <c r="E975" s="183">
        <v>5.0</v>
      </c>
      <c r="F975" s="183">
        <f t="shared" si="126"/>
        <v>5</v>
      </c>
      <c r="G975" s="58"/>
      <c r="H975" s="58"/>
      <c r="I975" s="194"/>
      <c r="J975" s="41" t="s">
        <v>1293</v>
      </c>
      <c r="K975" s="58"/>
      <c r="L975" s="58"/>
    </row>
    <row r="976" ht="14.25" hidden="1" customHeight="1" outlineLevel="1">
      <c r="A976" s="131" t="s">
        <v>34</v>
      </c>
      <c r="B976" s="132">
        <v>45828.0</v>
      </c>
      <c r="C976" s="41" t="s">
        <v>112</v>
      </c>
      <c r="D976" s="182">
        <v>2.0</v>
      </c>
      <c r="E976" s="183">
        <v>7.5</v>
      </c>
      <c r="F976" s="183">
        <f t="shared" si="126"/>
        <v>15</v>
      </c>
      <c r="G976" s="58"/>
      <c r="H976" s="58"/>
      <c r="I976" s="194"/>
      <c r="J976" s="41" t="s">
        <v>1295</v>
      </c>
      <c r="K976" s="58"/>
      <c r="L976" s="58"/>
    </row>
    <row r="977" ht="14.25" hidden="1" customHeight="1" outlineLevel="1">
      <c r="A977" s="131" t="s">
        <v>34</v>
      </c>
      <c r="B977" s="132">
        <v>45828.0</v>
      </c>
      <c r="C977" s="41" t="s">
        <v>112</v>
      </c>
      <c r="D977" s="182">
        <v>1.0</v>
      </c>
      <c r="E977" s="183">
        <v>13.0</v>
      </c>
      <c r="F977" s="183">
        <f t="shared" si="126"/>
        <v>13</v>
      </c>
      <c r="G977" s="10"/>
      <c r="H977" s="10"/>
      <c r="I977" s="74"/>
      <c r="J977" s="41" t="s">
        <v>1296</v>
      </c>
      <c r="K977" s="10"/>
      <c r="L977" s="10"/>
    </row>
    <row r="978" ht="14.25" hidden="1" customHeight="1" outlineLevel="1">
      <c r="A978" s="131" t="s">
        <v>34</v>
      </c>
      <c r="B978" s="132">
        <v>45830.0</v>
      </c>
      <c r="C978" s="41" t="s">
        <v>61</v>
      </c>
      <c r="D978" s="182">
        <v>1.0</v>
      </c>
      <c r="E978" s="316">
        <v>200.0</v>
      </c>
      <c r="F978" s="316">
        <v>200.0</v>
      </c>
      <c r="G978" s="316">
        <v>200.0</v>
      </c>
      <c r="H978" s="317" t="b">
        <v>1</v>
      </c>
      <c r="I978" s="318" t="s">
        <v>490</v>
      </c>
      <c r="J978" s="321" t="s">
        <v>1192</v>
      </c>
      <c r="K978" s="279" t="b">
        <v>0</v>
      </c>
      <c r="L978" s="279" t="b">
        <v>1</v>
      </c>
    </row>
    <row r="979" ht="14.25" hidden="1" customHeight="1" outlineLevel="1">
      <c r="A979" s="131" t="s">
        <v>34</v>
      </c>
      <c r="B979" s="132">
        <v>45830.0</v>
      </c>
      <c r="C979" s="41" t="s">
        <v>61</v>
      </c>
      <c r="D979" s="182">
        <v>1.0</v>
      </c>
      <c r="E979" s="183">
        <v>200.0</v>
      </c>
      <c r="F979" s="183">
        <v>200.0</v>
      </c>
      <c r="G979" s="183">
        <v>200.0</v>
      </c>
      <c r="H979" s="279" t="b">
        <v>1</v>
      </c>
      <c r="I979" s="143" t="s">
        <v>1185</v>
      </c>
      <c r="J979" s="41" t="s">
        <v>1193</v>
      </c>
      <c r="K979" s="279" t="b">
        <v>0</v>
      </c>
      <c r="L979" s="279" t="b">
        <v>1</v>
      </c>
    </row>
    <row r="980" ht="14.25" hidden="1" customHeight="1" outlineLevel="1">
      <c r="A980" s="131" t="s">
        <v>34</v>
      </c>
      <c r="B980" s="132">
        <v>45830.0</v>
      </c>
      <c r="C980" s="41" t="s">
        <v>61</v>
      </c>
      <c r="D980" s="182">
        <v>1.0</v>
      </c>
      <c r="E980" s="183">
        <v>200.0</v>
      </c>
      <c r="F980" s="183">
        <v>200.0</v>
      </c>
      <c r="G980" s="183">
        <v>200.0</v>
      </c>
      <c r="H980" s="279" t="b">
        <v>1</v>
      </c>
      <c r="I980" s="143" t="s">
        <v>413</v>
      </c>
      <c r="J980" s="41" t="s">
        <v>1195</v>
      </c>
      <c r="K980" s="279" t="b">
        <v>0</v>
      </c>
      <c r="L980" s="279" t="b">
        <v>1</v>
      </c>
    </row>
    <row r="981" ht="14.25" hidden="1" customHeight="1" outlineLevel="1">
      <c r="A981" s="131" t="s">
        <v>34</v>
      </c>
      <c r="B981" s="132">
        <v>45831.0</v>
      </c>
      <c r="C981" s="41" t="s">
        <v>61</v>
      </c>
      <c r="D981" s="182">
        <v>1.0</v>
      </c>
      <c r="E981" s="183">
        <v>150.0</v>
      </c>
      <c r="F981" s="325">
        <f t="shared" ref="F981:F992" si="128">D981*E981</f>
        <v>150</v>
      </c>
      <c r="G981" s="325">
        <f>F981</f>
        <v>150</v>
      </c>
      <c r="H981" s="279" t="b">
        <v>1</v>
      </c>
      <c r="I981" s="143" t="s">
        <v>1062</v>
      </c>
      <c r="J981" s="41" t="s">
        <v>1196</v>
      </c>
      <c r="K981" s="279" t="b">
        <v>0</v>
      </c>
      <c r="L981" s="279" t="b">
        <v>1</v>
      </c>
    </row>
    <row r="982" ht="14.25" hidden="1" customHeight="1" outlineLevel="1">
      <c r="A982" s="131" t="s">
        <v>34</v>
      </c>
      <c r="B982" s="132">
        <v>45831.0</v>
      </c>
      <c r="C982" s="41" t="s">
        <v>116</v>
      </c>
      <c r="D982" s="182">
        <v>5.0</v>
      </c>
      <c r="E982" s="183">
        <v>2.39</v>
      </c>
      <c r="F982" s="183">
        <f t="shared" si="128"/>
        <v>11.95</v>
      </c>
      <c r="G982" s="196">
        <f>SUM(F982:F983)</f>
        <v>111.93</v>
      </c>
      <c r="H982" s="278" t="b">
        <v>0</v>
      </c>
      <c r="I982" s="164" t="s">
        <v>570</v>
      </c>
      <c r="J982" s="41" t="s">
        <v>1302</v>
      </c>
      <c r="K982" s="278" t="b">
        <v>1</v>
      </c>
      <c r="L982" s="278" t="b">
        <v>1</v>
      </c>
    </row>
    <row r="983" ht="14.25" hidden="1" customHeight="1" outlineLevel="1">
      <c r="A983" s="131" t="s">
        <v>34</v>
      </c>
      <c r="B983" s="132">
        <v>45831.0</v>
      </c>
      <c r="C983" s="41" t="s">
        <v>315</v>
      </c>
      <c r="D983" s="182">
        <v>2.0</v>
      </c>
      <c r="E983" s="183">
        <v>49.99</v>
      </c>
      <c r="F983" s="183">
        <f t="shared" si="128"/>
        <v>99.98</v>
      </c>
      <c r="G983" s="10"/>
      <c r="H983" s="10"/>
      <c r="I983" s="74"/>
      <c r="J983" s="41" t="s">
        <v>333</v>
      </c>
      <c r="K983" s="10"/>
      <c r="L983" s="10"/>
    </row>
    <row r="984" ht="14.25" hidden="1" customHeight="1" outlineLevel="1">
      <c r="A984" s="131" t="s">
        <v>34</v>
      </c>
      <c r="B984" s="132">
        <v>45832.0</v>
      </c>
      <c r="C984" s="285" t="s">
        <v>61</v>
      </c>
      <c r="D984" s="315">
        <v>1.0</v>
      </c>
      <c r="E984" s="316">
        <v>150.0</v>
      </c>
      <c r="F984" s="316">
        <f t="shared" si="128"/>
        <v>150</v>
      </c>
      <c r="G984" s="316">
        <f t="shared" ref="G984:G987" si="129">F984</f>
        <v>150</v>
      </c>
      <c r="H984" s="317" t="b">
        <v>1</v>
      </c>
      <c r="I984" s="334" t="s">
        <v>236</v>
      </c>
      <c r="J984" s="321" t="s">
        <v>1198</v>
      </c>
      <c r="K984" s="317" t="b">
        <v>0</v>
      </c>
      <c r="L984" s="279" t="b">
        <v>1</v>
      </c>
    </row>
    <row r="985" ht="14.25" hidden="1" customHeight="1" outlineLevel="1">
      <c r="A985" s="131" t="s">
        <v>34</v>
      </c>
      <c r="B985" s="132">
        <v>45832.0</v>
      </c>
      <c r="C985" s="285" t="s">
        <v>61</v>
      </c>
      <c r="D985" s="315">
        <v>1.0</v>
      </c>
      <c r="E985" s="316">
        <v>150.0</v>
      </c>
      <c r="F985" s="316">
        <f t="shared" si="128"/>
        <v>150</v>
      </c>
      <c r="G985" s="316">
        <f t="shared" si="129"/>
        <v>150</v>
      </c>
      <c r="H985" s="317" t="b">
        <v>1</v>
      </c>
      <c r="I985" s="143" t="s">
        <v>456</v>
      </c>
      <c r="J985" s="321" t="s">
        <v>1199</v>
      </c>
      <c r="K985" s="317" t="b">
        <v>0</v>
      </c>
      <c r="L985" s="279" t="b">
        <v>1</v>
      </c>
    </row>
    <row r="986" ht="14.25" hidden="1" customHeight="1" outlineLevel="1">
      <c r="A986" s="131" t="s">
        <v>34</v>
      </c>
      <c r="B986" s="132">
        <v>45832.0</v>
      </c>
      <c r="C986" s="41" t="s">
        <v>80</v>
      </c>
      <c r="D986" s="182">
        <v>2.0</v>
      </c>
      <c r="E986" s="183">
        <v>15.0</v>
      </c>
      <c r="F986" s="183">
        <f t="shared" si="128"/>
        <v>30</v>
      </c>
      <c r="G986" s="183">
        <f t="shared" si="129"/>
        <v>30</v>
      </c>
      <c r="H986" s="279" t="b">
        <v>0</v>
      </c>
      <c r="I986" s="143" t="s">
        <v>481</v>
      </c>
      <c r="J986" s="41" t="s">
        <v>1013</v>
      </c>
      <c r="K986" s="279" t="b">
        <v>1</v>
      </c>
      <c r="L986" s="279" t="b">
        <v>1</v>
      </c>
    </row>
    <row r="987" ht="14.25" hidden="1" customHeight="1" outlineLevel="1">
      <c r="A987" s="131" t="s">
        <v>34</v>
      </c>
      <c r="B987" s="132">
        <v>45833.0</v>
      </c>
      <c r="C987" s="285" t="s">
        <v>61</v>
      </c>
      <c r="D987" s="315">
        <v>1.0</v>
      </c>
      <c r="E987" s="316">
        <v>150.0</v>
      </c>
      <c r="F987" s="316">
        <f t="shared" si="128"/>
        <v>150</v>
      </c>
      <c r="G987" s="316">
        <f t="shared" si="129"/>
        <v>150</v>
      </c>
      <c r="H987" s="317" t="b">
        <v>1</v>
      </c>
      <c r="I987" s="143" t="s">
        <v>456</v>
      </c>
      <c r="J987" s="321" t="s">
        <v>1204</v>
      </c>
      <c r="K987" s="317" t="b">
        <v>0</v>
      </c>
      <c r="L987" s="279" t="b">
        <v>1</v>
      </c>
    </row>
    <row r="988" ht="14.25" hidden="1" customHeight="1" outlineLevel="1">
      <c r="A988" s="131" t="s">
        <v>34</v>
      </c>
      <c r="B988" s="132">
        <v>45833.0</v>
      </c>
      <c r="C988" s="41" t="s">
        <v>69</v>
      </c>
      <c r="D988" s="182">
        <v>5.0</v>
      </c>
      <c r="E988" s="183">
        <v>6.15</v>
      </c>
      <c r="F988" s="183">
        <f t="shared" si="128"/>
        <v>30.75</v>
      </c>
      <c r="G988" s="196">
        <f>SUM(F988:F989)</f>
        <v>44.74</v>
      </c>
      <c r="H988" s="278" t="b">
        <v>0</v>
      </c>
      <c r="I988" s="164" t="s">
        <v>570</v>
      </c>
      <c r="J988" s="41" t="s">
        <v>1306</v>
      </c>
      <c r="K988" s="278" t="b">
        <v>1</v>
      </c>
      <c r="L988" s="278" t="b">
        <v>1</v>
      </c>
    </row>
    <row r="989" ht="14.25" hidden="1" customHeight="1" outlineLevel="1">
      <c r="A989" s="131" t="s">
        <v>34</v>
      </c>
      <c r="B989" s="132">
        <v>45833.0</v>
      </c>
      <c r="C989" s="41" t="s">
        <v>112</v>
      </c>
      <c r="D989" s="182">
        <v>1.0</v>
      </c>
      <c r="E989" s="183">
        <v>13.99</v>
      </c>
      <c r="F989" s="183">
        <f t="shared" si="128"/>
        <v>13.99</v>
      </c>
      <c r="G989" s="10"/>
      <c r="H989" s="10"/>
      <c r="I989" s="74"/>
      <c r="J989" s="41"/>
      <c r="K989" s="10"/>
      <c r="L989" s="10"/>
    </row>
    <row r="990" ht="14.25" hidden="1" customHeight="1" outlineLevel="1">
      <c r="A990" s="131" t="s">
        <v>34</v>
      </c>
      <c r="B990" s="132">
        <v>45834.0</v>
      </c>
      <c r="C990" s="285" t="s">
        <v>61</v>
      </c>
      <c r="D990" s="315">
        <v>1.0</v>
      </c>
      <c r="E990" s="316">
        <v>150.0</v>
      </c>
      <c r="F990" s="316">
        <f t="shared" si="128"/>
        <v>150</v>
      </c>
      <c r="G990" s="316">
        <f t="shared" ref="G990:G992" si="130">F990</f>
        <v>150</v>
      </c>
      <c r="H990" s="317" t="b">
        <v>1</v>
      </c>
      <c r="I990" s="143" t="s">
        <v>980</v>
      </c>
      <c r="J990" s="321" t="s">
        <v>1181</v>
      </c>
      <c r="K990" s="317" t="b">
        <v>0</v>
      </c>
      <c r="L990" s="279" t="b">
        <v>1</v>
      </c>
    </row>
    <row r="991" ht="14.25" hidden="1" customHeight="1" outlineLevel="1">
      <c r="A991" s="131" t="s">
        <v>34</v>
      </c>
      <c r="B991" s="132">
        <v>45835.0</v>
      </c>
      <c r="C991" s="285" t="s">
        <v>61</v>
      </c>
      <c r="D991" s="315">
        <v>1.0</v>
      </c>
      <c r="E991" s="316">
        <v>150.0</v>
      </c>
      <c r="F991" s="316">
        <f t="shared" si="128"/>
        <v>150</v>
      </c>
      <c r="G991" s="316">
        <f t="shared" si="130"/>
        <v>150</v>
      </c>
      <c r="H991" s="317" t="b">
        <v>1</v>
      </c>
      <c r="I991" s="334" t="s">
        <v>236</v>
      </c>
      <c r="J991" s="321" t="s">
        <v>1184</v>
      </c>
      <c r="K991" s="317" t="b">
        <v>0</v>
      </c>
      <c r="L991" s="279" t="b">
        <v>1</v>
      </c>
    </row>
    <row r="992" ht="14.25" hidden="1" customHeight="1" outlineLevel="1">
      <c r="A992" s="131" t="s">
        <v>34</v>
      </c>
      <c r="B992" s="132">
        <v>45835.0</v>
      </c>
      <c r="C992" s="285" t="s">
        <v>61</v>
      </c>
      <c r="D992" s="315">
        <v>1.0</v>
      </c>
      <c r="E992" s="316">
        <v>150.0</v>
      </c>
      <c r="F992" s="316">
        <f t="shared" si="128"/>
        <v>150</v>
      </c>
      <c r="G992" s="316">
        <f t="shared" si="130"/>
        <v>150</v>
      </c>
      <c r="H992" s="317" t="b">
        <v>1</v>
      </c>
      <c r="I992" s="143" t="s">
        <v>1062</v>
      </c>
      <c r="J992" s="321" t="s">
        <v>1213</v>
      </c>
      <c r="K992" s="317" t="b">
        <v>0</v>
      </c>
      <c r="L992" s="279" t="b">
        <v>1</v>
      </c>
    </row>
    <row r="993" ht="14.25" hidden="1" customHeight="1" outlineLevel="1">
      <c r="A993" s="131" t="s">
        <v>34</v>
      </c>
      <c r="B993" s="132">
        <v>45837.0</v>
      </c>
      <c r="C993" s="41" t="s">
        <v>61</v>
      </c>
      <c r="D993" s="182">
        <v>1.0</v>
      </c>
      <c r="E993" s="316">
        <v>200.0</v>
      </c>
      <c r="F993" s="316">
        <v>200.0</v>
      </c>
      <c r="G993" s="316">
        <v>200.0</v>
      </c>
      <c r="H993" s="317" t="b">
        <v>1</v>
      </c>
      <c r="I993" s="318" t="s">
        <v>490</v>
      </c>
      <c r="J993" s="321" t="s">
        <v>1192</v>
      </c>
      <c r="K993" s="279" t="b">
        <v>0</v>
      </c>
      <c r="L993" s="279" t="b">
        <v>1</v>
      </c>
    </row>
    <row r="994" ht="14.25" hidden="1" customHeight="1" outlineLevel="1">
      <c r="A994" s="131" t="s">
        <v>34</v>
      </c>
      <c r="B994" s="132">
        <v>45837.0</v>
      </c>
      <c r="C994" s="41" t="s">
        <v>61</v>
      </c>
      <c r="D994" s="182">
        <v>1.0</v>
      </c>
      <c r="E994" s="183">
        <v>200.0</v>
      </c>
      <c r="F994" s="183">
        <v>200.0</v>
      </c>
      <c r="G994" s="183">
        <v>200.0</v>
      </c>
      <c r="H994" s="279" t="b">
        <v>1</v>
      </c>
      <c r="I994" s="143" t="s">
        <v>1185</v>
      </c>
      <c r="J994" s="41" t="s">
        <v>1193</v>
      </c>
      <c r="K994" s="279" t="b">
        <v>0</v>
      </c>
      <c r="L994" s="279" t="b">
        <v>1</v>
      </c>
    </row>
    <row r="995" ht="14.25" hidden="1" customHeight="1" outlineLevel="1">
      <c r="A995" s="131" t="s">
        <v>34</v>
      </c>
      <c r="B995" s="132">
        <v>45837.0</v>
      </c>
      <c r="C995" s="41" t="s">
        <v>61</v>
      </c>
      <c r="D995" s="182">
        <v>1.0</v>
      </c>
      <c r="E995" s="183">
        <v>200.0</v>
      </c>
      <c r="F995" s="183">
        <v>200.0</v>
      </c>
      <c r="G995" s="183">
        <v>200.0</v>
      </c>
      <c r="H995" s="279" t="b">
        <v>1</v>
      </c>
      <c r="I995" s="143" t="s">
        <v>342</v>
      </c>
      <c r="J995" s="41" t="s">
        <v>1195</v>
      </c>
      <c r="K995" s="279" t="b">
        <v>0</v>
      </c>
      <c r="L995" s="279" t="b">
        <v>1</v>
      </c>
    </row>
    <row r="996" ht="14.25" hidden="1" customHeight="1" outlineLevel="1">
      <c r="A996" s="131" t="s">
        <v>34</v>
      </c>
      <c r="B996" s="132">
        <v>45838.0</v>
      </c>
      <c r="C996" s="41" t="s">
        <v>61</v>
      </c>
      <c r="D996" s="182">
        <v>1.0</v>
      </c>
      <c r="E996" s="183">
        <v>150.0</v>
      </c>
      <c r="F996" s="325">
        <f t="shared" ref="F996:F997" si="131">D996*E996</f>
        <v>150</v>
      </c>
      <c r="G996" s="325">
        <f t="shared" ref="G996:G997" si="132">F996</f>
        <v>150</v>
      </c>
      <c r="H996" s="279" t="b">
        <v>1</v>
      </c>
      <c r="I996" s="143" t="s">
        <v>456</v>
      </c>
      <c r="J996" s="41" t="s">
        <v>1196</v>
      </c>
      <c r="K996" s="279" t="b">
        <v>0</v>
      </c>
      <c r="L996" s="279" t="b">
        <v>1</v>
      </c>
    </row>
    <row r="997" ht="14.25" hidden="1" customHeight="1" outlineLevel="1">
      <c r="A997" s="131" t="s">
        <v>34</v>
      </c>
      <c r="B997" s="132">
        <v>45838.0</v>
      </c>
      <c r="C997" s="41" t="s">
        <v>61</v>
      </c>
      <c r="D997" s="182">
        <v>1.0</v>
      </c>
      <c r="E997" s="183">
        <v>3600.0</v>
      </c>
      <c r="F997" s="325">
        <f t="shared" si="131"/>
        <v>3600</v>
      </c>
      <c r="G997" s="325">
        <f t="shared" si="132"/>
        <v>3600</v>
      </c>
      <c r="H997" s="279" t="b">
        <v>1</v>
      </c>
      <c r="I997" s="143" t="s">
        <v>119</v>
      </c>
      <c r="J997" s="41" t="s">
        <v>1311</v>
      </c>
      <c r="K997" s="279" t="b">
        <v>0</v>
      </c>
      <c r="L997" s="279" t="b">
        <v>1</v>
      </c>
    </row>
    <row r="998" ht="14.25" hidden="1" customHeight="1" outlineLevel="1">
      <c r="A998" s="131" t="s">
        <v>34</v>
      </c>
      <c r="B998" s="132">
        <v>45838.0</v>
      </c>
      <c r="C998" s="41" t="s">
        <v>75</v>
      </c>
      <c r="D998" s="182">
        <v>1.0</v>
      </c>
      <c r="E998" s="183">
        <v>120.0</v>
      </c>
      <c r="F998" s="183">
        <v>120.0</v>
      </c>
      <c r="G998" s="183">
        <v>120.0</v>
      </c>
      <c r="H998" s="279" t="b">
        <v>0</v>
      </c>
      <c r="I998" s="143" t="s">
        <v>76</v>
      </c>
      <c r="J998" s="41" t="s">
        <v>1312</v>
      </c>
      <c r="K998" s="279" t="b">
        <v>0</v>
      </c>
      <c r="L998" s="279" t="b">
        <v>1</v>
      </c>
    </row>
    <row r="999" ht="14.25" hidden="1" customHeight="1" outlineLevel="1">
      <c r="A999" s="131" t="s">
        <v>34</v>
      </c>
      <c r="B999" s="132">
        <v>45838.0</v>
      </c>
      <c r="C999" s="41" t="s">
        <v>93</v>
      </c>
      <c r="D999" s="182">
        <v>1.0</v>
      </c>
      <c r="E999" s="183">
        <v>333.5</v>
      </c>
      <c r="F999" s="183">
        <v>333.5</v>
      </c>
      <c r="G999" s="183">
        <v>333.5</v>
      </c>
      <c r="H999" s="279" t="b">
        <v>0</v>
      </c>
      <c r="I999" s="143" t="s">
        <v>1313</v>
      </c>
      <c r="J999" s="41" t="s">
        <v>1314</v>
      </c>
      <c r="K999" s="279" t="b">
        <v>1</v>
      </c>
      <c r="L999" s="279" t="b">
        <v>1</v>
      </c>
    </row>
    <row r="1000" ht="14.25" hidden="1" customHeight="1" outlineLevel="1">
      <c r="A1000" s="131" t="s">
        <v>34</v>
      </c>
      <c r="B1000" s="132">
        <v>45809.0</v>
      </c>
      <c r="C1000" s="41"/>
      <c r="D1000" s="182"/>
      <c r="E1000" s="183"/>
      <c r="F1000" s="183"/>
      <c r="G1000" s="183"/>
      <c r="H1000" s="279" t="b">
        <v>0</v>
      </c>
      <c r="I1000" s="143"/>
      <c r="J1000" s="41"/>
      <c r="K1000" s="279" t="b">
        <v>0</v>
      </c>
      <c r="L1000" s="279" t="b">
        <v>0</v>
      </c>
    </row>
    <row r="1001" ht="14.25" customHeight="1">
      <c r="A1001" s="180" t="s">
        <v>192</v>
      </c>
      <c r="B1001" s="27"/>
      <c r="C1001" s="27"/>
      <c r="D1001" s="27"/>
      <c r="E1001" s="28"/>
      <c r="F1001" s="181">
        <f t="shared" ref="F1001:G1001" si="133">SUM(F925:F1000)</f>
        <v>12427.72</v>
      </c>
      <c r="G1001" s="181">
        <f t="shared" si="133"/>
        <v>12427.72</v>
      </c>
    </row>
    <row r="1002" ht="14.25" customHeight="1" collapsed="1">
      <c r="A1002" s="245" t="s">
        <v>1131</v>
      </c>
      <c r="B1002" s="246"/>
      <c r="C1002" s="246"/>
      <c r="D1002" s="246"/>
      <c r="E1002" s="246"/>
      <c r="F1002" s="246"/>
      <c r="G1002" s="246"/>
      <c r="H1002" s="246"/>
      <c r="I1002" s="246"/>
      <c r="J1002" s="247"/>
      <c r="K1002" s="238"/>
      <c r="L1002" s="238"/>
    </row>
    <row r="1003" ht="14.25" hidden="1" customHeight="1" outlineLevel="1">
      <c r="A1003" s="131" t="s">
        <v>33</v>
      </c>
      <c r="B1003" s="132">
        <v>45839.0</v>
      </c>
      <c r="C1003" s="285" t="s">
        <v>61</v>
      </c>
      <c r="D1003" s="315">
        <v>1.0</v>
      </c>
      <c r="E1003" s="316">
        <v>150.0</v>
      </c>
      <c r="F1003" s="316">
        <f t="shared" ref="F1003:F1005" si="134">D1003*E1003</f>
        <v>150</v>
      </c>
      <c r="G1003" s="316">
        <f t="shared" ref="G1003:G1005" si="135">F1003</f>
        <v>150</v>
      </c>
      <c r="H1003" s="317" t="b">
        <v>1</v>
      </c>
      <c r="I1003" s="334" t="s">
        <v>236</v>
      </c>
      <c r="J1003" s="321" t="s">
        <v>1198</v>
      </c>
      <c r="K1003" s="317" t="b">
        <v>0</v>
      </c>
      <c r="L1003" s="279" t="b">
        <v>1</v>
      </c>
    </row>
    <row r="1004" ht="14.25" hidden="1" customHeight="1" outlineLevel="1">
      <c r="A1004" s="131" t="s">
        <v>33</v>
      </c>
      <c r="B1004" s="132">
        <v>45839.0</v>
      </c>
      <c r="C1004" s="285" t="s">
        <v>61</v>
      </c>
      <c r="D1004" s="315">
        <v>1.0</v>
      </c>
      <c r="E1004" s="316">
        <v>150.0</v>
      </c>
      <c r="F1004" s="316">
        <f t="shared" si="134"/>
        <v>150</v>
      </c>
      <c r="G1004" s="316">
        <f t="shared" si="135"/>
        <v>150</v>
      </c>
      <c r="H1004" s="317" t="b">
        <v>1</v>
      </c>
      <c r="I1004" s="143" t="s">
        <v>456</v>
      </c>
      <c r="J1004" s="321" t="s">
        <v>1199</v>
      </c>
      <c r="K1004" s="317" t="b">
        <v>0</v>
      </c>
      <c r="L1004" s="279" t="b">
        <v>1</v>
      </c>
    </row>
    <row r="1005" ht="14.25" hidden="1" customHeight="1" outlineLevel="1">
      <c r="A1005" s="131" t="s">
        <v>33</v>
      </c>
      <c r="B1005" s="132">
        <v>45840.0</v>
      </c>
      <c r="C1005" s="285" t="s">
        <v>61</v>
      </c>
      <c r="D1005" s="315">
        <v>1.0</v>
      </c>
      <c r="E1005" s="316">
        <v>150.0</v>
      </c>
      <c r="F1005" s="316">
        <f t="shared" si="134"/>
        <v>150</v>
      </c>
      <c r="G1005" s="316">
        <f t="shared" si="135"/>
        <v>150</v>
      </c>
      <c r="H1005" s="317" t="b">
        <v>1</v>
      </c>
      <c r="I1005" s="143" t="s">
        <v>456</v>
      </c>
      <c r="J1005" s="321" t="s">
        <v>1204</v>
      </c>
      <c r="K1005" s="317" t="b">
        <v>0</v>
      </c>
      <c r="L1005" s="279" t="b">
        <v>1</v>
      </c>
    </row>
    <row r="1006" ht="14.25" hidden="1" customHeight="1" outlineLevel="1">
      <c r="A1006" s="131" t="s">
        <v>33</v>
      </c>
      <c r="B1006" s="132">
        <v>45840.0</v>
      </c>
      <c r="C1006" s="41" t="s">
        <v>248</v>
      </c>
      <c r="D1006" s="182">
        <v>1.0</v>
      </c>
      <c r="E1006" s="183">
        <v>754.0</v>
      </c>
      <c r="F1006" s="183">
        <v>754.0</v>
      </c>
      <c r="G1006" s="183">
        <v>754.0</v>
      </c>
      <c r="H1006" s="279" t="b">
        <v>0</v>
      </c>
      <c r="I1006" s="143" t="s">
        <v>1316</v>
      </c>
      <c r="J1006" s="41" t="s">
        <v>1317</v>
      </c>
      <c r="K1006" s="279" t="b">
        <v>0</v>
      </c>
      <c r="L1006" s="279" t="b">
        <v>1</v>
      </c>
    </row>
    <row r="1007" ht="14.25" hidden="1" customHeight="1" outlineLevel="1">
      <c r="A1007" s="131" t="s">
        <v>33</v>
      </c>
      <c r="B1007" s="132">
        <v>45841.0</v>
      </c>
      <c r="C1007" s="285" t="s">
        <v>61</v>
      </c>
      <c r="D1007" s="315">
        <v>1.0</v>
      </c>
      <c r="E1007" s="316">
        <v>150.0</v>
      </c>
      <c r="F1007" s="316">
        <f t="shared" ref="F1007:F1009" si="136">D1007*E1007</f>
        <v>150</v>
      </c>
      <c r="G1007" s="316">
        <f t="shared" ref="G1007:G1009" si="137">F1007</f>
        <v>150</v>
      </c>
      <c r="H1007" s="317" t="b">
        <v>1</v>
      </c>
      <c r="I1007" s="143" t="s">
        <v>980</v>
      </c>
      <c r="J1007" s="321" t="s">
        <v>1181</v>
      </c>
      <c r="K1007" s="317" t="b">
        <v>0</v>
      </c>
      <c r="L1007" s="279" t="b">
        <v>1</v>
      </c>
    </row>
    <row r="1008" ht="14.25" hidden="1" customHeight="1" outlineLevel="1">
      <c r="A1008" s="131" t="s">
        <v>33</v>
      </c>
      <c r="B1008" s="132">
        <v>45842.0</v>
      </c>
      <c r="C1008" s="285" t="s">
        <v>61</v>
      </c>
      <c r="D1008" s="315">
        <v>1.0</v>
      </c>
      <c r="E1008" s="316">
        <v>150.0</v>
      </c>
      <c r="F1008" s="316">
        <f t="shared" si="136"/>
        <v>150</v>
      </c>
      <c r="G1008" s="316">
        <f t="shared" si="137"/>
        <v>150</v>
      </c>
      <c r="H1008" s="317" t="b">
        <v>1</v>
      </c>
      <c r="I1008" s="334" t="s">
        <v>236</v>
      </c>
      <c r="J1008" s="321" t="s">
        <v>1184</v>
      </c>
      <c r="K1008" s="317" t="b">
        <v>0</v>
      </c>
      <c r="L1008" s="279" t="b">
        <v>1</v>
      </c>
    </row>
    <row r="1009" ht="14.25" hidden="1" customHeight="1" outlineLevel="1">
      <c r="A1009" s="131" t="s">
        <v>33</v>
      </c>
      <c r="B1009" s="132">
        <v>45842.0</v>
      </c>
      <c r="C1009" s="285" t="s">
        <v>61</v>
      </c>
      <c r="D1009" s="315">
        <v>1.0</v>
      </c>
      <c r="E1009" s="316">
        <v>150.0</v>
      </c>
      <c r="F1009" s="316">
        <f t="shared" si="136"/>
        <v>150</v>
      </c>
      <c r="G1009" s="316">
        <f t="shared" si="137"/>
        <v>150</v>
      </c>
      <c r="H1009" s="317" t="b">
        <v>1</v>
      </c>
      <c r="I1009" s="143" t="s">
        <v>1062</v>
      </c>
      <c r="J1009" s="321" t="s">
        <v>1213</v>
      </c>
      <c r="K1009" s="317" t="b">
        <v>0</v>
      </c>
      <c r="L1009" s="279" t="b">
        <v>1</v>
      </c>
    </row>
    <row r="1010" ht="14.25" hidden="1" customHeight="1" outlineLevel="1">
      <c r="A1010" s="131" t="s">
        <v>33</v>
      </c>
      <c r="B1010" s="132">
        <v>45844.0</v>
      </c>
      <c r="C1010" s="41" t="s">
        <v>61</v>
      </c>
      <c r="D1010" s="182">
        <v>1.0</v>
      </c>
      <c r="E1010" s="316">
        <v>200.0</v>
      </c>
      <c r="F1010" s="316">
        <v>200.0</v>
      </c>
      <c r="G1010" s="316">
        <v>200.0</v>
      </c>
      <c r="H1010" s="317" t="b">
        <v>1</v>
      </c>
      <c r="I1010" s="318" t="s">
        <v>490</v>
      </c>
      <c r="J1010" s="321" t="s">
        <v>1192</v>
      </c>
      <c r="K1010" s="279" t="b">
        <v>0</v>
      </c>
      <c r="L1010" s="279" t="b">
        <v>1</v>
      </c>
    </row>
    <row r="1011" ht="14.25" hidden="1" customHeight="1" outlineLevel="1">
      <c r="A1011" s="131" t="s">
        <v>33</v>
      </c>
      <c r="B1011" s="132">
        <v>45844.0</v>
      </c>
      <c r="C1011" s="41" t="s">
        <v>61</v>
      </c>
      <c r="D1011" s="182">
        <v>1.0</v>
      </c>
      <c r="E1011" s="183">
        <v>200.0</v>
      </c>
      <c r="F1011" s="183">
        <v>200.0</v>
      </c>
      <c r="G1011" s="183">
        <v>200.0</v>
      </c>
      <c r="H1011" s="279" t="b">
        <v>1</v>
      </c>
      <c r="I1011" s="143" t="s">
        <v>1185</v>
      </c>
      <c r="J1011" s="41" t="s">
        <v>1193</v>
      </c>
      <c r="K1011" s="279" t="b">
        <v>0</v>
      </c>
      <c r="L1011" s="279" t="b">
        <v>1</v>
      </c>
    </row>
    <row r="1012" ht="14.25" hidden="1" customHeight="1" outlineLevel="1">
      <c r="A1012" s="131" t="s">
        <v>33</v>
      </c>
      <c r="B1012" s="132">
        <v>45844.0</v>
      </c>
      <c r="C1012" s="41" t="s">
        <v>61</v>
      </c>
      <c r="D1012" s="182">
        <v>1.0</v>
      </c>
      <c r="E1012" s="183">
        <v>200.0</v>
      </c>
      <c r="F1012" s="183">
        <v>200.0</v>
      </c>
      <c r="G1012" s="183">
        <v>200.0</v>
      </c>
      <c r="H1012" s="279" t="b">
        <v>1</v>
      </c>
      <c r="I1012" s="143" t="s">
        <v>342</v>
      </c>
      <c r="J1012" s="41" t="s">
        <v>1195</v>
      </c>
      <c r="K1012" s="279" t="b">
        <v>0</v>
      </c>
      <c r="L1012" s="279" t="b">
        <v>1</v>
      </c>
    </row>
    <row r="1013" ht="14.25" hidden="1" customHeight="1" outlineLevel="1">
      <c r="A1013" s="131" t="s">
        <v>33</v>
      </c>
      <c r="B1013" s="132">
        <v>45845.0</v>
      </c>
      <c r="C1013" s="41" t="s">
        <v>61</v>
      </c>
      <c r="D1013" s="182">
        <v>1.0</v>
      </c>
      <c r="E1013" s="183">
        <v>150.0</v>
      </c>
      <c r="F1013" s="183">
        <v>150.0</v>
      </c>
      <c r="G1013" s="183">
        <v>150.0</v>
      </c>
      <c r="H1013" s="279" t="b">
        <v>1</v>
      </c>
      <c r="I1013" s="143" t="s">
        <v>456</v>
      </c>
      <c r="J1013" s="41" t="s">
        <v>1322</v>
      </c>
      <c r="K1013" s="279" t="b">
        <v>0</v>
      </c>
      <c r="L1013" s="279" t="b">
        <v>1</v>
      </c>
    </row>
    <row r="1014" hidden="1" outlineLevel="1">
      <c r="A1014" s="131" t="s">
        <v>33</v>
      </c>
      <c r="B1014" s="132">
        <v>45845.0</v>
      </c>
      <c r="C1014" s="41" t="s">
        <v>55</v>
      </c>
      <c r="D1014" s="182">
        <v>1.0</v>
      </c>
      <c r="E1014" s="183">
        <v>291.0</v>
      </c>
      <c r="F1014" s="183">
        <v>291.0</v>
      </c>
      <c r="G1014" s="183">
        <v>291.0</v>
      </c>
      <c r="H1014" s="279" t="b">
        <v>0</v>
      </c>
      <c r="I1014" s="143" t="s">
        <v>1323</v>
      </c>
      <c r="J1014" s="41" t="s">
        <v>1324</v>
      </c>
      <c r="K1014" s="279" t="b">
        <v>1</v>
      </c>
      <c r="L1014" s="279" t="b">
        <v>1</v>
      </c>
    </row>
    <row r="1015" ht="14.25" hidden="1" customHeight="1" outlineLevel="1">
      <c r="A1015" s="131" t="s">
        <v>33</v>
      </c>
      <c r="B1015" s="132">
        <v>45846.0</v>
      </c>
      <c r="C1015" s="285" t="s">
        <v>61</v>
      </c>
      <c r="D1015" s="315">
        <v>1.0</v>
      </c>
      <c r="E1015" s="316">
        <v>150.0</v>
      </c>
      <c r="F1015" s="316">
        <f t="shared" ref="F1015:F1028" si="138">D1015*E1015</f>
        <v>150</v>
      </c>
      <c r="G1015" s="316">
        <f t="shared" ref="G1015:G1017" si="139">F1015</f>
        <v>150</v>
      </c>
      <c r="H1015" s="317" t="b">
        <v>1</v>
      </c>
      <c r="I1015" s="334" t="s">
        <v>236</v>
      </c>
      <c r="J1015" s="321" t="s">
        <v>1198</v>
      </c>
      <c r="K1015" s="317" t="b">
        <v>0</v>
      </c>
      <c r="L1015" s="279" t="b">
        <v>1</v>
      </c>
    </row>
    <row r="1016" ht="14.25" hidden="1" customHeight="1" outlineLevel="1">
      <c r="A1016" s="131" t="s">
        <v>33</v>
      </c>
      <c r="B1016" s="132">
        <v>45846.0</v>
      </c>
      <c r="C1016" s="285" t="s">
        <v>61</v>
      </c>
      <c r="D1016" s="315">
        <v>1.0</v>
      </c>
      <c r="E1016" s="316">
        <v>150.0</v>
      </c>
      <c r="F1016" s="316">
        <f t="shared" si="138"/>
        <v>150</v>
      </c>
      <c r="G1016" s="316">
        <f t="shared" si="139"/>
        <v>150</v>
      </c>
      <c r="H1016" s="317" t="b">
        <v>1</v>
      </c>
      <c r="I1016" s="143" t="s">
        <v>456</v>
      </c>
      <c r="J1016" s="321" t="s">
        <v>1199</v>
      </c>
      <c r="K1016" s="317" t="b">
        <v>0</v>
      </c>
      <c r="L1016" s="279" t="b">
        <v>1</v>
      </c>
    </row>
    <row r="1017" ht="14.25" hidden="1" customHeight="1" outlineLevel="1">
      <c r="A1017" s="131" t="s">
        <v>33</v>
      </c>
      <c r="B1017" s="132">
        <v>45847.0</v>
      </c>
      <c r="C1017" s="285" t="s">
        <v>61</v>
      </c>
      <c r="D1017" s="315">
        <v>1.0</v>
      </c>
      <c r="E1017" s="316">
        <v>150.0</v>
      </c>
      <c r="F1017" s="316">
        <f t="shared" si="138"/>
        <v>150</v>
      </c>
      <c r="G1017" s="316">
        <f t="shared" si="139"/>
        <v>150</v>
      </c>
      <c r="H1017" s="317" t="b">
        <v>1</v>
      </c>
      <c r="I1017" s="143" t="s">
        <v>456</v>
      </c>
      <c r="J1017" s="321" t="s">
        <v>1204</v>
      </c>
      <c r="K1017" s="317" t="b">
        <v>0</v>
      </c>
      <c r="L1017" s="279" t="b">
        <v>1</v>
      </c>
    </row>
    <row r="1018" ht="14.25" hidden="1" customHeight="1" outlineLevel="1">
      <c r="A1018" s="131" t="s">
        <v>33</v>
      </c>
      <c r="B1018" s="132">
        <v>45847.0</v>
      </c>
      <c r="C1018" s="41" t="s">
        <v>55</v>
      </c>
      <c r="D1018" s="182">
        <v>1.0</v>
      </c>
      <c r="E1018" s="183">
        <v>5.3</v>
      </c>
      <c r="F1018" s="183">
        <f t="shared" si="138"/>
        <v>5.3</v>
      </c>
      <c r="G1018" s="196">
        <f>SUM(F1018:F1020)</f>
        <v>59.7</v>
      </c>
      <c r="H1018" s="278" t="b">
        <v>0</v>
      </c>
      <c r="I1018" s="164" t="s">
        <v>254</v>
      </c>
      <c r="J1018" s="41" t="s">
        <v>1328</v>
      </c>
      <c r="K1018" s="278" t="b">
        <v>1</v>
      </c>
      <c r="L1018" s="278" t="b">
        <v>1</v>
      </c>
    </row>
    <row r="1019" ht="14.25" hidden="1" customHeight="1" outlineLevel="1">
      <c r="A1019" s="131" t="s">
        <v>33</v>
      </c>
      <c r="B1019" s="132">
        <v>45847.0</v>
      </c>
      <c r="C1019" s="41" t="s">
        <v>55</v>
      </c>
      <c r="D1019" s="182">
        <v>2.0</v>
      </c>
      <c r="E1019" s="183">
        <v>8.3</v>
      </c>
      <c r="F1019" s="183">
        <f t="shared" si="138"/>
        <v>16.6</v>
      </c>
      <c r="G1019" s="58"/>
      <c r="H1019" s="58"/>
      <c r="I1019" s="194"/>
      <c r="J1019" s="41" t="s">
        <v>1328</v>
      </c>
      <c r="K1019" s="58"/>
      <c r="L1019" s="58"/>
    </row>
    <row r="1020" ht="14.25" hidden="1" customHeight="1" outlineLevel="1">
      <c r="A1020" s="131" t="s">
        <v>33</v>
      </c>
      <c r="B1020" s="132">
        <v>45847.0</v>
      </c>
      <c r="C1020" s="41" t="s">
        <v>55</v>
      </c>
      <c r="D1020" s="182">
        <v>2.0</v>
      </c>
      <c r="E1020" s="183">
        <v>18.9</v>
      </c>
      <c r="F1020" s="183">
        <f t="shared" si="138"/>
        <v>37.8</v>
      </c>
      <c r="G1020" s="10"/>
      <c r="H1020" s="10"/>
      <c r="I1020" s="74"/>
      <c r="J1020" s="41" t="s">
        <v>1330</v>
      </c>
      <c r="K1020" s="10"/>
      <c r="L1020" s="10"/>
    </row>
    <row r="1021" ht="14.25" hidden="1" customHeight="1" outlineLevel="1">
      <c r="A1021" s="131" t="s">
        <v>33</v>
      </c>
      <c r="B1021" s="132">
        <v>45847.0</v>
      </c>
      <c r="C1021" s="41" t="s">
        <v>112</v>
      </c>
      <c r="D1021" s="182">
        <v>1.0</v>
      </c>
      <c r="E1021" s="183">
        <v>9.89</v>
      </c>
      <c r="F1021" s="183">
        <f t="shared" si="138"/>
        <v>9.89</v>
      </c>
      <c r="G1021" s="196">
        <f>SUM(F1021:F1023)</f>
        <v>32.77</v>
      </c>
      <c r="H1021" s="278" t="b">
        <v>0</v>
      </c>
      <c r="I1021" s="164" t="s">
        <v>570</v>
      </c>
      <c r="J1021" s="41" t="s">
        <v>1332</v>
      </c>
      <c r="K1021" s="278" t="b">
        <v>1</v>
      </c>
      <c r="L1021" s="278" t="b">
        <v>1</v>
      </c>
    </row>
    <row r="1022" ht="14.25" hidden="1" customHeight="1" outlineLevel="1">
      <c r="A1022" s="131" t="s">
        <v>33</v>
      </c>
      <c r="B1022" s="132">
        <v>45847.0</v>
      </c>
      <c r="C1022" s="41" t="s">
        <v>112</v>
      </c>
      <c r="D1022" s="182">
        <v>1.0</v>
      </c>
      <c r="E1022" s="183">
        <v>14.89</v>
      </c>
      <c r="F1022" s="183">
        <f t="shared" si="138"/>
        <v>14.89</v>
      </c>
      <c r="G1022" s="58"/>
      <c r="H1022" s="58"/>
      <c r="I1022" s="194"/>
      <c r="J1022" s="41" t="s">
        <v>1333</v>
      </c>
      <c r="K1022" s="58"/>
      <c r="L1022" s="58"/>
    </row>
    <row r="1023" ht="14.25" hidden="1" customHeight="1" outlineLevel="1">
      <c r="A1023" s="131" t="s">
        <v>33</v>
      </c>
      <c r="B1023" s="132">
        <v>45847.0</v>
      </c>
      <c r="C1023" s="41" t="s">
        <v>116</v>
      </c>
      <c r="D1023" s="182">
        <v>1.0</v>
      </c>
      <c r="E1023" s="183">
        <v>7.99</v>
      </c>
      <c r="F1023" s="183">
        <f t="shared" si="138"/>
        <v>7.99</v>
      </c>
      <c r="G1023" s="10"/>
      <c r="H1023" s="10"/>
      <c r="I1023" s="74"/>
      <c r="J1023" s="41" t="s">
        <v>1334</v>
      </c>
      <c r="K1023" s="10"/>
      <c r="L1023" s="10"/>
    </row>
    <row r="1024" ht="14.25" hidden="1" customHeight="1" outlineLevel="1">
      <c r="A1024" s="131" t="s">
        <v>33</v>
      </c>
      <c r="B1024" s="132">
        <v>45848.0</v>
      </c>
      <c r="C1024" s="285" t="s">
        <v>61</v>
      </c>
      <c r="D1024" s="315">
        <v>1.0</v>
      </c>
      <c r="E1024" s="316">
        <v>150.0</v>
      </c>
      <c r="F1024" s="316">
        <f t="shared" si="138"/>
        <v>150</v>
      </c>
      <c r="G1024" s="316">
        <f t="shared" ref="G1024:G1028" si="140">F1024</f>
        <v>150</v>
      </c>
      <c r="H1024" s="317" t="b">
        <v>1</v>
      </c>
      <c r="I1024" s="143" t="s">
        <v>980</v>
      </c>
      <c r="J1024" s="321" t="s">
        <v>1181</v>
      </c>
      <c r="K1024" s="317" t="b">
        <v>0</v>
      </c>
      <c r="L1024" s="279" t="b">
        <v>1</v>
      </c>
    </row>
    <row r="1025" ht="14.25" hidden="1" customHeight="1" outlineLevel="1">
      <c r="A1025" s="131" t="s">
        <v>33</v>
      </c>
      <c r="B1025" s="132">
        <v>45848.0</v>
      </c>
      <c r="C1025" s="41" t="s">
        <v>231</v>
      </c>
      <c r="D1025" s="182">
        <v>4.0</v>
      </c>
      <c r="E1025" s="183">
        <v>6.5</v>
      </c>
      <c r="F1025" s="183">
        <f t="shared" si="138"/>
        <v>26</v>
      </c>
      <c r="G1025" s="183">
        <f t="shared" si="140"/>
        <v>26</v>
      </c>
      <c r="H1025" s="279" t="b">
        <v>0</v>
      </c>
      <c r="I1025" s="143" t="s">
        <v>441</v>
      </c>
      <c r="J1025" s="41" t="s">
        <v>1336</v>
      </c>
      <c r="K1025" s="279" t="b">
        <v>1</v>
      </c>
      <c r="L1025" s="279" t="b">
        <v>1</v>
      </c>
    </row>
    <row r="1026" ht="14.25" hidden="1" customHeight="1" outlineLevel="1">
      <c r="A1026" s="131" t="s">
        <v>33</v>
      </c>
      <c r="B1026" s="132">
        <v>45849.0</v>
      </c>
      <c r="C1026" s="285" t="s">
        <v>61</v>
      </c>
      <c r="D1026" s="315">
        <v>1.0</v>
      </c>
      <c r="E1026" s="316">
        <v>150.0</v>
      </c>
      <c r="F1026" s="316">
        <f t="shared" si="138"/>
        <v>150</v>
      </c>
      <c r="G1026" s="316">
        <f t="shared" si="140"/>
        <v>150</v>
      </c>
      <c r="H1026" s="317" t="b">
        <v>1</v>
      </c>
      <c r="I1026" s="334" t="s">
        <v>236</v>
      </c>
      <c r="J1026" s="321" t="s">
        <v>1184</v>
      </c>
      <c r="K1026" s="317" t="b">
        <v>0</v>
      </c>
      <c r="L1026" s="279" t="b">
        <v>1</v>
      </c>
    </row>
    <row r="1027" hidden="1" outlineLevel="1">
      <c r="A1027" s="131" t="s">
        <v>33</v>
      </c>
      <c r="B1027" s="132">
        <v>45849.0</v>
      </c>
      <c r="C1027" s="285" t="s">
        <v>61</v>
      </c>
      <c r="D1027" s="315">
        <v>1.0</v>
      </c>
      <c r="E1027" s="316">
        <v>150.0</v>
      </c>
      <c r="F1027" s="316">
        <f t="shared" si="138"/>
        <v>150</v>
      </c>
      <c r="G1027" s="316">
        <f t="shared" si="140"/>
        <v>150</v>
      </c>
      <c r="H1027" s="317" t="b">
        <v>1</v>
      </c>
      <c r="I1027" s="143" t="s">
        <v>1062</v>
      </c>
      <c r="J1027" s="321" t="s">
        <v>1213</v>
      </c>
      <c r="K1027" s="317" t="b">
        <v>0</v>
      </c>
      <c r="L1027" s="279" t="b">
        <v>1</v>
      </c>
    </row>
    <row r="1028" ht="14.25" hidden="1" customHeight="1" outlineLevel="1">
      <c r="A1028" s="131" t="s">
        <v>33</v>
      </c>
      <c r="B1028" s="132">
        <v>45849.0</v>
      </c>
      <c r="C1028" s="41" t="s">
        <v>171</v>
      </c>
      <c r="D1028" s="182">
        <v>1.0</v>
      </c>
      <c r="E1028" s="183">
        <v>101.0</v>
      </c>
      <c r="F1028" s="183">
        <f t="shared" si="138"/>
        <v>101</v>
      </c>
      <c r="G1028" s="183">
        <f t="shared" si="140"/>
        <v>101</v>
      </c>
      <c r="H1028" s="279" t="b">
        <v>0</v>
      </c>
      <c r="I1028" s="143" t="s">
        <v>1242</v>
      </c>
      <c r="J1028" s="41" t="s">
        <v>898</v>
      </c>
      <c r="K1028" s="279" t="b">
        <v>1</v>
      </c>
      <c r="L1028" s="279" t="b">
        <v>1</v>
      </c>
    </row>
    <row r="1029" ht="14.25" hidden="1" customHeight="1" outlineLevel="1">
      <c r="A1029" s="131" t="s">
        <v>33</v>
      </c>
      <c r="B1029" s="132">
        <v>45851.0</v>
      </c>
      <c r="C1029" s="41" t="s">
        <v>61</v>
      </c>
      <c r="D1029" s="182">
        <v>1.0</v>
      </c>
      <c r="E1029" s="316">
        <v>200.0</v>
      </c>
      <c r="F1029" s="316">
        <v>200.0</v>
      </c>
      <c r="G1029" s="316">
        <v>200.0</v>
      </c>
      <c r="H1029" s="317" t="b">
        <v>1</v>
      </c>
      <c r="I1029" s="318" t="s">
        <v>490</v>
      </c>
      <c r="J1029" s="321" t="s">
        <v>1192</v>
      </c>
      <c r="K1029" s="279" t="b">
        <v>0</v>
      </c>
      <c r="L1029" s="279" t="b">
        <v>1</v>
      </c>
    </row>
    <row r="1030" ht="14.25" hidden="1" customHeight="1" outlineLevel="1">
      <c r="A1030" s="131" t="s">
        <v>33</v>
      </c>
      <c r="B1030" s="132">
        <v>45851.0</v>
      </c>
      <c r="C1030" s="41" t="s">
        <v>61</v>
      </c>
      <c r="D1030" s="182">
        <v>1.0</v>
      </c>
      <c r="E1030" s="183">
        <v>200.0</v>
      </c>
      <c r="F1030" s="183">
        <v>200.0</v>
      </c>
      <c r="G1030" s="183">
        <v>200.0</v>
      </c>
      <c r="H1030" s="279" t="b">
        <v>1</v>
      </c>
      <c r="I1030" s="143" t="s">
        <v>1185</v>
      </c>
      <c r="J1030" s="41" t="s">
        <v>1193</v>
      </c>
      <c r="K1030" s="279" t="b">
        <v>0</v>
      </c>
      <c r="L1030" s="279" t="b">
        <v>1</v>
      </c>
    </row>
    <row r="1031" ht="14.25" hidden="1" customHeight="1" outlineLevel="1">
      <c r="A1031" s="131" t="s">
        <v>33</v>
      </c>
      <c r="B1031" s="132">
        <v>45851.0</v>
      </c>
      <c r="C1031" s="41" t="s">
        <v>61</v>
      </c>
      <c r="D1031" s="182">
        <v>1.0</v>
      </c>
      <c r="E1031" s="183">
        <v>200.0</v>
      </c>
      <c r="F1031" s="183">
        <v>200.0</v>
      </c>
      <c r="G1031" s="183">
        <v>200.0</v>
      </c>
      <c r="H1031" s="279" t="b">
        <v>1</v>
      </c>
      <c r="I1031" s="143" t="s">
        <v>342</v>
      </c>
      <c r="J1031" s="41" t="s">
        <v>1195</v>
      </c>
      <c r="K1031" s="279" t="b">
        <v>0</v>
      </c>
      <c r="L1031" s="279" t="b">
        <v>1</v>
      </c>
    </row>
    <row r="1032" ht="14.25" hidden="1" customHeight="1" outlineLevel="1">
      <c r="A1032" s="131" t="s">
        <v>33</v>
      </c>
      <c r="B1032" s="132">
        <v>45852.0</v>
      </c>
      <c r="C1032" s="41" t="s">
        <v>61</v>
      </c>
      <c r="D1032" s="182">
        <v>1.0</v>
      </c>
      <c r="E1032" s="183">
        <v>150.0</v>
      </c>
      <c r="F1032" s="183">
        <v>150.0</v>
      </c>
      <c r="G1032" s="183">
        <v>150.0</v>
      </c>
      <c r="H1032" s="279" t="b">
        <v>1</v>
      </c>
      <c r="I1032" s="143" t="s">
        <v>456</v>
      </c>
      <c r="J1032" s="41" t="s">
        <v>1322</v>
      </c>
      <c r="K1032" s="279" t="b">
        <v>0</v>
      </c>
      <c r="L1032" s="279" t="b">
        <v>1</v>
      </c>
    </row>
    <row r="1033" ht="14.25" hidden="1" customHeight="1" outlineLevel="1">
      <c r="A1033" s="131" t="s">
        <v>33</v>
      </c>
      <c r="B1033" s="132">
        <v>45853.0</v>
      </c>
      <c r="C1033" s="285" t="s">
        <v>61</v>
      </c>
      <c r="D1033" s="315">
        <v>1.0</v>
      </c>
      <c r="E1033" s="316">
        <v>150.0</v>
      </c>
      <c r="F1033" s="316">
        <f t="shared" ref="F1033:F1042" si="141">D1033*E1033</f>
        <v>150</v>
      </c>
      <c r="G1033" s="316">
        <f t="shared" ref="G1033:G1035" si="142">F1033</f>
        <v>150</v>
      </c>
      <c r="H1033" s="317" t="b">
        <v>1</v>
      </c>
      <c r="I1033" s="334" t="s">
        <v>236</v>
      </c>
      <c r="J1033" s="321" t="s">
        <v>1198</v>
      </c>
      <c r="K1033" s="317" t="b">
        <v>0</v>
      </c>
      <c r="L1033" s="279" t="b">
        <v>1</v>
      </c>
    </row>
    <row r="1034" ht="14.25" hidden="1" customHeight="1" outlineLevel="1">
      <c r="A1034" s="131" t="s">
        <v>33</v>
      </c>
      <c r="B1034" s="132">
        <v>45853.0</v>
      </c>
      <c r="C1034" s="285" t="s">
        <v>61</v>
      </c>
      <c r="D1034" s="315">
        <v>1.0</v>
      </c>
      <c r="E1034" s="316">
        <v>150.0</v>
      </c>
      <c r="F1034" s="316">
        <f t="shared" si="141"/>
        <v>150</v>
      </c>
      <c r="G1034" s="316">
        <f t="shared" si="142"/>
        <v>150</v>
      </c>
      <c r="H1034" s="317" t="b">
        <v>1</v>
      </c>
      <c r="I1034" s="143" t="s">
        <v>456</v>
      </c>
      <c r="J1034" s="321" t="s">
        <v>1199</v>
      </c>
      <c r="K1034" s="317" t="b">
        <v>0</v>
      </c>
      <c r="L1034" s="279" t="b">
        <v>1</v>
      </c>
    </row>
    <row r="1035" ht="14.25" hidden="1" customHeight="1" outlineLevel="1">
      <c r="A1035" s="131" t="s">
        <v>33</v>
      </c>
      <c r="B1035" s="132">
        <v>45854.0</v>
      </c>
      <c r="C1035" s="285" t="s">
        <v>61</v>
      </c>
      <c r="D1035" s="315">
        <v>1.0</v>
      </c>
      <c r="E1035" s="316">
        <v>150.0</v>
      </c>
      <c r="F1035" s="316">
        <f t="shared" si="141"/>
        <v>150</v>
      </c>
      <c r="G1035" s="316">
        <f t="shared" si="142"/>
        <v>150</v>
      </c>
      <c r="H1035" s="317" t="b">
        <v>1</v>
      </c>
      <c r="I1035" s="143" t="s">
        <v>456</v>
      </c>
      <c r="J1035" s="321" t="s">
        <v>1204</v>
      </c>
      <c r="K1035" s="317" t="b">
        <v>0</v>
      </c>
      <c r="L1035" s="279" t="b">
        <v>1</v>
      </c>
    </row>
    <row r="1036" ht="14.25" hidden="1" customHeight="1" outlineLevel="1">
      <c r="A1036" s="131" t="s">
        <v>33</v>
      </c>
      <c r="B1036" s="132">
        <v>45854.0</v>
      </c>
      <c r="C1036" s="41" t="s">
        <v>75</v>
      </c>
      <c r="D1036" s="182">
        <v>3.0</v>
      </c>
      <c r="E1036" s="183">
        <v>40.0</v>
      </c>
      <c r="F1036" s="183">
        <f t="shared" si="141"/>
        <v>120</v>
      </c>
      <c r="G1036" s="196">
        <f>SUM(F1036:F1037)</f>
        <v>155</v>
      </c>
      <c r="H1036" s="278" t="b">
        <v>0</v>
      </c>
      <c r="I1036" s="164" t="s">
        <v>895</v>
      </c>
      <c r="J1036" s="41" t="s">
        <v>1339</v>
      </c>
      <c r="K1036" s="278" t="b">
        <v>0</v>
      </c>
      <c r="L1036" s="278" t="b">
        <v>1</v>
      </c>
    </row>
    <row r="1037" ht="14.25" hidden="1" customHeight="1" outlineLevel="1">
      <c r="A1037" s="131" t="s">
        <v>33</v>
      </c>
      <c r="B1037" s="132">
        <v>45854.0</v>
      </c>
      <c r="C1037" s="41" t="s">
        <v>75</v>
      </c>
      <c r="D1037" s="182">
        <v>1.0</v>
      </c>
      <c r="E1037" s="183">
        <v>35.0</v>
      </c>
      <c r="F1037" s="183">
        <f t="shared" si="141"/>
        <v>35</v>
      </c>
      <c r="G1037" s="10"/>
      <c r="H1037" s="10"/>
      <c r="I1037" s="74"/>
      <c r="J1037" s="41" t="s">
        <v>1342</v>
      </c>
      <c r="K1037" s="10"/>
      <c r="L1037" s="10"/>
    </row>
    <row r="1038" ht="14.25" hidden="1" customHeight="1" outlineLevel="1">
      <c r="A1038" s="131" t="s">
        <v>33</v>
      </c>
      <c r="B1038" s="132">
        <v>45854.0</v>
      </c>
      <c r="C1038" s="41" t="s">
        <v>55</v>
      </c>
      <c r="D1038" s="182">
        <v>3.0</v>
      </c>
      <c r="E1038" s="183">
        <v>18.9</v>
      </c>
      <c r="F1038" s="183">
        <f t="shared" si="141"/>
        <v>56.7</v>
      </c>
      <c r="G1038" s="183">
        <f t="shared" ref="G1038:G1042" si="143">F1038</f>
        <v>56.7</v>
      </c>
      <c r="H1038" s="279" t="b">
        <v>0</v>
      </c>
      <c r="I1038" s="143" t="s">
        <v>254</v>
      </c>
      <c r="J1038" s="41" t="s">
        <v>1330</v>
      </c>
      <c r="K1038" s="279" t="b">
        <v>1</v>
      </c>
      <c r="L1038" s="279" t="b">
        <v>1</v>
      </c>
    </row>
    <row r="1039" ht="14.25" hidden="1" customHeight="1" outlineLevel="1">
      <c r="A1039" s="131" t="s">
        <v>33</v>
      </c>
      <c r="B1039" s="132">
        <v>45855.0</v>
      </c>
      <c r="C1039" s="285" t="s">
        <v>61</v>
      </c>
      <c r="D1039" s="315">
        <v>1.0</v>
      </c>
      <c r="E1039" s="316">
        <v>150.0</v>
      </c>
      <c r="F1039" s="316">
        <f t="shared" si="141"/>
        <v>150</v>
      </c>
      <c r="G1039" s="316">
        <f t="shared" si="143"/>
        <v>150</v>
      </c>
      <c r="H1039" s="317" t="b">
        <v>1</v>
      </c>
      <c r="I1039" s="143" t="s">
        <v>980</v>
      </c>
      <c r="J1039" s="321" t="s">
        <v>1181</v>
      </c>
      <c r="K1039" s="317" t="b">
        <v>0</v>
      </c>
      <c r="L1039" s="279" t="b">
        <v>1</v>
      </c>
    </row>
    <row r="1040" ht="14.25" hidden="1" customHeight="1" outlineLevel="1">
      <c r="A1040" s="131" t="s">
        <v>33</v>
      </c>
      <c r="B1040" s="132">
        <v>45856.0</v>
      </c>
      <c r="C1040" s="285" t="s">
        <v>61</v>
      </c>
      <c r="D1040" s="315">
        <v>1.0</v>
      </c>
      <c r="E1040" s="316">
        <v>150.0</v>
      </c>
      <c r="F1040" s="316">
        <f t="shared" si="141"/>
        <v>150</v>
      </c>
      <c r="G1040" s="316">
        <f t="shared" si="143"/>
        <v>150</v>
      </c>
      <c r="H1040" s="317" t="b">
        <v>1</v>
      </c>
      <c r="I1040" s="334" t="s">
        <v>236</v>
      </c>
      <c r="J1040" s="321" t="s">
        <v>1184</v>
      </c>
      <c r="K1040" s="317" t="b">
        <v>0</v>
      </c>
      <c r="L1040" s="279" t="b">
        <v>1</v>
      </c>
    </row>
    <row r="1041" ht="14.25" hidden="1" customHeight="1" outlineLevel="1">
      <c r="A1041" s="131" t="s">
        <v>33</v>
      </c>
      <c r="B1041" s="132">
        <v>45856.0</v>
      </c>
      <c r="C1041" s="285" t="s">
        <v>61</v>
      </c>
      <c r="D1041" s="315">
        <v>1.0</v>
      </c>
      <c r="E1041" s="316">
        <v>150.0</v>
      </c>
      <c r="F1041" s="316">
        <f t="shared" si="141"/>
        <v>150</v>
      </c>
      <c r="G1041" s="316">
        <f t="shared" si="143"/>
        <v>150</v>
      </c>
      <c r="H1041" s="317" t="b">
        <v>1</v>
      </c>
      <c r="I1041" s="143" t="s">
        <v>1062</v>
      </c>
      <c r="J1041" s="321" t="s">
        <v>1213</v>
      </c>
      <c r="K1041" s="317" t="b">
        <v>0</v>
      </c>
      <c r="L1041" s="279" t="b">
        <v>1</v>
      </c>
    </row>
    <row r="1042" ht="14.25" hidden="1" customHeight="1" outlineLevel="1">
      <c r="A1042" s="131" t="s">
        <v>33</v>
      </c>
      <c r="B1042" s="132">
        <v>45856.0</v>
      </c>
      <c r="C1042" s="41" t="s">
        <v>80</v>
      </c>
      <c r="D1042" s="182">
        <v>2.0</v>
      </c>
      <c r="E1042" s="183">
        <v>15.0</v>
      </c>
      <c r="F1042" s="183">
        <f t="shared" si="141"/>
        <v>30</v>
      </c>
      <c r="G1042" s="183">
        <f t="shared" si="143"/>
        <v>30</v>
      </c>
      <c r="H1042" s="279" t="b">
        <v>0</v>
      </c>
      <c r="I1042" s="143" t="s">
        <v>481</v>
      </c>
      <c r="J1042" s="41" t="s">
        <v>1013</v>
      </c>
      <c r="K1042" s="279" t="b">
        <v>1</v>
      </c>
      <c r="L1042" s="279" t="b">
        <v>1</v>
      </c>
    </row>
    <row r="1043" ht="14.25" hidden="1" customHeight="1" outlineLevel="1">
      <c r="A1043" s="131" t="s">
        <v>33</v>
      </c>
      <c r="B1043" s="132">
        <v>45858.0</v>
      </c>
      <c r="C1043" s="41" t="s">
        <v>61</v>
      </c>
      <c r="D1043" s="182">
        <v>1.0</v>
      </c>
      <c r="E1043" s="316">
        <v>200.0</v>
      </c>
      <c r="F1043" s="316">
        <v>200.0</v>
      </c>
      <c r="G1043" s="316">
        <v>200.0</v>
      </c>
      <c r="H1043" s="317" t="b">
        <v>1</v>
      </c>
      <c r="I1043" s="318" t="s">
        <v>490</v>
      </c>
      <c r="J1043" s="321" t="s">
        <v>1192</v>
      </c>
      <c r="K1043" s="279" t="b">
        <v>0</v>
      </c>
      <c r="L1043" s="279" t="b">
        <v>1</v>
      </c>
    </row>
    <row r="1044" ht="14.25" hidden="1" customHeight="1" outlineLevel="1">
      <c r="A1044" s="131" t="s">
        <v>33</v>
      </c>
      <c r="B1044" s="132">
        <v>45858.0</v>
      </c>
      <c r="C1044" s="41" t="s">
        <v>61</v>
      </c>
      <c r="D1044" s="182">
        <v>1.0</v>
      </c>
      <c r="E1044" s="183">
        <v>200.0</v>
      </c>
      <c r="F1044" s="183">
        <v>200.0</v>
      </c>
      <c r="G1044" s="183">
        <v>200.0</v>
      </c>
      <c r="H1044" s="279" t="b">
        <v>1</v>
      </c>
      <c r="I1044" s="143" t="s">
        <v>1185</v>
      </c>
      <c r="J1044" s="41" t="s">
        <v>1193</v>
      </c>
      <c r="K1044" s="279" t="b">
        <v>0</v>
      </c>
      <c r="L1044" s="279" t="b">
        <v>1</v>
      </c>
    </row>
    <row r="1045" ht="14.25" hidden="1" customHeight="1" outlineLevel="1">
      <c r="A1045" s="131" t="s">
        <v>33</v>
      </c>
      <c r="B1045" s="132">
        <v>45858.0</v>
      </c>
      <c r="C1045" s="41" t="s">
        <v>61</v>
      </c>
      <c r="D1045" s="182">
        <v>1.0</v>
      </c>
      <c r="E1045" s="183">
        <v>200.0</v>
      </c>
      <c r="F1045" s="183">
        <v>200.0</v>
      </c>
      <c r="G1045" s="183">
        <v>200.0</v>
      </c>
      <c r="H1045" s="279" t="b">
        <v>1</v>
      </c>
      <c r="I1045" s="143" t="s">
        <v>342</v>
      </c>
      <c r="J1045" s="41" t="s">
        <v>1195</v>
      </c>
      <c r="K1045" s="279" t="b">
        <v>0</v>
      </c>
      <c r="L1045" s="279" t="b">
        <v>1</v>
      </c>
    </row>
    <row r="1046" ht="14.25" hidden="1" customHeight="1" outlineLevel="1">
      <c r="A1046" s="41" t="s">
        <v>33</v>
      </c>
      <c r="B1046" s="132">
        <v>45859.0</v>
      </c>
      <c r="C1046" s="41" t="s">
        <v>61</v>
      </c>
      <c r="D1046" s="182">
        <v>1.0</v>
      </c>
      <c r="E1046" s="183">
        <v>150.0</v>
      </c>
      <c r="F1046" s="183">
        <v>150.0</v>
      </c>
      <c r="G1046" s="183">
        <v>150.0</v>
      </c>
      <c r="H1046" s="279" t="b">
        <v>1</v>
      </c>
      <c r="I1046" s="143" t="s">
        <v>456</v>
      </c>
      <c r="J1046" s="41" t="s">
        <v>1322</v>
      </c>
      <c r="K1046" s="279" t="b">
        <v>0</v>
      </c>
      <c r="L1046" s="279" t="b">
        <v>1</v>
      </c>
    </row>
    <row r="1047" ht="14.25" hidden="1" customHeight="1" outlineLevel="1">
      <c r="A1047" s="131" t="s">
        <v>33</v>
      </c>
      <c r="B1047" s="132">
        <v>45860.0</v>
      </c>
      <c r="C1047" s="41" t="s">
        <v>315</v>
      </c>
      <c r="D1047" s="182">
        <v>2.0</v>
      </c>
      <c r="E1047" s="183">
        <v>49.99</v>
      </c>
      <c r="F1047" s="183">
        <f t="shared" ref="F1047:F1057" si="144">D1047*E1047</f>
        <v>99.98</v>
      </c>
      <c r="G1047" s="183">
        <f t="shared" ref="G1047:G1049" si="145">F1047</f>
        <v>99.98</v>
      </c>
      <c r="H1047" s="279" t="b">
        <v>0</v>
      </c>
      <c r="I1047" s="143" t="s">
        <v>570</v>
      </c>
      <c r="J1047" s="41" t="s">
        <v>333</v>
      </c>
      <c r="K1047" s="279" t="b">
        <v>1</v>
      </c>
      <c r="L1047" s="279" t="b">
        <v>1</v>
      </c>
    </row>
    <row r="1048" ht="14.25" hidden="1" customHeight="1" outlineLevel="1">
      <c r="A1048" s="41" t="s">
        <v>33</v>
      </c>
      <c r="B1048" s="132">
        <v>45860.0</v>
      </c>
      <c r="C1048" s="285" t="s">
        <v>61</v>
      </c>
      <c r="D1048" s="315">
        <v>1.0</v>
      </c>
      <c r="E1048" s="316">
        <v>150.0</v>
      </c>
      <c r="F1048" s="316">
        <f t="shared" si="144"/>
        <v>150</v>
      </c>
      <c r="G1048" s="316">
        <f t="shared" si="145"/>
        <v>150</v>
      </c>
      <c r="H1048" s="317" t="b">
        <v>1</v>
      </c>
      <c r="I1048" s="334" t="s">
        <v>236</v>
      </c>
      <c r="J1048" s="321" t="s">
        <v>1198</v>
      </c>
      <c r="K1048" s="317" t="b">
        <v>0</v>
      </c>
      <c r="L1048" s="279" t="b">
        <v>1</v>
      </c>
    </row>
    <row r="1049" ht="14.25" hidden="1" customHeight="1" outlineLevel="1">
      <c r="A1049" s="41" t="s">
        <v>33</v>
      </c>
      <c r="B1049" s="132">
        <v>45860.0</v>
      </c>
      <c r="C1049" s="285" t="s">
        <v>61</v>
      </c>
      <c r="D1049" s="315">
        <v>1.0</v>
      </c>
      <c r="E1049" s="316">
        <v>150.0</v>
      </c>
      <c r="F1049" s="316">
        <f t="shared" si="144"/>
        <v>150</v>
      </c>
      <c r="G1049" s="316">
        <f t="shared" si="145"/>
        <v>150</v>
      </c>
      <c r="H1049" s="317" t="b">
        <v>1</v>
      </c>
      <c r="I1049" s="143" t="s">
        <v>456</v>
      </c>
      <c r="J1049" s="321" t="s">
        <v>1199</v>
      </c>
      <c r="K1049" s="317" t="b">
        <v>0</v>
      </c>
      <c r="L1049" s="279" t="b">
        <v>1</v>
      </c>
    </row>
    <row r="1050" ht="14.25" hidden="1" customHeight="1" outlineLevel="1">
      <c r="A1050" s="131" t="s">
        <v>33</v>
      </c>
      <c r="B1050" s="132">
        <v>45860.0</v>
      </c>
      <c r="C1050" s="41" t="s">
        <v>112</v>
      </c>
      <c r="D1050" s="182">
        <v>1.0</v>
      </c>
      <c r="E1050" s="183">
        <v>29.99</v>
      </c>
      <c r="F1050" s="183">
        <f t="shared" si="144"/>
        <v>29.99</v>
      </c>
      <c r="G1050" s="196">
        <f>SUM(F1050:F1051)</f>
        <v>68.96</v>
      </c>
      <c r="H1050" s="278" t="b">
        <v>0</v>
      </c>
      <c r="I1050" s="164" t="s">
        <v>117</v>
      </c>
      <c r="J1050" s="41" t="s">
        <v>1351</v>
      </c>
      <c r="K1050" s="278" t="b">
        <v>1</v>
      </c>
      <c r="L1050" s="278" t="b">
        <v>1</v>
      </c>
    </row>
    <row r="1051" ht="14.25" hidden="1" customHeight="1" outlineLevel="1">
      <c r="A1051" s="131" t="s">
        <v>33</v>
      </c>
      <c r="B1051" s="132">
        <v>45860.0</v>
      </c>
      <c r="C1051" s="41" t="s">
        <v>112</v>
      </c>
      <c r="D1051" s="182">
        <v>3.0</v>
      </c>
      <c r="E1051" s="183">
        <v>12.99</v>
      </c>
      <c r="F1051" s="183">
        <f t="shared" si="144"/>
        <v>38.97</v>
      </c>
      <c r="G1051" s="10"/>
      <c r="H1051" s="10"/>
      <c r="I1051" s="74"/>
      <c r="J1051" s="41" t="s">
        <v>84</v>
      </c>
      <c r="K1051" s="10"/>
      <c r="L1051" s="10"/>
    </row>
    <row r="1052" ht="14.25" hidden="1" customHeight="1" outlineLevel="1">
      <c r="A1052" s="131" t="s">
        <v>33</v>
      </c>
      <c r="B1052" s="132">
        <v>45861.0</v>
      </c>
      <c r="C1052" s="41" t="s">
        <v>75</v>
      </c>
      <c r="D1052" s="182">
        <v>1.0</v>
      </c>
      <c r="E1052" s="183">
        <v>31.2</v>
      </c>
      <c r="F1052" s="183">
        <f t="shared" si="144"/>
        <v>31.2</v>
      </c>
      <c r="G1052" s="340">
        <f>SUM(F1052:F1053)</f>
        <v>62.8</v>
      </c>
      <c r="H1052" s="278" t="b">
        <v>0</v>
      </c>
      <c r="I1052" s="164" t="s">
        <v>225</v>
      </c>
      <c r="J1052" s="41" t="s">
        <v>1162</v>
      </c>
      <c r="K1052" s="278" t="b">
        <v>1</v>
      </c>
      <c r="L1052" s="278" t="b">
        <v>1</v>
      </c>
    </row>
    <row r="1053" ht="14.25" hidden="1" customHeight="1" outlineLevel="1">
      <c r="A1053" s="131" t="s">
        <v>33</v>
      </c>
      <c r="B1053" s="132">
        <v>45861.0</v>
      </c>
      <c r="C1053" s="41" t="s">
        <v>75</v>
      </c>
      <c r="D1053" s="182">
        <v>1.0</v>
      </c>
      <c r="E1053" s="183">
        <v>31.6</v>
      </c>
      <c r="F1053" s="183">
        <f t="shared" si="144"/>
        <v>31.6</v>
      </c>
      <c r="G1053" s="10"/>
      <c r="H1053" s="10"/>
      <c r="I1053" s="74"/>
      <c r="J1053" s="41" t="s">
        <v>1160</v>
      </c>
      <c r="K1053" s="10"/>
      <c r="L1053" s="10"/>
    </row>
    <row r="1054" ht="14.25" hidden="1" customHeight="1" outlineLevel="1">
      <c r="A1054" s="41" t="s">
        <v>33</v>
      </c>
      <c r="B1054" s="132">
        <v>45861.0</v>
      </c>
      <c r="C1054" s="285" t="s">
        <v>61</v>
      </c>
      <c r="D1054" s="315">
        <v>1.0</v>
      </c>
      <c r="E1054" s="316">
        <v>150.0</v>
      </c>
      <c r="F1054" s="316">
        <f t="shared" si="144"/>
        <v>150</v>
      </c>
      <c r="G1054" s="316">
        <f t="shared" ref="G1054:G1057" si="146">F1054</f>
        <v>150</v>
      </c>
      <c r="H1054" s="317" t="b">
        <v>1</v>
      </c>
      <c r="I1054" s="143" t="s">
        <v>456</v>
      </c>
      <c r="J1054" s="321" t="s">
        <v>1204</v>
      </c>
      <c r="K1054" s="317" t="b">
        <v>0</v>
      </c>
      <c r="L1054" s="279" t="b">
        <v>1</v>
      </c>
    </row>
    <row r="1055" ht="14.25" hidden="1" customHeight="1" outlineLevel="1">
      <c r="A1055" s="41" t="s">
        <v>33</v>
      </c>
      <c r="B1055" s="132">
        <v>45862.0</v>
      </c>
      <c r="C1055" s="285" t="s">
        <v>61</v>
      </c>
      <c r="D1055" s="315">
        <v>1.0</v>
      </c>
      <c r="E1055" s="316">
        <v>150.0</v>
      </c>
      <c r="F1055" s="316">
        <f t="shared" si="144"/>
        <v>150</v>
      </c>
      <c r="G1055" s="316">
        <f t="shared" si="146"/>
        <v>150</v>
      </c>
      <c r="H1055" s="317" t="b">
        <v>1</v>
      </c>
      <c r="I1055" s="143" t="s">
        <v>980</v>
      </c>
      <c r="J1055" s="321" t="s">
        <v>1181</v>
      </c>
      <c r="K1055" s="317" t="b">
        <v>0</v>
      </c>
      <c r="L1055" s="279" t="b">
        <v>1</v>
      </c>
    </row>
    <row r="1056" ht="14.25" hidden="1" customHeight="1" outlineLevel="1">
      <c r="A1056" s="41" t="s">
        <v>33</v>
      </c>
      <c r="B1056" s="132">
        <v>45863.0</v>
      </c>
      <c r="C1056" s="285" t="s">
        <v>61</v>
      </c>
      <c r="D1056" s="315">
        <v>1.0</v>
      </c>
      <c r="E1056" s="316">
        <v>150.0</v>
      </c>
      <c r="F1056" s="316">
        <f t="shared" si="144"/>
        <v>150</v>
      </c>
      <c r="G1056" s="316">
        <f t="shared" si="146"/>
        <v>150</v>
      </c>
      <c r="H1056" s="317" t="b">
        <v>1</v>
      </c>
      <c r="I1056" s="334" t="s">
        <v>236</v>
      </c>
      <c r="J1056" s="321" t="s">
        <v>1184</v>
      </c>
      <c r="K1056" s="317" t="b">
        <v>0</v>
      </c>
      <c r="L1056" s="279" t="b">
        <v>1</v>
      </c>
    </row>
    <row r="1057" ht="14.25" hidden="1" customHeight="1" outlineLevel="1">
      <c r="A1057" s="41" t="s">
        <v>33</v>
      </c>
      <c r="B1057" s="132">
        <v>45863.0</v>
      </c>
      <c r="C1057" s="285" t="s">
        <v>61</v>
      </c>
      <c r="D1057" s="315">
        <v>1.0</v>
      </c>
      <c r="E1057" s="316">
        <v>150.0</v>
      </c>
      <c r="F1057" s="316">
        <f t="shared" si="144"/>
        <v>150</v>
      </c>
      <c r="G1057" s="316">
        <f t="shared" si="146"/>
        <v>150</v>
      </c>
      <c r="H1057" s="317" t="b">
        <v>1</v>
      </c>
      <c r="I1057" s="143" t="s">
        <v>1062</v>
      </c>
      <c r="J1057" s="321" t="s">
        <v>1213</v>
      </c>
      <c r="K1057" s="317" t="b">
        <v>0</v>
      </c>
      <c r="L1057" s="279" t="b">
        <v>1</v>
      </c>
    </row>
    <row r="1058" ht="14.25" hidden="1" customHeight="1" outlineLevel="1">
      <c r="A1058" s="41" t="s">
        <v>33</v>
      </c>
      <c r="B1058" s="132">
        <v>45865.0</v>
      </c>
      <c r="C1058" s="41" t="s">
        <v>61</v>
      </c>
      <c r="D1058" s="182">
        <v>1.0</v>
      </c>
      <c r="E1058" s="316">
        <v>200.0</v>
      </c>
      <c r="F1058" s="316">
        <v>200.0</v>
      </c>
      <c r="G1058" s="316">
        <v>200.0</v>
      </c>
      <c r="H1058" s="317" t="b">
        <v>1</v>
      </c>
      <c r="I1058" s="318" t="s">
        <v>490</v>
      </c>
      <c r="J1058" s="321" t="s">
        <v>1192</v>
      </c>
      <c r="K1058" s="279" t="b">
        <v>0</v>
      </c>
      <c r="L1058" s="279" t="b">
        <v>1</v>
      </c>
    </row>
    <row r="1059" ht="14.25" hidden="1" customHeight="1" outlineLevel="1">
      <c r="A1059" s="41" t="s">
        <v>33</v>
      </c>
      <c r="B1059" s="132">
        <v>45865.0</v>
      </c>
      <c r="C1059" s="41" t="s">
        <v>61</v>
      </c>
      <c r="D1059" s="182">
        <v>1.0</v>
      </c>
      <c r="E1059" s="183">
        <v>200.0</v>
      </c>
      <c r="F1059" s="183">
        <v>200.0</v>
      </c>
      <c r="G1059" s="183">
        <v>200.0</v>
      </c>
      <c r="H1059" s="279" t="b">
        <v>1</v>
      </c>
      <c r="I1059" s="143" t="s">
        <v>1185</v>
      </c>
      <c r="J1059" s="41" t="s">
        <v>1193</v>
      </c>
      <c r="K1059" s="279" t="b">
        <v>0</v>
      </c>
      <c r="L1059" s="279" t="b">
        <v>1</v>
      </c>
    </row>
    <row r="1060" ht="14.25" hidden="1" customHeight="1" outlineLevel="1">
      <c r="A1060" s="41" t="s">
        <v>33</v>
      </c>
      <c r="B1060" s="132">
        <v>45865.0</v>
      </c>
      <c r="C1060" s="41" t="s">
        <v>61</v>
      </c>
      <c r="D1060" s="182">
        <v>1.0</v>
      </c>
      <c r="E1060" s="183">
        <v>200.0</v>
      </c>
      <c r="F1060" s="183">
        <v>200.0</v>
      </c>
      <c r="G1060" s="183">
        <v>200.0</v>
      </c>
      <c r="H1060" s="279" t="b">
        <v>1</v>
      </c>
      <c r="I1060" s="143" t="s">
        <v>342</v>
      </c>
      <c r="J1060" s="41" t="s">
        <v>1195</v>
      </c>
      <c r="K1060" s="279" t="b">
        <v>0</v>
      </c>
      <c r="L1060" s="279" t="b">
        <v>1</v>
      </c>
    </row>
    <row r="1061" ht="14.25" hidden="1" customHeight="1" outlineLevel="1">
      <c r="A1061" s="131" t="s">
        <v>33</v>
      </c>
      <c r="B1061" s="132">
        <v>45866.0</v>
      </c>
      <c r="C1061" s="41" t="s">
        <v>69</v>
      </c>
      <c r="D1061" s="182">
        <v>2.0</v>
      </c>
      <c r="E1061" s="183">
        <v>5.99</v>
      </c>
      <c r="F1061" s="183">
        <f t="shared" ref="F1061:F1062" si="147">D1061*E1061</f>
        <v>11.98</v>
      </c>
      <c r="G1061" s="196">
        <f>SUM(F1061:F1062)</f>
        <v>21.97</v>
      </c>
      <c r="H1061" s="278" t="b">
        <v>0</v>
      </c>
      <c r="I1061" s="164" t="s">
        <v>117</v>
      </c>
      <c r="J1061" s="41" t="s">
        <v>69</v>
      </c>
      <c r="K1061" s="278" t="b">
        <v>1</v>
      </c>
      <c r="L1061" s="278" t="b">
        <v>1</v>
      </c>
    </row>
    <row r="1062" ht="14.25" hidden="1" customHeight="1" outlineLevel="1">
      <c r="A1062" s="131" t="s">
        <v>33</v>
      </c>
      <c r="B1062" s="132">
        <v>45866.0</v>
      </c>
      <c r="C1062" s="41" t="s">
        <v>112</v>
      </c>
      <c r="D1062" s="182">
        <v>1.0</v>
      </c>
      <c r="E1062" s="183">
        <v>9.99</v>
      </c>
      <c r="F1062" s="183">
        <f t="shared" si="147"/>
        <v>9.99</v>
      </c>
      <c r="G1062" s="10"/>
      <c r="H1062" s="10"/>
      <c r="I1062" s="74"/>
      <c r="J1062" s="41" t="s">
        <v>1256</v>
      </c>
      <c r="K1062" s="10"/>
      <c r="L1062" s="10"/>
    </row>
    <row r="1063" ht="14.25" hidden="1" customHeight="1" outlineLevel="1">
      <c r="A1063" s="41" t="s">
        <v>33</v>
      </c>
      <c r="B1063" s="132">
        <v>45866.0</v>
      </c>
      <c r="C1063" s="41" t="s">
        <v>61</v>
      </c>
      <c r="D1063" s="182">
        <v>1.0</v>
      </c>
      <c r="E1063" s="183">
        <v>150.0</v>
      </c>
      <c r="F1063" s="183">
        <v>150.0</v>
      </c>
      <c r="G1063" s="183">
        <v>150.0</v>
      </c>
      <c r="H1063" s="279" t="b">
        <v>1</v>
      </c>
      <c r="I1063" s="143" t="s">
        <v>456</v>
      </c>
      <c r="J1063" s="41" t="s">
        <v>1322</v>
      </c>
      <c r="K1063" s="279" t="b">
        <v>0</v>
      </c>
      <c r="L1063" s="279" t="b">
        <v>1</v>
      </c>
    </row>
    <row r="1064" ht="14.25" hidden="1" customHeight="1" outlineLevel="1">
      <c r="A1064" s="41" t="s">
        <v>33</v>
      </c>
      <c r="B1064" s="132">
        <v>45867.0</v>
      </c>
      <c r="C1064" s="285" t="s">
        <v>61</v>
      </c>
      <c r="D1064" s="315">
        <v>1.0</v>
      </c>
      <c r="E1064" s="316">
        <v>150.0</v>
      </c>
      <c r="F1064" s="316">
        <f t="shared" ref="F1064:F1065" si="148">D1064*E1064</f>
        <v>150</v>
      </c>
      <c r="G1064" s="316">
        <f t="shared" ref="G1064:G1065" si="149">F1064</f>
        <v>150</v>
      </c>
      <c r="H1064" s="317" t="b">
        <v>1</v>
      </c>
      <c r="I1064" s="334" t="s">
        <v>236</v>
      </c>
      <c r="J1064" s="321" t="s">
        <v>1198</v>
      </c>
      <c r="K1064" s="317" t="b">
        <v>0</v>
      </c>
      <c r="L1064" s="279" t="b">
        <v>1</v>
      </c>
    </row>
    <row r="1065" ht="14.25" hidden="1" customHeight="1" outlineLevel="1">
      <c r="A1065" s="41" t="s">
        <v>33</v>
      </c>
      <c r="B1065" s="132">
        <v>45867.0</v>
      </c>
      <c r="C1065" s="285" t="s">
        <v>61</v>
      </c>
      <c r="D1065" s="315">
        <v>1.0</v>
      </c>
      <c r="E1065" s="316">
        <v>150.0</v>
      </c>
      <c r="F1065" s="316">
        <f t="shared" si="148"/>
        <v>150</v>
      </c>
      <c r="G1065" s="316">
        <f t="shared" si="149"/>
        <v>150</v>
      </c>
      <c r="H1065" s="317" t="b">
        <v>1</v>
      </c>
      <c r="I1065" s="143" t="s">
        <v>456</v>
      </c>
      <c r="J1065" s="321" t="s">
        <v>1199</v>
      </c>
      <c r="K1065" s="317" t="b">
        <v>0</v>
      </c>
      <c r="L1065" s="279" t="b">
        <v>1</v>
      </c>
    </row>
    <row r="1066" ht="14.25" hidden="1" customHeight="1" outlineLevel="1">
      <c r="A1066" s="41" t="s">
        <v>33</v>
      </c>
      <c r="B1066" s="132">
        <v>45867.0</v>
      </c>
      <c r="C1066" s="41" t="s">
        <v>159</v>
      </c>
      <c r="D1066" s="182">
        <v>1.0</v>
      </c>
      <c r="E1066" s="183">
        <v>114.0</v>
      </c>
      <c r="F1066" s="183">
        <v>114.0</v>
      </c>
      <c r="G1066" s="295">
        <v>114.0</v>
      </c>
      <c r="H1066" s="279" t="b">
        <v>0</v>
      </c>
      <c r="I1066" s="143" t="s">
        <v>1366</v>
      </c>
      <c r="J1066" s="41"/>
      <c r="K1066" s="279" t="b">
        <v>0</v>
      </c>
      <c r="L1066" s="279" t="b">
        <v>1</v>
      </c>
    </row>
    <row r="1067" ht="14.25" hidden="1" customHeight="1" outlineLevel="1">
      <c r="A1067" s="41" t="s">
        <v>33</v>
      </c>
      <c r="B1067" s="132">
        <v>45867.0</v>
      </c>
      <c r="C1067" s="41" t="s">
        <v>61</v>
      </c>
      <c r="D1067" s="182">
        <v>1.0</v>
      </c>
      <c r="E1067" s="183">
        <v>3900.0</v>
      </c>
      <c r="F1067" s="183">
        <f t="shared" ref="F1067:F1068" si="150">D1067*E1067</f>
        <v>3900</v>
      </c>
      <c r="G1067" s="183">
        <f t="shared" ref="G1067:G1068" si="151">F1067</f>
        <v>3900</v>
      </c>
      <c r="H1067" s="279" t="b">
        <v>1</v>
      </c>
      <c r="I1067" s="143" t="s">
        <v>119</v>
      </c>
      <c r="J1067" s="41" t="s">
        <v>1367</v>
      </c>
      <c r="K1067" s="279" t="b">
        <v>0</v>
      </c>
      <c r="L1067" s="279" t="b">
        <v>1</v>
      </c>
    </row>
    <row r="1068" ht="14.25" hidden="1" customHeight="1" outlineLevel="1">
      <c r="A1068" s="41" t="s">
        <v>33</v>
      </c>
      <c r="B1068" s="132">
        <v>45868.0</v>
      </c>
      <c r="C1068" s="285" t="s">
        <v>61</v>
      </c>
      <c r="D1068" s="315">
        <v>1.0</v>
      </c>
      <c r="E1068" s="316">
        <v>150.0</v>
      </c>
      <c r="F1068" s="316">
        <f t="shared" si="150"/>
        <v>150</v>
      </c>
      <c r="G1068" s="316">
        <f t="shared" si="151"/>
        <v>150</v>
      </c>
      <c r="H1068" s="317" t="b">
        <v>1</v>
      </c>
      <c r="I1068" s="143" t="s">
        <v>456</v>
      </c>
      <c r="J1068" s="321" t="s">
        <v>1204</v>
      </c>
      <c r="K1068" s="317" t="b">
        <v>0</v>
      </c>
      <c r="L1068" s="279" t="b">
        <v>1</v>
      </c>
    </row>
    <row r="1069" ht="14.25" hidden="1" customHeight="1" outlineLevel="1">
      <c r="A1069" s="41" t="s">
        <v>33</v>
      </c>
      <c r="B1069" s="132">
        <v>45868.0</v>
      </c>
      <c r="C1069" s="41" t="s">
        <v>93</v>
      </c>
      <c r="D1069" s="182">
        <v>1.0</v>
      </c>
      <c r="E1069" s="183">
        <v>113.8</v>
      </c>
      <c r="F1069" s="183">
        <v>113.8</v>
      </c>
      <c r="G1069" s="183">
        <v>113.8</v>
      </c>
      <c r="H1069" s="279" t="b">
        <v>0</v>
      </c>
      <c r="I1069" s="143" t="s">
        <v>1368</v>
      </c>
      <c r="J1069" s="41" t="s">
        <v>1369</v>
      </c>
      <c r="K1069" s="279" t="b">
        <v>1</v>
      </c>
      <c r="L1069" s="279" t="b">
        <v>1</v>
      </c>
    </row>
    <row r="1070" ht="14.25" hidden="1" customHeight="1" outlineLevel="1">
      <c r="A1070" s="41" t="s">
        <v>33</v>
      </c>
      <c r="B1070" s="132">
        <v>45869.0</v>
      </c>
      <c r="C1070" s="285" t="s">
        <v>61</v>
      </c>
      <c r="D1070" s="315">
        <v>1.0</v>
      </c>
      <c r="E1070" s="316">
        <v>150.0</v>
      </c>
      <c r="F1070" s="316">
        <f t="shared" ref="F1070:F1071" si="152">D1070*E1070</f>
        <v>150</v>
      </c>
      <c r="G1070" s="316">
        <f t="shared" ref="G1070:G1071" si="153">F1070</f>
        <v>150</v>
      </c>
      <c r="H1070" s="317" t="b">
        <v>1</v>
      </c>
      <c r="I1070" s="143" t="s">
        <v>980</v>
      </c>
      <c r="J1070" s="321" t="s">
        <v>1181</v>
      </c>
      <c r="K1070" s="317" t="b">
        <v>0</v>
      </c>
      <c r="L1070" s="279" t="b">
        <v>1</v>
      </c>
    </row>
    <row r="1071" ht="14.25" hidden="1" customHeight="1" outlineLevel="1">
      <c r="A1071" s="41" t="s">
        <v>33</v>
      </c>
      <c r="B1071" s="132">
        <v>45869.0</v>
      </c>
      <c r="C1071" s="41" t="s">
        <v>231</v>
      </c>
      <c r="D1071" s="182">
        <v>1.0</v>
      </c>
      <c r="E1071" s="183">
        <v>20.9</v>
      </c>
      <c r="F1071" s="183">
        <f t="shared" si="152"/>
        <v>20.9</v>
      </c>
      <c r="G1071" s="183">
        <f t="shared" si="153"/>
        <v>20.9</v>
      </c>
      <c r="H1071" s="279" t="b">
        <v>0</v>
      </c>
      <c r="I1071" s="143" t="s">
        <v>1372</v>
      </c>
      <c r="J1071" s="41" t="s">
        <v>1373</v>
      </c>
      <c r="K1071" s="279" t="b">
        <v>1</v>
      </c>
      <c r="L1071" s="279" t="b">
        <v>1</v>
      </c>
    </row>
    <row r="1072" ht="14.25" hidden="1" customHeight="1" outlineLevel="1">
      <c r="A1072" s="131" t="s">
        <v>33</v>
      </c>
      <c r="B1072" s="132">
        <v>45869.0</v>
      </c>
      <c r="C1072" s="41" t="s">
        <v>93</v>
      </c>
      <c r="D1072" s="182">
        <v>1.0</v>
      </c>
      <c r="E1072" s="183">
        <v>210.0</v>
      </c>
      <c r="F1072" s="183">
        <v>210.0</v>
      </c>
      <c r="G1072" s="183">
        <v>210.0</v>
      </c>
      <c r="H1072" s="279" t="b">
        <v>0</v>
      </c>
      <c r="I1072" s="143" t="s">
        <v>1368</v>
      </c>
      <c r="J1072" s="41" t="s">
        <v>1376</v>
      </c>
      <c r="K1072" s="279" t="b">
        <v>1</v>
      </c>
      <c r="L1072" s="279" t="b">
        <v>1</v>
      </c>
    </row>
    <row r="1073" ht="14.25" hidden="1" customHeight="1" outlineLevel="1">
      <c r="A1073" s="131" t="s">
        <v>33</v>
      </c>
      <c r="B1073" s="132">
        <v>45839.0</v>
      </c>
      <c r="C1073" s="41"/>
      <c r="D1073" s="182"/>
      <c r="E1073" s="183"/>
      <c r="F1073" s="183"/>
      <c r="G1073" s="183"/>
      <c r="H1073" s="279" t="b">
        <v>0</v>
      </c>
      <c r="I1073" s="143"/>
      <c r="J1073" s="41"/>
      <c r="K1073" s="279" t="b">
        <v>0</v>
      </c>
      <c r="L1073" s="279" t="b">
        <v>0</v>
      </c>
    </row>
    <row r="1074" ht="14.25" customHeight="1">
      <c r="A1074" s="180" t="s">
        <v>192</v>
      </c>
      <c r="B1074" s="27"/>
      <c r="C1074" s="27"/>
      <c r="D1074" s="27"/>
      <c r="E1074" s="28"/>
      <c r="F1074" s="181">
        <f t="shared" ref="F1074:G1074" si="154">SUM(F1003:F1073)</f>
        <v>13318.58</v>
      </c>
      <c r="G1074" s="181">
        <f t="shared" si="154"/>
        <v>13318.58</v>
      </c>
    </row>
    <row r="1075" ht="14.25" customHeight="1" collapsed="1">
      <c r="A1075" s="245" t="s">
        <v>1177</v>
      </c>
      <c r="B1075" s="246"/>
      <c r="C1075" s="246"/>
      <c r="D1075" s="246"/>
      <c r="E1075" s="246"/>
      <c r="F1075" s="246"/>
      <c r="G1075" s="246"/>
      <c r="H1075" s="246"/>
      <c r="I1075" s="246"/>
      <c r="J1075" s="247"/>
    </row>
    <row r="1076" ht="14.25" hidden="1" customHeight="1" outlineLevel="1">
      <c r="A1076" s="344">
        <v>45870.0</v>
      </c>
      <c r="B1076" s="132">
        <v>45870.0</v>
      </c>
      <c r="C1076" s="285" t="s">
        <v>61</v>
      </c>
      <c r="D1076" s="315">
        <v>1.0</v>
      </c>
      <c r="E1076" s="316">
        <v>150.0</v>
      </c>
      <c r="F1076" s="316">
        <f t="shared" ref="F1076:F1077" si="155">D1076*E1076</f>
        <v>150</v>
      </c>
      <c r="G1076" s="316">
        <f t="shared" ref="G1076:G1077" si="156">F1076</f>
        <v>150</v>
      </c>
      <c r="H1076" s="317" t="b">
        <v>1</v>
      </c>
      <c r="I1076" s="334" t="s">
        <v>236</v>
      </c>
      <c r="J1076" s="321" t="s">
        <v>1184</v>
      </c>
      <c r="K1076" s="317" t="b">
        <v>0</v>
      </c>
      <c r="L1076" s="279" t="b">
        <v>1</v>
      </c>
    </row>
    <row r="1077" ht="14.25" hidden="1" customHeight="1" outlineLevel="1">
      <c r="A1077" s="344">
        <v>45870.0</v>
      </c>
      <c r="B1077" s="132">
        <v>45870.0</v>
      </c>
      <c r="C1077" s="285" t="s">
        <v>61</v>
      </c>
      <c r="D1077" s="315">
        <v>1.0</v>
      </c>
      <c r="E1077" s="316">
        <v>150.0</v>
      </c>
      <c r="F1077" s="316">
        <f t="shared" si="155"/>
        <v>150</v>
      </c>
      <c r="G1077" s="316">
        <f t="shared" si="156"/>
        <v>150</v>
      </c>
      <c r="H1077" s="317" t="b">
        <v>1</v>
      </c>
      <c r="I1077" s="143" t="s">
        <v>1062</v>
      </c>
      <c r="J1077" s="321" t="s">
        <v>1213</v>
      </c>
      <c r="K1077" s="317" t="b">
        <v>0</v>
      </c>
      <c r="L1077" s="279" t="b">
        <v>1</v>
      </c>
    </row>
    <row r="1078" ht="14.25" hidden="1" customHeight="1" outlineLevel="1">
      <c r="A1078" s="344">
        <v>45870.0</v>
      </c>
      <c r="B1078" s="132">
        <v>45872.0</v>
      </c>
      <c r="C1078" s="41" t="s">
        <v>61</v>
      </c>
      <c r="D1078" s="182">
        <v>1.0</v>
      </c>
      <c r="E1078" s="316">
        <v>200.0</v>
      </c>
      <c r="F1078" s="316">
        <v>200.0</v>
      </c>
      <c r="G1078" s="316">
        <v>200.0</v>
      </c>
      <c r="H1078" s="317" t="b">
        <v>1</v>
      </c>
      <c r="I1078" s="318" t="s">
        <v>490</v>
      </c>
      <c r="J1078" s="321" t="s">
        <v>1192</v>
      </c>
      <c r="K1078" s="279" t="b">
        <v>0</v>
      </c>
      <c r="L1078" s="279" t="b">
        <v>1</v>
      </c>
    </row>
    <row r="1079" ht="14.25" hidden="1" customHeight="1" outlineLevel="1">
      <c r="A1079" s="344">
        <v>45870.0</v>
      </c>
      <c r="B1079" s="132">
        <v>45872.0</v>
      </c>
      <c r="C1079" s="41" t="s">
        <v>61</v>
      </c>
      <c r="D1079" s="182">
        <v>1.0</v>
      </c>
      <c r="E1079" s="183">
        <v>200.0</v>
      </c>
      <c r="F1079" s="183">
        <v>200.0</v>
      </c>
      <c r="G1079" s="183">
        <v>200.0</v>
      </c>
      <c r="H1079" s="279" t="b">
        <v>1</v>
      </c>
      <c r="I1079" s="143" t="s">
        <v>1185</v>
      </c>
      <c r="J1079" s="41" t="s">
        <v>1193</v>
      </c>
      <c r="K1079" s="279" t="b">
        <v>0</v>
      </c>
      <c r="L1079" s="279" t="b">
        <v>1</v>
      </c>
    </row>
    <row r="1080" ht="14.25" hidden="1" customHeight="1" outlineLevel="1">
      <c r="A1080" s="344">
        <v>45870.0</v>
      </c>
      <c r="B1080" s="132">
        <v>45872.0</v>
      </c>
      <c r="C1080" s="41" t="s">
        <v>61</v>
      </c>
      <c r="D1080" s="182">
        <v>1.0</v>
      </c>
      <c r="E1080" s="183">
        <v>200.0</v>
      </c>
      <c r="F1080" s="183">
        <v>200.0</v>
      </c>
      <c r="G1080" s="183">
        <v>200.0</v>
      </c>
      <c r="H1080" s="279" t="b">
        <v>1</v>
      </c>
      <c r="I1080" s="143" t="s">
        <v>342</v>
      </c>
      <c r="J1080" s="41" t="s">
        <v>1195</v>
      </c>
      <c r="K1080" s="279" t="b">
        <v>0</v>
      </c>
      <c r="L1080" s="279" t="b">
        <v>1</v>
      </c>
    </row>
    <row r="1081" ht="14.25" hidden="1" customHeight="1" outlineLevel="1">
      <c r="A1081" s="344">
        <v>45870.0</v>
      </c>
      <c r="B1081" s="132">
        <v>45872.0</v>
      </c>
      <c r="C1081" s="41" t="s">
        <v>97</v>
      </c>
      <c r="D1081" s="182">
        <v>1.0</v>
      </c>
      <c r="E1081" s="183">
        <v>23.0</v>
      </c>
      <c r="F1081" s="183">
        <v>23.0</v>
      </c>
      <c r="G1081" s="183">
        <v>23.0</v>
      </c>
      <c r="H1081" s="279" t="b">
        <v>0</v>
      </c>
      <c r="I1081" s="143" t="s">
        <v>1386</v>
      </c>
      <c r="J1081" s="143" t="s">
        <v>1387</v>
      </c>
      <c r="K1081" s="279" t="b">
        <v>0</v>
      </c>
      <c r="L1081" s="279" t="b">
        <v>1</v>
      </c>
    </row>
    <row r="1082" ht="14.25" hidden="1" customHeight="1" outlineLevel="1">
      <c r="A1082" s="344">
        <v>45870.0</v>
      </c>
      <c r="B1082" s="132">
        <v>45873.0</v>
      </c>
      <c r="C1082" s="41" t="s">
        <v>61</v>
      </c>
      <c r="D1082" s="182">
        <v>1.0</v>
      </c>
      <c r="E1082" s="183">
        <v>150.0</v>
      </c>
      <c r="F1082" s="183">
        <v>150.0</v>
      </c>
      <c r="G1082" s="183">
        <v>150.0</v>
      </c>
      <c r="H1082" s="279" t="b">
        <v>1</v>
      </c>
      <c r="I1082" s="143" t="s">
        <v>456</v>
      </c>
      <c r="J1082" s="41" t="s">
        <v>1322</v>
      </c>
      <c r="K1082" s="279" t="b">
        <v>0</v>
      </c>
      <c r="L1082" s="279" t="b">
        <v>1</v>
      </c>
    </row>
    <row r="1083" ht="14.25" hidden="1" customHeight="1" outlineLevel="1">
      <c r="A1083" s="344">
        <v>45870.0</v>
      </c>
      <c r="B1083" s="132">
        <v>45874.0</v>
      </c>
      <c r="C1083" s="285" t="s">
        <v>61</v>
      </c>
      <c r="D1083" s="315">
        <v>1.0</v>
      </c>
      <c r="E1083" s="316">
        <v>150.0</v>
      </c>
      <c r="F1083" s="316">
        <f t="shared" ref="F1083:F1085" si="157">D1083*E1083</f>
        <v>150</v>
      </c>
      <c r="G1083" s="316">
        <f t="shared" ref="G1083:G1085" si="158">F1083</f>
        <v>150</v>
      </c>
      <c r="H1083" s="317" t="b">
        <v>1</v>
      </c>
      <c r="I1083" s="334" t="s">
        <v>236</v>
      </c>
      <c r="J1083" s="321" t="s">
        <v>1198</v>
      </c>
      <c r="K1083" s="317" t="b">
        <v>0</v>
      </c>
      <c r="L1083" s="279" t="b">
        <v>1</v>
      </c>
    </row>
    <row r="1084" ht="14.25" hidden="1" customHeight="1" outlineLevel="1">
      <c r="A1084" s="344">
        <v>45870.0</v>
      </c>
      <c r="B1084" s="132">
        <v>45874.0</v>
      </c>
      <c r="C1084" s="285" t="s">
        <v>61</v>
      </c>
      <c r="D1084" s="315">
        <v>1.0</v>
      </c>
      <c r="E1084" s="316">
        <v>150.0</v>
      </c>
      <c r="F1084" s="316">
        <f t="shared" si="157"/>
        <v>150</v>
      </c>
      <c r="G1084" s="316">
        <f t="shared" si="158"/>
        <v>150</v>
      </c>
      <c r="H1084" s="317" t="b">
        <v>1</v>
      </c>
      <c r="I1084" s="143" t="s">
        <v>456</v>
      </c>
      <c r="J1084" s="321" t="s">
        <v>1199</v>
      </c>
      <c r="K1084" s="317" t="b">
        <v>0</v>
      </c>
      <c r="L1084" s="279" t="b">
        <v>1</v>
      </c>
    </row>
    <row r="1085" ht="14.25" hidden="1" customHeight="1" outlineLevel="1">
      <c r="A1085" s="344">
        <v>45870.0</v>
      </c>
      <c r="B1085" s="132">
        <v>45875.0</v>
      </c>
      <c r="C1085" s="285" t="s">
        <v>61</v>
      </c>
      <c r="D1085" s="315">
        <v>1.0</v>
      </c>
      <c r="E1085" s="316">
        <v>150.0</v>
      </c>
      <c r="F1085" s="316">
        <f t="shared" si="157"/>
        <v>150</v>
      </c>
      <c r="G1085" s="316">
        <f t="shared" si="158"/>
        <v>150</v>
      </c>
      <c r="H1085" s="317" t="b">
        <v>1</v>
      </c>
      <c r="I1085" s="143" t="s">
        <v>456</v>
      </c>
      <c r="J1085" s="321" t="s">
        <v>1204</v>
      </c>
      <c r="K1085" s="317" t="b">
        <v>0</v>
      </c>
      <c r="L1085" s="279" t="b">
        <v>1</v>
      </c>
    </row>
    <row r="1086" ht="14.25" hidden="1" customHeight="1" outlineLevel="1">
      <c r="A1086" s="344">
        <v>45870.0</v>
      </c>
      <c r="B1086" s="132">
        <v>45876.0</v>
      </c>
      <c r="C1086" s="41" t="s">
        <v>97</v>
      </c>
      <c r="D1086" s="182">
        <v>1.0</v>
      </c>
      <c r="E1086" s="183">
        <v>28.0</v>
      </c>
      <c r="F1086" s="183">
        <v>28.0</v>
      </c>
      <c r="G1086" s="183">
        <v>28.0</v>
      </c>
      <c r="H1086" s="279" t="b">
        <v>0</v>
      </c>
      <c r="I1086" s="143" t="s">
        <v>1392</v>
      </c>
      <c r="J1086" s="41" t="s">
        <v>1393</v>
      </c>
      <c r="K1086" s="279" t="b">
        <v>0</v>
      </c>
      <c r="L1086" s="279" t="b">
        <v>1</v>
      </c>
    </row>
    <row r="1087" ht="14.25" hidden="1" customHeight="1" outlineLevel="1">
      <c r="A1087" s="344">
        <v>45870.0</v>
      </c>
      <c r="B1087" s="132">
        <v>45876.0</v>
      </c>
      <c r="C1087" s="285" t="s">
        <v>61</v>
      </c>
      <c r="D1087" s="315">
        <v>1.0</v>
      </c>
      <c r="E1087" s="316">
        <v>150.0</v>
      </c>
      <c r="F1087" s="316">
        <f t="shared" ref="F1087:F1092" si="159">D1087*E1087</f>
        <v>150</v>
      </c>
      <c r="G1087" s="316">
        <f t="shared" ref="G1087:G1090" si="160">F1087</f>
        <v>150</v>
      </c>
      <c r="H1087" s="317" t="b">
        <v>1</v>
      </c>
      <c r="I1087" s="143" t="s">
        <v>980</v>
      </c>
      <c r="J1087" s="321" t="s">
        <v>1181</v>
      </c>
      <c r="K1087" s="317" t="b">
        <v>0</v>
      </c>
      <c r="L1087" s="279" t="b">
        <v>1</v>
      </c>
    </row>
    <row r="1088" ht="14.25" hidden="1" customHeight="1" outlineLevel="1">
      <c r="A1088" s="344">
        <v>45870.0</v>
      </c>
      <c r="B1088" s="132">
        <v>45877.0</v>
      </c>
      <c r="C1088" s="285" t="s">
        <v>61</v>
      </c>
      <c r="D1088" s="315">
        <v>1.0</v>
      </c>
      <c r="E1088" s="316">
        <v>150.0</v>
      </c>
      <c r="F1088" s="316">
        <f t="shared" si="159"/>
        <v>150</v>
      </c>
      <c r="G1088" s="316">
        <f t="shared" si="160"/>
        <v>150</v>
      </c>
      <c r="H1088" s="317" t="b">
        <v>1</v>
      </c>
      <c r="I1088" s="334" t="s">
        <v>236</v>
      </c>
      <c r="J1088" s="321" t="s">
        <v>1184</v>
      </c>
      <c r="K1088" s="317" t="b">
        <v>0</v>
      </c>
      <c r="L1088" s="279" t="b">
        <v>1</v>
      </c>
    </row>
    <row r="1089" ht="14.25" hidden="1" customHeight="1" outlineLevel="1">
      <c r="A1089" s="344">
        <v>45870.0</v>
      </c>
      <c r="B1089" s="132">
        <v>45877.0</v>
      </c>
      <c r="C1089" s="285" t="s">
        <v>61</v>
      </c>
      <c r="D1089" s="315">
        <v>1.0</v>
      </c>
      <c r="E1089" s="316">
        <v>150.0</v>
      </c>
      <c r="F1089" s="316">
        <f t="shared" si="159"/>
        <v>150</v>
      </c>
      <c r="G1089" s="316">
        <f t="shared" si="160"/>
        <v>150</v>
      </c>
      <c r="H1089" s="317" t="b">
        <v>1</v>
      </c>
      <c r="I1089" s="143" t="s">
        <v>1062</v>
      </c>
      <c r="J1089" s="321" t="s">
        <v>1213</v>
      </c>
      <c r="K1089" s="317" t="b">
        <v>0</v>
      </c>
      <c r="L1089" s="279" t="b">
        <v>1</v>
      </c>
    </row>
    <row r="1090" ht="14.25" hidden="1" customHeight="1" outlineLevel="1">
      <c r="A1090" s="344">
        <v>45870.0</v>
      </c>
      <c r="B1090" s="132">
        <v>45877.0</v>
      </c>
      <c r="C1090" s="41" t="s">
        <v>80</v>
      </c>
      <c r="D1090" s="182">
        <v>2.0</v>
      </c>
      <c r="E1090" s="183">
        <v>15.0</v>
      </c>
      <c r="F1090" s="183">
        <f t="shared" si="159"/>
        <v>30</v>
      </c>
      <c r="G1090" s="183">
        <f t="shared" si="160"/>
        <v>30</v>
      </c>
      <c r="H1090" s="279" t="b">
        <v>0</v>
      </c>
      <c r="I1090" s="143" t="s">
        <v>481</v>
      </c>
      <c r="J1090" s="41" t="s">
        <v>1013</v>
      </c>
      <c r="K1090" s="279" t="b">
        <v>1</v>
      </c>
      <c r="L1090" s="279" t="b">
        <v>1</v>
      </c>
    </row>
    <row r="1091" ht="14.25" hidden="1" customHeight="1" outlineLevel="1">
      <c r="A1091" s="344">
        <v>45870.0</v>
      </c>
      <c r="B1091" s="132">
        <v>45878.0</v>
      </c>
      <c r="C1091" s="41" t="s">
        <v>55</v>
      </c>
      <c r="D1091" s="182">
        <v>1.0</v>
      </c>
      <c r="E1091" s="183">
        <v>5.4</v>
      </c>
      <c r="F1091" s="183">
        <f t="shared" si="159"/>
        <v>5.4</v>
      </c>
      <c r="G1091" s="196">
        <f>SUM(F1091:F1092)</f>
        <v>22</v>
      </c>
      <c r="H1091" s="278" t="b">
        <v>0</v>
      </c>
      <c r="I1091" s="164" t="s">
        <v>254</v>
      </c>
      <c r="J1091" s="41" t="s">
        <v>1398</v>
      </c>
      <c r="K1091" s="278" t="b">
        <v>1</v>
      </c>
      <c r="L1091" s="278" t="b">
        <v>1</v>
      </c>
    </row>
    <row r="1092" ht="14.25" hidden="1" customHeight="1" outlineLevel="1">
      <c r="A1092" s="344">
        <v>45870.0</v>
      </c>
      <c r="B1092" s="132">
        <v>45878.0</v>
      </c>
      <c r="C1092" s="41" t="s">
        <v>55</v>
      </c>
      <c r="D1092" s="182">
        <v>2.0</v>
      </c>
      <c r="E1092" s="182">
        <v>8.3</v>
      </c>
      <c r="F1092" s="183">
        <f t="shared" si="159"/>
        <v>16.6</v>
      </c>
      <c r="G1092" s="10"/>
      <c r="H1092" s="10"/>
      <c r="I1092" s="74"/>
      <c r="J1092" s="41" t="s">
        <v>1400</v>
      </c>
      <c r="K1092" s="10"/>
      <c r="L1092" s="10"/>
    </row>
    <row r="1093" ht="14.25" hidden="1" customHeight="1" outlineLevel="1">
      <c r="A1093" s="344">
        <v>45870.0</v>
      </c>
      <c r="B1093" s="132">
        <v>45878.0</v>
      </c>
      <c r="C1093" s="41" t="s">
        <v>171</v>
      </c>
      <c r="D1093" s="182">
        <v>1.0</v>
      </c>
      <c r="E1093" s="183">
        <v>57.0</v>
      </c>
      <c r="F1093" s="183">
        <v>57.0</v>
      </c>
      <c r="G1093" s="183">
        <v>57.0</v>
      </c>
      <c r="H1093" s="279" t="b">
        <v>0</v>
      </c>
      <c r="I1093" s="143" t="s">
        <v>172</v>
      </c>
      <c r="J1093" s="41" t="s">
        <v>898</v>
      </c>
      <c r="K1093" s="279" t="b">
        <v>1</v>
      </c>
      <c r="L1093" s="279" t="b">
        <v>1</v>
      </c>
    </row>
    <row r="1094" ht="14.25" hidden="1" customHeight="1" outlineLevel="1">
      <c r="A1094" s="344">
        <v>45870.0</v>
      </c>
      <c r="B1094" s="132">
        <v>45878.0</v>
      </c>
      <c r="C1094" s="41" t="s">
        <v>171</v>
      </c>
      <c r="D1094" s="182">
        <v>1.0</v>
      </c>
      <c r="E1094" s="183">
        <v>20.0</v>
      </c>
      <c r="F1094" s="183">
        <v>20.0</v>
      </c>
      <c r="G1094" s="295">
        <v>20.0</v>
      </c>
      <c r="H1094" s="279" t="b">
        <v>0</v>
      </c>
      <c r="I1094" s="143" t="s">
        <v>1401</v>
      </c>
      <c r="J1094" s="41" t="s">
        <v>1402</v>
      </c>
      <c r="K1094" s="279" t="b">
        <v>0</v>
      </c>
      <c r="L1094" s="279" t="b">
        <v>1</v>
      </c>
    </row>
    <row r="1095" ht="14.25" hidden="1" customHeight="1" outlineLevel="1">
      <c r="A1095" s="344">
        <v>45870.0</v>
      </c>
      <c r="B1095" s="132">
        <v>45879.0</v>
      </c>
      <c r="C1095" s="41" t="s">
        <v>61</v>
      </c>
      <c r="D1095" s="182">
        <v>1.0</v>
      </c>
      <c r="E1095" s="316">
        <v>200.0</v>
      </c>
      <c r="F1095" s="316">
        <v>200.0</v>
      </c>
      <c r="G1095" s="316">
        <v>200.0</v>
      </c>
      <c r="H1095" s="317" t="b">
        <v>1</v>
      </c>
      <c r="I1095" s="318" t="s">
        <v>490</v>
      </c>
      <c r="J1095" s="321" t="s">
        <v>1192</v>
      </c>
      <c r="K1095" s="279" t="b">
        <v>0</v>
      </c>
      <c r="L1095" s="279" t="b">
        <v>1</v>
      </c>
    </row>
    <row r="1096" ht="14.25" hidden="1" customHeight="1" outlineLevel="1">
      <c r="A1096" s="344">
        <v>45870.0</v>
      </c>
      <c r="B1096" s="132">
        <v>45879.0</v>
      </c>
      <c r="C1096" s="41" t="s">
        <v>61</v>
      </c>
      <c r="D1096" s="182">
        <v>1.0</v>
      </c>
      <c r="E1096" s="183">
        <v>200.0</v>
      </c>
      <c r="F1096" s="183">
        <v>200.0</v>
      </c>
      <c r="G1096" s="183">
        <v>200.0</v>
      </c>
      <c r="H1096" s="279" t="b">
        <v>1</v>
      </c>
      <c r="I1096" s="143" t="s">
        <v>980</v>
      </c>
      <c r="J1096" s="41" t="s">
        <v>1193</v>
      </c>
      <c r="K1096" s="279" t="b">
        <v>0</v>
      </c>
      <c r="L1096" s="279" t="b">
        <v>1</v>
      </c>
    </row>
    <row r="1097" ht="14.25" hidden="1" customHeight="1" outlineLevel="1">
      <c r="A1097" s="344">
        <v>45870.0</v>
      </c>
      <c r="B1097" s="132">
        <v>45879.0</v>
      </c>
      <c r="C1097" s="41" t="s">
        <v>61</v>
      </c>
      <c r="D1097" s="182">
        <v>1.0</v>
      </c>
      <c r="E1097" s="183">
        <v>200.0</v>
      </c>
      <c r="F1097" s="183">
        <v>200.0</v>
      </c>
      <c r="G1097" s="183">
        <v>200.0</v>
      </c>
      <c r="H1097" s="279" t="b">
        <v>1</v>
      </c>
      <c r="I1097" s="143" t="s">
        <v>342</v>
      </c>
      <c r="J1097" s="41" t="s">
        <v>1195</v>
      </c>
      <c r="K1097" s="279" t="b">
        <v>0</v>
      </c>
      <c r="L1097" s="279" t="b">
        <v>1</v>
      </c>
    </row>
    <row r="1098" ht="14.25" hidden="1" customHeight="1" outlineLevel="1">
      <c r="A1098" s="344">
        <v>45870.0</v>
      </c>
      <c r="B1098" s="132">
        <v>45880.0</v>
      </c>
      <c r="C1098" s="41" t="s">
        <v>61</v>
      </c>
      <c r="D1098" s="182">
        <v>1.0</v>
      </c>
      <c r="E1098" s="183">
        <v>150.0</v>
      </c>
      <c r="F1098" s="183">
        <v>150.0</v>
      </c>
      <c r="G1098" s="183">
        <v>150.0</v>
      </c>
      <c r="H1098" s="279" t="b">
        <v>1</v>
      </c>
      <c r="I1098" s="143" t="s">
        <v>456</v>
      </c>
      <c r="J1098" s="41" t="s">
        <v>1322</v>
      </c>
      <c r="K1098" s="279" t="b">
        <v>0</v>
      </c>
      <c r="L1098" s="279" t="b">
        <v>1</v>
      </c>
    </row>
    <row r="1099" ht="14.25" hidden="1" customHeight="1" outlineLevel="1">
      <c r="A1099" s="344">
        <v>45870.0</v>
      </c>
      <c r="B1099" s="132">
        <v>45880.0</v>
      </c>
      <c r="C1099" s="41" t="s">
        <v>75</v>
      </c>
      <c r="D1099" s="182">
        <v>3.0</v>
      </c>
      <c r="E1099" s="183">
        <v>40.0</v>
      </c>
      <c r="F1099" s="183">
        <f t="shared" ref="F1099:F1104" si="161">D1099*E1099</f>
        <v>120</v>
      </c>
      <c r="G1099" s="196">
        <f>SUM(F1099:F1100)</f>
        <v>190</v>
      </c>
      <c r="H1099" s="278" t="b">
        <v>0</v>
      </c>
      <c r="I1099" s="164" t="s">
        <v>76</v>
      </c>
      <c r="J1099" s="41" t="s">
        <v>1405</v>
      </c>
      <c r="K1099" s="278" t="b">
        <v>0</v>
      </c>
      <c r="L1099" s="278" t="b">
        <v>1</v>
      </c>
    </row>
    <row r="1100" ht="14.25" hidden="1" customHeight="1" outlineLevel="1">
      <c r="A1100" s="344">
        <v>45870.0</v>
      </c>
      <c r="B1100" s="132">
        <v>45880.0</v>
      </c>
      <c r="C1100" s="41" t="s">
        <v>75</v>
      </c>
      <c r="D1100" s="182">
        <v>2.0</v>
      </c>
      <c r="E1100" s="183">
        <v>35.0</v>
      </c>
      <c r="F1100" s="183">
        <f t="shared" si="161"/>
        <v>70</v>
      </c>
      <c r="G1100" s="10"/>
      <c r="H1100" s="10"/>
      <c r="I1100" s="74"/>
      <c r="J1100" s="41" t="s">
        <v>1160</v>
      </c>
      <c r="K1100" s="10"/>
      <c r="L1100" s="10"/>
    </row>
    <row r="1101" ht="14.25" hidden="1" customHeight="1" outlineLevel="1">
      <c r="A1101" s="344">
        <v>45870.0</v>
      </c>
      <c r="B1101" s="132">
        <v>45881.0</v>
      </c>
      <c r="C1101" s="285" t="s">
        <v>61</v>
      </c>
      <c r="D1101" s="315">
        <v>1.0</v>
      </c>
      <c r="E1101" s="316">
        <v>150.0</v>
      </c>
      <c r="F1101" s="316">
        <f t="shared" si="161"/>
        <v>150</v>
      </c>
      <c r="G1101" s="316">
        <f t="shared" ref="G1101:G1104" si="162">F1101</f>
        <v>150</v>
      </c>
      <c r="H1101" s="317" t="b">
        <v>1</v>
      </c>
      <c r="I1101" s="334" t="s">
        <v>236</v>
      </c>
      <c r="J1101" s="321" t="s">
        <v>1198</v>
      </c>
      <c r="K1101" s="317" t="b">
        <v>0</v>
      </c>
      <c r="L1101" s="279" t="b">
        <v>1</v>
      </c>
    </row>
    <row r="1102" ht="14.25" hidden="1" customHeight="1" outlineLevel="1">
      <c r="A1102" s="344">
        <v>45870.0</v>
      </c>
      <c r="B1102" s="132">
        <v>45881.0</v>
      </c>
      <c r="C1102" s="285" t="s">
        <v>61</v>
      </c>
      <c r="D1102" s="315">
        <v>1.0</v>
      </c>
      <c r="E1102" s="316">
        <v>150.0</v>
      </c>
      <c r="F1102" s="316">
        <f t="shared" si="161"/>
        <v>150</v>
      </c>
      <c r="G1102" s="316">
        <f t="shared" si="162"/>
        <v>150</v>
      </c>
      <c r="H1102" s="317" t="b">
        <v>1</v>
      </c>
      <c r="I1102" s="143" t="s">
        <v>456</v>
      </c>
      <c r="J1102" s="321" t="s">
        <v>1199</v>
      </c>
      <c r="K1102" s="317" t="b">
        <v>0</v>
      </c>
      <c r="L1102" s="279" t="b">
        <v>1</v>
      </c>
    </row>
    <row r="1103" ht="14.25" hidden="1" customHeight="1" outlineLevel="1">
      <c r="A1103" s="344">
        <v>45870.0</v>
      </c>
      <c r="B1103" s="132">
        <v>45882.0</v>
      </c>
      <c r="C1103" s="285" t="s">
        <v>61</v>
      </c>
      <c r="D1103" s="315">
        <v>1.0</v>
      </c>
      <c r="E1103" s="316">
        <v>150.0</v>
      </c>
      <c r="F1103" s="316">
        <f t="shared" si="161"/>
        <v>150</v>
      </c>
      <c r="G1103" s="316">
        <f t="shared" si="162"/>
        <v>150</v>
      </c>
      <c r="H1103" s="317" t="b">
        <v>1</v>
      </c>
      <c r="I1103" s="143" t="s">
        <v>456</v>
      </c>
      <c r="J1103" s="321" t="s">
        <v>1204</v>
      </c>
      <c r="K1103" s="317" t="b">
        <v>0</v>
      </c>
      <c r="L1103" s="279" t="b">
        <v>1</v>
      </c>
    </row>
    <row r="1104" ht="14.25" hidden="1" customHeight="1" outlineLevel="1">
      <c r="A1104" s="344">
        <v>45870.0</v>
      </c>
      <c r="B1104" s="132">
        <v>45883.0</v>
      </c>
      <c r="C1104" s="285" t="s">
        <v>61</v>
      </c>
      <c r="D1104" s="315">
        <v>1.0</v>
      </c>
      <c r="E1104" s="316">
        <v>150.0</v>
      </c>
      <c r="F1104" s="316">
        <f t="shared" si="161"/>
        <v>150</v>
      </c>
      <c r="G1104" s="316">
        <f t="shared" si="162"/>
        <v>150</v>
      </c>
      <c r="H1104" s="317" t="b">
        <v>1</v>
      </c>
      <c r="I1104" s="143" t="s">
        <v>980</v>
      </c>
      <c r="J1104" s="321" t="s">
        <v>1181</v>
      </c>
      <c r="K1104" s="317" t="b">
        <v>0</v>
      </c>
      <c r="L1104" s="279" t="b">
        <v>1</v>
      </c>
    </row>
    <row r="1105" ht="14.25" hidden="1" customHeight="1" outlineLevel="1">
      <c r="A1105" s="344">
        <v>45870.0</v>
      </c>
      <c r="B1105" s="132">
        <v>45886.0</v>
      </c>
      <c r="C1105" s="41" t="s">
        <v>61</v>
      </c>
      <c r="D1105" s="182">
        <v>1.0</v>
      </c>
      <c r="E1105" s="316">
        <v>200.0</v>
      </c>
      <c r="F1105" s="316">
        <v>200.0</v>
      </c>
      <c r="G1105" s="316">
        <v>200.0</v>
      </c>
      <c r="H1105" s="317" t="b">
        <v>1</v>
      </c>
      <c r="I1105" s="318" t="s">
        <v>490</v>
      </c>
      <c r="J1105" s="321" t="s">
        <v>1192</v>
      </c>
      <c r="K1105" s="279" t="b">
        <v>0</v>
      </c>
      <c r="L1105" s="279" t="b">
        <v>1</v>
      </c>
    </row>
    <row r="1106" ht="14.25" hidden="1" customHeight="1" outlineLevel="1">
      <c r="A1106" s="344">
        <v>45870.0</v>
      </c>
      <c r="B1106" s="132">
        <v>45886.0</v>
      </c>
      <c r="C1106" s="41" t="s">
        <v>61</v>
      </c>
      <c r="D1106" s="182">
        <v>1.0</v>
      </c>
      <c r="E1106" s="183">
        <v>200.0</v>
      </c>
      <c r="F1106" s="183">
        <v>200.0</v>
      </c>
      <c r="G1106" s="183">
        <v>200.0</v>
      </c>
      <c r="H1106" s="279" t="b">
        <v>1</v>
      </c>
      <c r="I1106" s="143" t="s">
        <v>1185</v>
      </c>
      <c r="J1106" s="41" t="s">
        <v>1193</v>
      </c>
      <c r="K1106" s="279" t="b">
        <v>0</v>
      </c>
      <c r="L1106" s="279" t="b">
        <v>1</v>
      </c>
    </row>
    <row r="1107" ht="14.25" hidden="1" customHeight="1" outlineLevel="1">
      <c r="A1107" s="344">
        <v>45870.0</v>
      </c>
      <c r="B1107" s="132">
        <v>45886.0</v>
      </c>
      <c r="C1107" s="41" t="s">
        <v>61</v>
      </c>
      <c r="D1107" s="182">
        <v>1.0</v>
      </c>
      <c r="E1107" s="183">
        <v>200.0</v>
      </c>
      <c r="F1107" s="183">
        <v>200.0</v>
      </c>
      <c r="G1107" s="183">
        <v>200.0</v>
      </c>
      <c r="H1107" s="279" t="b">
        <v>1</v>
      </c>
      <c r="I1107" s="143" t="s">
        <v>413</v>
      </c>
      <c r="J1107" s="41" t="s">
        <v>1195</v>
      </c>
      <c r="K1107" s="279" t="b">
        <v>0</v>
      </c>
      <c r="L1107" s="279" t="b">
        <v>1</v>
      </c>
    </row>
    <row r="1108" ht="14.25" hidden="1" customHeight="1" outlineLevel="1">
      <c r="A1108" s="344">
        <v>45870.0</v>
      </c>
      <c r="B1108" s="132">
        <v>45887.0</v>
      </c>
      <c r="C1108" s="41" t="s">
        <v>61</v>
      </c>
      <c r="D1108" s="182">
        <v>1.0</v>
      </c>
      <c r="E1108" s="183">
        <v>150.0</v>
      </c>
      <c r="F1108" s="183">
        <v>150.0</v>
      </c>
      <c r="G1108" s="183">
        <v>150.0</v>
      </c>
      <c r="H1108" s="279" t="b">
        <v>1</v>
      </c>
      <c r="I1108" s="143" t="s">
        <v>456</v>
      </c>
      <c r="J1108" s="41" t="s">
        <v>1322</v>
      </c>
      <c r="K1108" s="279" t="b">
        <v>0</v>
      </c>
      <c r="L1108" s="279" t="b">
        <v>1</v>
      </c>
    </row>
    <row r="1109" ht="14.25" hidden="1" customHeight="1" outlineLevel="1">
      <c r="A1109" s="344">
        <v>45870.0</v>
      </c>
      <c r="B1109" s="132">
        <v>45887.0</v>
      </c>
      <c r="C1109" s="41" t="s">
        <v>97</v>
      </c>
      <c r="D1109" s="182">
        <v>1.0</v>
      </c>
      <c r="E1109" s="183">
        <v>50.0</v>
      </c>
      <c r="F1109" s="183">
        <f t="shared" ref="F1109:F1118" si="163">D1109*E1109</f>
        <v>50</v>
      </c>
      <c r="G1109" s="183">
        <f t="shared" ref="G1109:G1111" si="164">F1109</f>
        <v>50</v>
      </c>
      <c r="H1109" s="279" t="b">
        <v>0</v>
      </c>
      <c r="I1109" s="143" t="s">
        <v>1411</v>
      </c>
      <c r="J1109" s="41" t="s">
        <v>1412</v>
      </c>
      <c r="K1109" s="279" t="b">
        <v>1</v>
      </c>
      <c r="L1109" s="279" t="b">
        <v>1</v>
      </c>
    </row>
    <row r="1110" ht="14.25" hidden="1" customHeight="1" outlineLevel="1">
      <c r="A1110" s="344">
        <v>45870.0</v>
      </c>
      <c r="B1110" s="132">
        <v>45888.0</v>
      </c>
      <c r="C1110" s="285" t="s">
        <v>61</v>
      </c>
      <c r="D1110" s="315">
        <v>1.0</v>
      </c>
      <c r="E1110" s="316">
        <v>150.0</v>
      </c>
      <c r="F1110" s="316">
        <f t="shared" si="163"/>
        <v>150</v>
      </c>
      <c r="G1110" s="316">
        <f t="shared" si="164"/>
        <v>150</v>
      </c>
      <c r="H1110" s="317" t="b">
        <v>1</v>
      </c>
      <c r="I1110" s="334" t="s">
        <v>236</v>
      </c>
      <c r="J1110" s="321" t="s">
        <v>1198</v>
      </c>
      <c r="K1110" s="317" t="b">
        <v>0</v>
      </c>
      <c r="L1110" s="279" t="b">
        <v>1</v>
      </c>
    </row>
    <row r="1111" ht="14.25" hidden="1" customHeight="1" outlineLevel="1">
      <c r="A1111" s="344">
        <v>45870.0</v>
      </c>
      <c r="B1111" s="132">
        <v>45888.0</v>
      </c>
      <c r="C1111" s="285" t="s">
        <v>61</v>
      </c>
      <c r="D1111" s="315">
        <v>1.0</v>
      </c>
      <c r="E1111" s="316">
        <v>150.0</v>
      </c>
      <c r="F1111" s="316">
        <f t="shared" si="163"/>
        <v>150</v>
      </c>
      <c r="G1111" s="316">
        <f t="shared" si="164"/>
        <v>150</v>
      </c>
      <c r="H1111" s="317" t="b">
        <v>1</v>
      </c>
      <c r="I1111" s="143" t="s">
        <v>456</v>
      </c>
      <c r="J1111" s="321" t="s">
        <v>1199</v>
      </c>
      <c r="K1111" s="317" t="b">
        <v>0</v>
      </c>
      <c r="L1111" s="279" t="b">
        <v>1</v>
      </c>
    </row>
    <row r="1112" ht="14.25" hidden="1" customHeight="1" outlineLevel="1">
      <c r="A1112" s="344">
        <v>45870.0</v>
      </c>
      <c r="B1112" s="132">
        <v>45888.0</v>
      </c>
      <c r="C1112" s="41" t="s">
        <v>97</v>
      </c>
      <c r="D1112" s="182">
        <v>1.0</v>
      </c>
      <c r="E1112" s="183">
        <v>8.29</v>
      </c>
      <c r="F1112" s="183">
        <f t="shared" si="163"/>
        <v>8.29</v>
      </c>
      <c r="G1112" s="196">
        <f>SUM(F1112:F1116)</f>
        <v>66.57</v>
      </c>
      <c r="H1112" s="278" t="b">
        <v>0</v>
      </c>
      <c r="I1112" s="164" t="s">
        <v>1416</v>
      </c>
      <c r="J1112" s="41" t="s">
        <v>578</v>
      </c>
      <c r="K1112" s="278" t="b">
        <v>1</v>
      </c>
      <c r="L1112" s="278" t="b">
        <v>1</v>
      </c>
    </row>
    <row r="1113" ht="14.25" hidden="1" customHeight="1" outlineLevel="1">
      <c r="A1113" s="344">
        <v>45870.0</v>
      </c>
      <c r="B1113" s="132">
        <v>45888.0</v>
      </c>
      <c r="C1113" s="41" t="s">
        <v>116</v>
      </c>
      <c r="D1113" s="182">
        <v>4.0</v>
      </c>
      <c r="E1113" s="183">
        <v>7.25</v>
      </c>
      <c r="F1113" s="183">
        <f t="shared" si="163"/>
        <v>29</v>
      </c>
      <c r="G1113" s="58"/>
      <c r="H1113" s="58"/>
      <c r="I1113" s="194"/>
      <c r="J1113" s="41" t="s">
        <v>335</v>
      </c>
      <c r="K1113" s="58"/>
      <c r="L1113" s="58"/>
    </row>
    <row r="1114" ht="14.25" hidden="1" customHeight="1" outlineLevel="1">
      <c r="A1114" s="344">
        <v>45870.0</v>
      </c>
      <c r="B1114" s="132">
        <v>45888.0</v>
      </c>
      <c r="C1114" s="41" t="s">
        <v>69</v>
      </c>
      <c r="D1114" s="182">
        <v>2.0</v>
      </c>
      <c r="E1114" s="183">
        <v>6.15</v>
      </c>
      <c r="F1114" s="183">
        <f t="shared" si="163"/>
        <v>12.3</v>
      </c>
      <c r="G1114" s="58"/>
      <c r="H1114" s="58"/>
      <c r="I1114" s="194"/>
      <c r="J1114" s="41" t="s">
        <v>69</v>
      </c>
      <c r="K1114" s="58"/>
      <c r="L1114" s="58"/>
    </row>
    <row r="1115" ht="14.25" hidden="1" customHeight="1" outlineLevel="1">
      <c r="A1115" s="344">
        <v>45870.0</v>
      </c>
      <c r="B1115" s="132">
        <v>45888.0</v>
      </c>
      <c r="C1115" s="41" t="s">
        <v>71</v>
      </c>
      <c r="D1115" s="182">
        <v>1.0</v>
      </c>
      <c r="E1115" s="183">
        <v>2.09</v>
      </c>
      <c r="F1115" s="183">
        <f t="shared" si="163"/>
        <v>2.09</v>
      </c>
      <c r="G1115" s="58"/>
      <c r="H1115" s="58"/>
      <c r="I1115" s="194"/>
      <c r="J1115" s="41" t="s">
        <v>1419</v>
      </c>
      <c r="K1115" s="58"/>
      <c r="L1115" s="58"/>
    </row>
    <row r="1116" ht="14.25" hidden="1" customHeight="1" outlineLevel="1">
      <c r="A1116" s="344">
        <v>45870.0</v>
      </c>
      <c r="B1116" s="132">
        <v>45888.0</v>
      </c>
      <c r="C1116" s="41" t="s">
        <v>97</v>
      </c>
      <c r="D1116" s="182">
        <v>1.0</v>
      </c>
      <c r="E1116" s="183">
        <v>14.89</v>
      </c>
      <c r="F1116" s="183">
        <f t="shared" si="163"/>
        <v>14.89</v>
      </c>
      <c r="G1116" s="10"/>
      <c r="H1116" s="10"/>
      <c r="I1116" s="74"/>
      <c r="J1116" s="41" t="s">
        <v>1421</v>
      </c>
      <c r="K1116" s="10"/>
      <c r="L1116" s="10"/>
    </row>
    <row r="1117" ht="14.25" hidden="1" customHeight="1" outlineLevel="1">
      <c r="A1117" s="344">
        <v>45870.0</v>
      </c>
      <c r="B1117" s="132">
        <v>45889.0</v>
      </c>
      <c r="C1117" s="285" t="s">
        <v>61</v>
      </c>
      <c r="D1117" s="315">
        <v>1.0</v>
      </c>
      <c r="E1117" s="316">
        <v>150.0</v>
      </c>
      <c r="F1117" s="316">
        <f t="shared" si="163"/>
        <v>150</v>
      </c>
      <c r="G1117" s="316">
        <f t="shared" ref="G1117:G1118" si="165">F1117</f>
        <v>150</v>
      </c>
      <c r="H1117" s="317" t="b">
        <v>1</v>
      </c>
      <c r="I1117" s="143" t="s">
        <v>456</v>
      </c>
      <c r="J1117" s="321" t="s">
        <v>1204</v>
      </c>
      <c r="K1117" s="317" t="b">
        <v>0</v>
      </c>
      <c r="L1117" s="279" t="b">
        <v>1</v>
      </c>
    </row>
    <row r="1118" ht="14.25" hidden="1" customHeight="1" outlineLevel="1">
      <c r="A1118" s="344">
        <v>45870.0</v>
      </c>
      <c r="B1118" s="132">
        <v>45890.0</v>
      </c>
      <c r="C1118" s="285" t="s">
        <v>61</v>
      </c>
      <c r="D1118" s="315">
        <v>1.0</v>
      </c>
      <c r="E1118" s="316">
        <v>150.0</v>
      </c>
      <c r="F1118" s="316">
        <f t="shared" si="163"/>
        <v>150</v>
      </c>
      <c r="G1118" s="316">
        <f t="shared" si="165"/>
        <v>150</v>
      </c>
      <c r="H1118" s="317" t="b">
        <v>1</v>
      </c>
      <c r="I1118" s="143" t="s">
        <v>980</v>
      </c>
      <c r="J1118" s="321" t="s">
        <v>1181</v>
      </c>
      <c r="K1118" s="317" t="b">
        <v>0</v>
      </c>
      <c r="L1118" s="279" t="b">
        <v>1</v>
      </c>
    </row>
    <row r="1119" ht="14.25" hidden="1" customHeight="1" outlineLevel="1">
      <c r="A1119" s="344">
        <v>45870.0</v>
      </c>
      <c r="B1119" s="132">
        <v>45890.0</v>
      </c>
      <c r="C1119" s="41" t="s">
        <v>97</v>
      </c>
      <c r="D1119" s="182">
        <v>1.0</v>
      </c>
      <c r="E1119" s="183">
        <v>240.0</v>
      </c>
      <c r="F1119" s="183">
        <v>240.0</v>
      </c>
      <c r="G1119" s="295">
        <v>240.0</v>
      </c>
      <c r="H1119" s="279" t="b">
        <v>0</v>
      </c>
      <c r="I1119" s="143" t="s">
        <v>538</v>
      </c>
      <c r="J1119" s="41" t="s">
        <v>1424</v>
      </c>
      <c r="K1119" s="279" t="b">
        <v>1</v>
      </c>
      <c r="L1119" s="279" t="b">
        <v>1</v>
      </c>
    </row>
    <row r="1120" ht="14.25" hidden="1" customHeight="1" outlineLevel="1">
      <c r="A1120" s="344">
        <v>45870.0</v>
      </c>
      <c r="B1120" s="132">
        <v>45891.0</v>
      </c>
      <c r="C1120" s="41" t="s">
        <v>55</v>
      </c>
      <c r="D1120" s="182">
        <v>6.0</v>
      </c>
      <c r="E1120" s="183">
        <v>18.9</v>
      </c>
      <c r="F1120" s="183">
        <f t="shared" ref="F1120:F1125" si="166">D1120*E1120</f>
        <v>113.4</v>
      </c>
      <c r="G1120" s="183">
        <f>F1120</f>
        <v>113.4</v>
      </c>
      <c r="H1120" s="279" t="b">
        <v>0</v>
      </c>
      <c r="I1120" s="143" t="s">
        <v>254</v>
      </c>
      <c r="J1120" s="41" t="s">
        <v>1083</v>
      </c>
      <c r="K1120" s="279" t="b">
        <v>1</v>
      </c>
      <c r="L1120" s="279" t="b">
        <v>1</v>
      </c>
    </row>
    <row r="1121" ht="14.25" hidden="1" customHeight="1" outlineLevel="1">
      <c r="A1121" s="344">
        <v>45870.0</v>
      </c>
      <c r="B1121" s="132">
        <v>45891.0</v>
      </c>
      <c r="C1121" s="41" t="s">
        <v>315</v>
      </c>
      <c r="D1121" s="182">
        <v>2.0</v>
      </c>
      <c r="E1121" s="183">
        <v>49.99</v>
      </c>
      <c r="F1121" s="183">
        <f t="shared" si="166"/>
        <v>99.98</v>
      </c>
      <c r="G1121" s="196">
        <f>SUM(F1121:F1122)</f>
        <v>128.96</v>
      </c>
      <c r="H1121" s="278" t="b">
        <v>0</v>
      </c>
      <c r="I1121" s="164" t="s">
        <v>570</v>
      </c>
      <c r="J1121" s="41" t="s">
        <v>333</v>
      </c>
      <c r="K1121" s="278" t="b">
        <v>1</v>
      </c>
      <c r="L1121" s="278" t="b">
        <v>1</v>
      </c>
    </row>
    <row r="1122" ht="14.25" hidden="1" customHeight="1" outlineLevel="1">
      <c r="A1122" s="344">
        <v>45870.0</v>
      </c>
      <c r="B1122" s="132">
        <v>45891.0</v>
      </c>
      <c r="C1122" s="41" t="s">
        <v>55</v>
      </c>
      <c r="D1122" s="182">
        <v>2.0</v>
      </c>
      <c r="E1122" s="183">
        <v>14.49</v>
      </c>
      <c r="F1122" s="183">
        <f t="shared" si="166"/>
        <v>28.98</v>
      </c>
      <c r="G1122" s="10"/>
      <c r="H1122" s="10"/>
      <c r="I1122" s="74"/>
      <c r="J1122" s="41" t="s">
        <v>1429</v>
      </c>
      <c r="K1122" s="10"/>
      <c r="L1122" s="10"/>
    </row>
    <row r="1123" ht="14.25" hidden="1" customHeight="1" outlineLevel="1">
      <c r="A1123" s="344">
        <v>45870.0</v>
      </c>
      <c r="B1123" s="132">
        <v>45891.0</v>
      </c>
      <c r="C1123" s="41" t="s">
        <v>171</v>
      </c>
      <c r="D1123" s="182">
        <v>1.0</v>
      </c>
      <c r="E1123" s="183">
        <v>114.0</v>
      </c>
      <c r="F1123" s="183">
        <f t="shared" si="166"/>
        <v>114</v>
      </c>
      <c r="G1123" s="183">
        <f t="shared" ref="G1123:G1125" si="167">F1123</f>
        <v>114</v>
      </c>
      <c r="H1123" s="279" t="b">
        <v>0</v>
      </c>
      <c r="I1123" s="143" t="s">
        <v>172</v>
      </c>
      <c r="J1123" s="41" t="s">
        <v>898</v>
      </c>
      <c r="K1123" s="279" t="b">
        <v>1</v>
      </c>
      <c r="L1123" s="279" t="b">
        <v>1</v>
      </c>
    </row>
    <row r="1124" ht="14.25" hidden="1" customHeight="1" outlineLevel="1">
      <c r="A1124" s="344">
        <v>45870.0</v>
      </c>
      <c r="B1124" s="132">
        <v>45891.0</v>
      </c>
      <c r="C1124" s="285" t="s">
        <v>61</v>
      </c>
      <c r="D1124" s="315">
        <v>1.0</v>
      </c>
      <c r="E1124" s="316">
        <v>150.0</v>
      </c>
      <c r="F1124" s="316">
        <f t="shared" si="166"/>
        <v>150</v>
      </c>
      <c r="G1124" s="316">
        <f t="shared" si="167"/>
        <v>150</v>
      </c>
      <c r="H1124" s="317" t="b">
        <v>1</v>
      </c>
      <c r="I1124" s="334" t="s">
        <v>236</v>
      </c>
      <c r="J1124" s="321" t="s">
        <v>1184</v>
      </c>
      <c r="K1124" s="317" t="b">
        <v>0</v>
      </c>
      <c r="L1124" s="279" t="b">
        <v>1</v>
      </c>
    </row>
    <row r="1125" ht="14.25" hidden="1" customHeight="1" outlineLevel="1">
      <c r="A1125" s="344">
        <v>45870.0</v>
      </c>
      <c r="B1125" s="132">
        <v>45891.0</v>
      </c>
      <c r="C1125" s="285" t="s">
        <v>61</v>
      </c>
      <c r="D1125" s="315">
        <v>1.0</v>
      </c>
      <c r="E1125" s="316">
        <v>150.0</v>
      </c>
      <c r="F1125" s="316">
        <f t="shared" si="166"/>
        <v>150</v>
      </c>
      <c r="G1125" s="316">
        <f t="shared" si="167"/>
        <v>150</v>
      </c>
      <c r="H1125" s="317" t="b">
        <v>1</v>
      </c>
      <c r="I1125" s="143" t="s">
        <v>1062</v>
      </c>
      <c r="J1125" s="321" t="s">
        <v>1213</v>
      </c>
      <c r="K1125" s="317" t="b">
        <v>0</v>
      </c>
      <c r="L1125" s="279" t="b">
        <v>1</v>
      </c>
    </row>
    <row r="1126" ht="14.25" hidden="1" customHeight="1" outlineLevel="1">
      <c r="A1126" s="344">
        <v>45870.0</v>
      </c>
      <c r="B1126" s="132">
        <v>45893.0</v>
      </c>
      <c r="C1126" s="41" t="s">
        <v>61</v>
      </c>
      <c r="D1126" s="182">
        <v>1.0</v>
      </c>
      <c r="E1126" s="316">
        <v>200.0</v>
      </c>
      <c r="F1126" s="316">
        <v>200.0</v>
      </c>
      <c r="G1126" s="316">
        <v>200.0</v>
      </c>
      <c r="H1126" s="317" t="b">
        <v>1</v>
      </c>
      <c r="I1126" s="318" t="s">
        <v>490</v>
      </c>
      <c r="J1126" s="321" t="s">
        <v>1192</v>
      </c>
      <c r="K1126" s="279" t="b">
        <v>0</v>
      </c>
      <c r="L1126" s="279" t="b">
        <v>1</v>
      </c>
    </row>
    <row r="1127" ht="14.25" hidden="1" customHeight="1" outlineLevel="1">
      <c r="A1127" s="344">
        <v>45870.0</v>
      </c>
      <c r="B1127" s="132">
        <v>45893.0</v>
      </c>
      <c r="C1127" s="41" t="s">
        <v>61</v>
      </c>
      <c r="D1127" s="182">
        <v>1.0</v>
      </c>
      <c r="E1127" s="183">
        <v>200.0</v>
      </c>
      <c r="F1127" s="183">
        <v>200.0</v>
      </c>
      <c r="G1127" s="183">
        <v>200.0</v>
      </c>
      <c r="H1127" s="279" t="b">
        <v>1</v>
      </c>
      <c r="I1127" s="143" t="s">
        <v>1185</v>
      </c>
      <c r="J1127" s="41" t="s">
        <v>1193</v>
      </c>
      <c r="K1127" s="279" t="b">
        <v>0</v>
      </c>
      <c r="L1127" s="279" t="b">
        <v>1</v>
      </c>
    </row>
    <row r="1128" ht="14.25" hidden="1" customHeight="1" outlineLevel="1">
      <c r="A1128" s="344">
        <v>45870.0</v>
      </c>
      <c r="B1128" s="132">
        <v>45893.0</v>
      </c>
      <c r="C1128" s="41" t="s">
        <v>61</v>
      </c>
      <c r="D1128" s="182">
        <v>1.0</v>
      </c>
      <c r="E1128" s="183">
        <v>200.0</v>
      </c>
      <c r="F1128" s="183">
        <v>200.0</v>
      </c>
      <c r="G1128" s="183">
        <v>200.0</v>
      </c>
      <c r="H1128" s="279" t="b">
        <v>1</v>
      </c>
      <c r="I1128" s="143" t="s">
        <v>413</v>
      </c>
      <c r="J1128" s="41" t="s">
        <v>1195</v>
      </c>
      <c r="K1128" s="279" t="b">
        <v>0</v>
      </c>
      <c r="L1128" s="279" t="b">
        <v>1</v>
      </c>
    </row>
    <row r="1129" ht="14.25" hidden="1" customHeight="1" outlineLevel="1">
      <c r="A1129" s="344">
        <v>45870.0</v>
      </c>
      <c r="B1129" s="132">
        <v>45894.0</v>
      </c>
      <c r="C1129" s="41" t="s">
        <v>61</v>
      </c>
      <c r="D1129" s="182">
        <v>1.0</v>
      </c>
      <c r="E1129" s="183">
        <v>150.0</v>
      </c>
      <c r="F1129" s="183">
        <v>150.0</v>
      </c>
      <c r="G1129" s="183">
        <v>150.0</v>
      </c>
      <c r="H1129" s="279" t="b">
        <v>1</v>
      </c>
      <c r="I1129" s="143" t="s">
        <v>456</v>
      </c>
      <c r="J1129" s="41" t="s">
        <v>1322</v>
      </c>
      <c r="K1129" s="279" t="b">
        <v>0</v>
      </c>
      <c r="L1129" s="279" t="b">
        <v>1</v>
      </c>
    </row>
    <row r="1130" ht="14.25" hidden="1" customHeight="1" outlineLevel="1">
      <c r="A1130" s="344">
        <v>45870.0</v>
      </c>
      <c r="B1130" s="132">
        <v>45894.0</v>
      </c>
      <c r="C1130" s="41" t="s">
        <v>75</v>
      </c>
      <c r="D1130" s="182">
        <v>5.0</v>
      </c>
      <c r="E1130" s="183">
        <v>40.0</v>
      </c>
      <c r="F1130" s="183">
        <f t="shared" ref="F1130:F1137" si="168">D1130*E1130</f>
        <v>200</v>
      </c>
      <c r="G1130" s="196">
        <f>SUM(F1130:F1131)</f>
        <v>235</v>
      </c>
      <c r="H1130" s="278" t="b">
        <v>0</v>
      </c>
      <c r="I1130" s="164" t="s">
        <v>76</v>
      </c>
      <c r="J1130" s="41" t="s">
        <v>1437</v>
      </c>
      <c r="K1130" s="278" t="b">
        <v>0</v>
      </c>
      <c r="L1130" s="278" t="b">
        <v>1</v>
      </c>
    </row>
    <row r="1131" ht="14.25" hidden="1" customHeight="1" outlineLevel="1">
      <c r="A1131" s="344">
        <v>45870.0</v>
      </c>
      <c r="B1131" s="132">
        <v>45894.0</v>
      </c>
      <c r="C1131" s="41" t="s">
        <v>75</v>
      </c>
      <c r="D1131" s="182">
        <v>1.0</v>
      </c>
      <c r="E1131" s="183">
        <v>35.0</v>
      </c>
      <c r="F1131" s="183">
        <f t="shared" si="168"/>
        <v>35</v>
      </c>
      <c r="G1131" s="10"/>
      <c r="H1131" s="10"/>
      <c r="I1131" s="74"/>
      <c r="J1131" s="41" t="s">
        <v>1440</v>
      </c>
      <c r="K1131" s="10"/>
      <c r="L1131" s="10"/>
    </row>
    <row r="1132" ht="14.25" hidden="1" customHeight="1" outlineLevel="1">
      <c r="A1132" s="344">
        <v>45870.0</v>
      </c>
      <c r="B1132" s="132">
        <v>45894.0</v>
      </c>
      <c r="C1132" s="41" t="s">
        <v>75</v>
      </c>
      <c r="D1132" s="182">
        <v>2.0</v>
      </c>
      <c r="E1132" s="183">
        <v>31.6</v>
      </c>
      <c r="F1132" s="183">
        <f t="shared" si="168"/>
        <v>63.2</v>
      </c>
      <c r="G1132" s="183">
        <f>F1132</f>
        <v>63.2</v>
      </c>
      <c r="H1132" s="279" t="b">
        <v>0</v>
      </c>
      <c r="I1132" s="143" t="s">
        <v>225</v>
      </c>
      <c r="J1132" s="41" t="s">
        <v>1442</v>
      </c>
      <c r="K1132" s="279" t="b">
        <v>1</v>
      </c>
      <c r="L1132" s="279" t="b">
        <v>1</v>
      </c>
    </row>
    <row r="1133" ht="14.25" hidden="1" customHeight="1" outlineLevel="1">
      <c r="A1133" s="344">
        <v>45870.0</v>
      </c>
      <c r="B1133" s="132">
        <v>45894.0</v>
      </c>
      <c r="C1133" s="41" t="s">
        <v>231</v>
      </c>
      <c r="D1133" s="182">
        <v>3.0</v>
      </c>
      <c r="E1133" s="183">
        <v>6.49</v>
      </c>
      <c r="F1133" s="183">
        <f t="shared" si="168"/>
        <v>19.47</v>
      </c>
      <c r="G1133" s="196">
        <f>SUM(F1133:F1134)</f>
        <v>49.06</v>
      </c>
      <c r="H1133" s="278" t="b">
        <v>0</v>
      </c>
      <c r="I1133" s="164" t="s">
        <v>1444</v>
      </c>
      <c r="J1133" s="41" t="s">
        <v>1445</v>
      </c>
      <c r="K1133" s="278" t="b">
        <v>1</v>
      </c>
      <c r="L1133" s="278" t="b">
        <v>1</v>
      </c>
    </row>
    <row r="1134" ht="14.25" hidden="1" customHeight="1" outlineLevel="1">
      <c r="A1134" s="344">
        <v>45870.0</v>
      </c>
      <c r="B1134" s="132">
        <v>45894.0</v>
      </c>
      <c r="C1134" s="41" t="s">
        <v>231</v>
      </c>
      <c r="D1134" s="182">
        <v>1.0</v>
      </c>
      <c r="E1134" s="183">
        <v>29.59</v>
      </c>
      <c r="F1134" s="183">
        <f t="shared" si="168"/>
        <v>29.59</v>
      </c>
      <c r="G1134" s="10"/>
      <c r="H1134" s="10"/>
      <c r="I1134" s="74"/>
      <c r="J1134" s="41" t="s">
        <v>1449</v>
      </c>
      <c r="K1134" s="10"/>
      <c r="L1134" s="10"/>
    </row>
    <row r="1135" ht="14.25" hidden="1" customHeight="1" outlineLevel="1">
      <c r="A1135" s="344">
        <v>45870.0</v>
      </c>
      <c r="B1135" s="132">
        <v>45895.0</v>
      </c>
      <c r="C1135" s="285" t="s">
        <v>61</v>
      </c>
      <c r="D1135" s="315">
        <v>1.0</v>
      </c>
      <c r="E1135" s="316">
        <v>150.0</v>
      </c>
      <c r="F1135" s="316">
        <f t="shared" si="168"/>
        <v>150</v>
      </c>
      <c r="G1135" s="316">
        <f t="shared" ref="G1135:G1137" si="169">F1135</f>
        <v>150</v>
      </c>
      <c r="H1135" s="317" t="b">
        <v>1</v>
      </c>
      <c r="I1135" s="334" t="s">
        <v>236</v>
      </c>
      <c r="J1135" s="321" t="s">
        <v>1198</v>
      </c>
      <c r="K1135" s="317" t="b">
        <v>0</v>
      </c>
      <c r="L1135" s="279" t="b">
        <v>1</v>
      </c>
    </row>
    <row r="1136" ht="14.25" hidden="1" customHeight="1" outlineLevel="1">
      <c r="A1136" s="344">
        <v>45870.0</v>
      </c>
      <c r="B1136" s="132">
        <v>45895.0</v>
      </c>
      <c r="C1136" s="285" t="s">
        <v>61</v>
      </c>
      <c r="D1136" s="315">
        <v>1.0</v>
      </c>
      <c r="E1136" s="316">
        <v>150.0</v>
      </c>
      <c r="F1136" s="316">
        <f t="shared" si="168"/>
        <v>150</v>
      </c>
      <c r="G1136" s="316">
        <f t="shared" si="169"/>
        <v>150</v>
      </c>
      <c r="H1136" s="317" t="b">
        <v>1</v>
      </c>
      <c r="I1136" s="143" t="s">
        <v>456</v>
      </c>
      <c r="J1136" s="321" t="s">
        <v>1199</v>
      </c>
      <c r="K1136" s="317" t="b">
        <v>0</v>
      </c>
      <c r="L1136" s="279" t="b">
        <v>1</v>
      </c>
    </row>
    <row r="1137" ht="14.25" hidden="1" customHeight="1" outlineLevel="1">
      <c r="A1137" s="344">
        <v>45870.0</v>
      </c>
      <c r="B1137" s="132">
        <v>45896.0</v>
      </c>
      <c r="C1137" s="285" t="s">
        <v>61</v>
      </c>
      <c r="D1137" s="315">
        <v>1.0</v>
      </c>
      <c r="E1137" s="316">
        <v>150.0</v>
      </c>
      <c r="F1137" s="316">
        <f t="shared" si="168"/>
        <v>150</v>
      </c>
      <c r="G1137" s="316">
        <f t="shared" si="169"/>
        <v>150</v>
      </c>
      <c r="H1137" s="317" t="b">
        <v>1</v>
      </c>
      <c r="I1137" s="143" t="s">
        <v>456</v>
      </c>
      <c r="J1137" s="321" t="s">
        <v>1204</v>
      </c>
      <c r="K1137" s="317" t="b">
        <v>0</v>
      </c>
      <c r="L1137" s="279" t="b">
        <v>1</v>
      </c>
    </row>
    <row r="1138" ht="14.25" hidden="1" customHeight="1" outlineLevel="1">
      <c r="A1138" s="344">
        <v>45870.0</v>
      </c>
      <c r="B1138" s="132">
        <v>45897.0</v>
      </c>
      <c r="C1138" s="41" t="s">
        <v>61</v>
      </c>
      <c r="D1138" s="182">
        <v>1.0</v>
      </c>
      <c r="E1138" s="183">
        <v>3750.0</v>
      </c>
      <c r="F1138" s="183">
        <v>3750.0</v>
      </c>
      <c r="G1138" s="183">
        <v>3750.0</v>
      </c>
      <c r="H1138" s="279" t="b">
        <v>1</v>
      </c>
      <c r="I1138" s="143" t="s">
        <v>119</v>
      </c>
      <c r="J1138" s="41" t="s">
        <v>1451</v>
      </c>
      <c r="K1138" s="279" t="b">
        <v>0</v>
      </c>
      <c r="L1138" s="279" t="b">
        <v>1</v>
      </c>
    </row>
    <row r="1139" ht="14.25" hidden="1" customHeight="1" outlineLevel="1">
      <c r="A1139" s="344">
        <v>45870.0</v>
      </c>
      <c r="B1139" s="132">
        <v>45897.0</v>
      </c>
      <c r="C1139" s="285" t="s">
        <v>61</v>
      </c>
      <c r="D1139" s="315">
        <v>1.0</v>
      </c>
      <c r="E1139" s="316">
        <v>150.0</v>
      </c>
      <c r="F1139" s="316">
        <f t="shared" ref="F1139:F1141" si="170">D1139*E1139</f>
        <v>150</v>
      </c>
      <c r="G1139" s="316">
        <f t="shared" ref="G1139:G1141" si="171">F1139</f>
        <v>150</v>
      </c>
      <c r="H1139" s="317" t="b">
        <v>1</v>
      </c>
      <c r="I1139" s="143" t="s">
        <v>980</v>
      </c>
      <c r="J1139" s="321" t="s">
        <v>1181</v>
      </c>
      <c r="K1139" s="317" t="b">
        <v>0</v>
      </c>
      <c r="L1139" s="279" t="b">
        <v>1</v>
      </c>
    </row>
    <row r="1140" ht="14.25" hidden="1" customHeight="1" outlineLevel="1">
      <c r="A1140" s="344">
        <v>45870.0</v>
      </c>
      <c r="B1140" s="132">
        <v>45898.0</v>
      </c>
      <c r="C1140" s="285" t="s">
        <v>61</v>
      </c>
      <c r="D1140" s="315">
        <v>1.0</v>
      </c>
      <c r="E1140" s="316">
        <v>150.0</v>
      </c>
      <c r="F1140" s="316">
        <f t="shared" si="170"/>
        <v>150</v>
      </c>
      <c r="G1140" s="316">
        <f t="shared" si="171"/>
        <v>150</v>
      </c>
      <c r="H1140" s="317" t="b">
        <v>1</v>
      </c>
      <c r="I1140" s="334" t="s">
        <v>236</v>
      </c>
      <c r="J1140" s="321" t="s">
        <v>1184</v>
      </c>
      <c r="K1140" s="317" t="b">
        <v>0</v>
      </c>
      <c r="L1140" s="279" t="b">
        <v>1</v>
      </c>
    </row>
    <row r="1141" ht="14.25" hidden="1" customHeight="1" outlineLevel="1">
      <c r="A1141" s="344">
        <v>45870.0</v>
      </c>
      <c r="B1141" s="132">
        <v>45898.0</v>
      </c>
      <c r="C1141" s="285" t="s">
        <v>61</v>
      </c>
      <c r="D1141" s="315">
        <v>1.0</v>
      </c>
      <c r="E1141" s="316">
        <v>150.0</v>
      </c>
      <c r="F1141" s="316">
        <f t="shared" si="170"/>
        <v>150</v>
      </c>
      <c r="G1141" s="316">
        <f t="shared" si="171"/>
        <v>150</v>
      </c>
      <c r="H1141" s="317" t="b">
        <v>1</v>
      </c>
      <c r="I1141" s="143" t="s">
        <v>1062</v>
      </c>
      <c r="J1141" s="321" t="s">
        <v>1213</v>
      </c>
      <c r="K1141" s="317" t="b">
        <v>0</v>
      </c>
      <c r="L1141" s="279" t="b">
        <v>1</v>
      </c>
    </row>
    <row r="1142" ht="14.25" hidden="1" customHeight="1" outlineLevel="1">
      <c r="A1142" s="344">
        <v>45870.0</v>
      </c>
      <c r="B1142" s="132">
        <v>45898.0</v>
      </c>
      <c r="C1142" s="41" t="s">
        <v>80</v>
      </c>
      <c r="D1142" s="182">
        <v>1.0</v>
      </c>
      <c r="E1142" s="183">
        <v>30.0</v>
      </c>
      <c r="F1142" s="183">
        <v>30.0</v>
      </c>
      <c r="G1142" s="183">
        <v>30.0</v>
      </c>
      <c r="H1142" s="279" t="b">
        <v>0</v>
      </c>
      <c r="I1142" s="143" t="s">
        <v>481</v>
      </c>
      <c r="J1142" s="41" t="s">
        <v>452</v>
      </c>
      <c r="K1142" s="279" t="b">
        <v>1</v>
      </c>
      <c r="L1142" s="279" t="b">
        <v>1</v>
      </c>
    </row>
    <row r="1143" ht="14.25" hidden="1" customHeight="1" outlineLevel="1">
      <c r="A1143" s="344">
        <v>45870.0</v>
      </c>
      <c r="B1143" s="132">
        <v>45898.0</v>
      </c>
      <c r="C1143" s="41" t="s">
        <v>93</v>
      </c>
      <c r="D1143" s="182">
        <v>1.0</v>
      </c>
      <c r="E1143" s="183">
        <v>349.0</v>
      </c>
      <c r="F1143" s="183">
        <f>D1143*E1143</f>
        <v>349</v>
      </c>
      <c r="G1143" s="295">
        <f>F1143</f>
        <v>349</v>
      </c>
      <c r="H1143" s="279" t="b">
        <v>0</v>
      </c>
      <c r="I1143" s="143" t="s">
        <v>1368</v>
      </c>
      <c r="J1143" s="41" t="s">
        <v>1455</v>
      </c>
      <c r="K1143" s="279" t="b">
        <v>1</v>
      </c>
      <c r="L1143" s="279" t="b">
        <v>1</v>
      </c>
    </row>
    <row r="1144" ht="14.25" hidden="1" customHeight="1" outlineLevel="1">
      <c r="A1144" s="344">
        <v>45870.0</v>
      </c>
      <c r="B1144" s="132">
        <v>45900.0</v>
      </c>
      <c r="C1144" s="41" t="s">
        <v>61</v>
      </c>
      <c r="D1144" s="182">
        <v>1.0</v>
      </c>
      <c r="E1144" s="316">
        <v>200.0</v>
      </c>
      <c r="F1144" s="316">
        <v>200.0</v>
      </c>
      <c r="G1144" s="316">
        <v>200.0</v>
      </c>
      <c r="H1144" s="317" t="b">
        <v>1</v>
      </c>
      <c r="I1144" s="318" t="s">
        <v>490</v>
      </c>
      <c r="J1144" s="321" t="s">
        <v>1192</v>
      </c>
      <c r="K1144" s="279" t="b">
        <v>0</v>
      </c>
      <c r="L1144" s="279" t="b">
        <v>1</v>
      </c>
    </row>
    <row r="1145" ht="14.25" hidden="1" customHeight="1" outlineLevel="1">
      <c r="A1145" s="344">
        <v>45870.0</v>
      </c>
      <c r="B1145" s="132">
        <v>45900.0</v>
      </c>
      <c r="C1145" s="41" t="s">
        <v>61</v>
      </c>
      <c r="D1145" s="182">
        <v>1.0</v>
      </c>
      <c r="E1145" s="183">
        <v>200.0</v>
      </c>
      <c r="F1145" s="183">
        <v>200.0</v>
      </c>
      <c r="G1145" s="183">
        <v>200.0</v>
      </c>
      <c r="H1145" s="279" t="b">
        <v>1</v>
      </c>
      <c r="I1145" s="143" t="s">
        <v>1185</v>
      </c>
      <c r="J1145" s="41" t="s">
        <v>1193</v>
      </c>
      <c r="K1145" s="279" t="b">
        <v>0</v>
      </c>
      <c r="L1145" s="279" t="b">
        <v>1</v>
      </c>
    </row>
    <row r="1146" ht="14.25" hidden="1" customHeight="1" outlineLevel="1">
      <c r="A1146" s="344">
        <v>45870.0</v>
      </c>
      <c r="B1146" s="132">
        <v>45900.0</v>
      </c>
      <c r="C1146" s="41" t="s">
        <v>61</v>
      </c>
      <c r="D1146" s="182">
        <v>1.0</v>
      </c>
      <c r="E1146" s="183">
        <v>200.0</v>
      </c>
      <c r="F1146" s="183">
        <v>200.0</v>
      </c>
      <c r="G1146" s="183">
        <v>200.0</v>
      </c>
      <c r="H1146" s="279" t="b">
        <v>1</v>
      </c>
      <c r="I1146" s="143" t="s">
        <v>413</v>
      </c>
      <c r="J1146" s="41" t="s">
        <v>1195</v>
      </c>
      <c r="K1146" s="279" t="b">
        <v>0</v>
      </c>
      <c r="L1146" s="279" t="b">
        <v>1</v>
      </c>
    </row>
    <row r="1147" ht="14.25" hidden="1" customHeight="1" outlineLevel="1">
      <c r="A1147" s="344">
        <v>45870.0</v>
      </c>
      <c r="B1147" s="132">
        <v>45870.0</v>
      </c>
      <c r="C1147" s="41"/>
      <c r="D1147" s="182"/>
      <c r="E1147" s="183"/>
      <c r="F1147" s="183"/>
      <c r="G1147" s="183"/>
      <c r="H1147" s="279" t="b">
        <v>0</v>
      </c>
      <c r="I1147" s="143"/>
      <c r="J1147" s="41"/>
      <c r="K1147" s="279" t="b">
        <v>0</v>
      </c>
      <c r="L1147" s="279" t="b">
        <v>0</v>
      </c>
    </row>
    <row r="1148" ht="14.25" hidden="1" customHeight="1" outlineLevel="1">
      <c r="A1148" s="344">
        <v>45870.0</v>
      </c>
      <c r="B1148" s="132">
        <v>45870.0</v>
      </c>
      <c r="C1148" s="41"/>
      <c r="D1148" s="182"/>
      <c r="E1148" s="183"/>
      <c r="F1148" s="183"/>
      <c r="G1148" s="183"/>
      <c r="H1148" s="279" t="b">
        <v>0</v>
      </c>
      <c r="I1148" s="143"/>
      <c r="J1148" s="41"/>
      <c r="K1148" s="279" t="b">
        <v>0</v>
      </c>
      <c r="L1148" s="279" t="b">
        <v>0</v>
      </c>
    </row>
    <row r="1149" ht="14.25" hidden="1" customHeight="1" outlineLevel="1">
      <c r="A1149" s="344">
        <v>45870.0</v>
      </c>
      <c r="B1149" s="132">
        <v>45870.0</v>
      </c>
      <c r="C1149" s="41"/>
      <c r="D1149" s="182"/>
      <c r="E1149" s="183"/>
      <c r="F1149" s="183"/>
      <c r="G1149" s="183"/>
      <c r="H1149" s="279" t="b">
        <v>0</v>
      </c>
      <c r="I1149" s="143"/>
      <c r="J1149" s="41"/>
      <c r="K1149" s="279" t="b">
        <v>0</v>
      </c>
      <c r="L1149" s="279" t="b">
        <v>0</v>
      </c>
    </row>
    <row r="1150" ht="14.25" hidden="1" customHeight="1" outlineLevel="1">
      <c r="A1150" s="344">
        <v>45870.0</v>
      </c>
      <c r="B1150" s="132">
        <v>45870.0</v>
      </c>
      <c r="C1150" s="41"/>
      <c r="D1150" s="182"/>
      <c r="E1150" s="183"/>
      <c r="F1150" s="183"/>
      <c r="G1150" s="183"/>
      <c r="H1150" s="279" t="b">
        <v>0</v>
      </c>
      <c r="I1150" s="143"/>
      <c r="J1150" s="41"/>
      <c r="K1150" s="279" t="b">
        <v>0</v>
      </c>
      <c r="L1150" s="279" t="b">
        <v>0</v>
      </c>
    </row>
    <row r="1151" ht="14.25" hidden="1" customHeight="1" outlineLevel="1">
      <c r="A1151" s="344">
        <v>45870.0</v>
      </c>
      <c r="B1151" s="132">
        <v>45870.0</v>
      </c>
      <c r="C1151" s="41"/>
      <c r="D1151" s="182"/>
      <c r="E1151" s="183"/>
      <c r="F1151" s="183"/>
      <c r="G1151" s="183"/>
      <c r="H1151" s="279" t="b">
        <v>0</v>
      </c>
      <c r="I1151" s="143"/>
      <c r="J1151" s="41"/>
      <c r="K1151" s="279" t="b">
        <v>0</v>
      </c>
      <c r="L1151" s="279" t="b">
        <v>0</v>
      </c>
    </row>
    <row r="1152" ht="14.25" hidden="1" customHeight="1" outlineLevel="1">
      <c r="A1152" s="344">
        <v>45870.0</v>
      </c>
      <c r="B1152" s="132">
        <v>45870.0</v>
      </c>
      <c r="C1152" s="41"/>
      <c r="D1152" s="182"/>
      <c r="E1152" s="183"/>
      <c r="F1152" s="183"/>
      <c r="G1152" s="183"/>
      <c r="H1152" s="279" t="b">
        <v>0</v>
      </c>
      <c r="I1152" s="143"/>
      <c r="J1152" s="41"/>
      <c r="K1152" s="279" t="b">
        <v>0</v>
      </c>
      <c r="L1152" s="279" t="b">
        <v>0</v>
      </c>
    </row>
    <row r="1153" ht="14.25" customHeight="1">
      <c r="A1153" s="180" t="s">
        <v>192</v>
      </c>
      <c r="B1153" s="27"/>
      <c r="C1153" s="27"/>
      <c r="D1153" s="27"/>
      <c r="E1153" s="28"/>
      <c r="F1153" s="181">
        <f t="shared" ref="F1153:G1153" si="172">SUM(F1076:F1152)</f>
        <v>12759.19</v>
      </c>
      <c r="G1153" s="181">
        <f t="shared" si="172"/>
        <v>12759.19</v>
      </c>
    </row>
    <row r="1154" ht="14.25" customHeight="1" collapsed="1">
      <c r="A1154" s="245" t="s">
        <v>1224</v>
      </c>
      <c r="B1154" s="246"/>
      <c r="C1154" s="246"/>
      <c r="D1154" s="246"/>
      <c r="E1154" s="246"/>
      <c r="F1154" s="246"/>
      <c r="G1154" s="246"/>
      <c r="H1154" s="246"/>
      <c r="I1154" s="246"/>
      <c r="J1154" s="247"/>
    </row>
    <row r="1155" ht="15.75" hidden="1" customHeight="1" outlineLevel="1">
      <c r="A1155" s="344">
        <v>45901.0</v>
      </c>
      <c r="B1155" s="132">
        <v>45901.0</v>
      </c>
      <c r="C1155" s="41" t="s">
        <v>61</v>
      </c>
      <c r="D1155" s="182">
        <v>1.0</v>
      </c>
      <c r="E1155" s="183">
        <v>150.0</v>
      </c>
      <c r="F1155" s="183">
        <v>150.0</v>
      </c>
      <c r="G1155" s="183">
        <v>150.0</v>
      </c>
      <c r="H1155" s="279" t="b">
        <v>1</v>
      </c>
      <c r="I1155" s="143" t="s">
        <v>456</v>
      </c>
      <c r="J1155" s="41" t="s">
        <v>1322</v>
      </c>
      <c r="K1155" s="279" t="b">
        <v>0</v>
      </c>
      <c r="L1155" s="279" t="b">
        <v>1</v>
      </c>
    </row>
    <row r="1156" ht="15.75" hidden="1" customHeight="1" outlineLevel="1">
      <c r="A1156" s="344">
        <v>45901.0</v>
      </c>
      <c r="B1156" s="132">
        <v>45902.0</v>
      </c>
      <c r="C1156" s="327" t="s">
        <v>61</v>
      </c>
      <c r="D1156" s="315">
        <v>1.0</v>
      </c>
      <c r="E1156" s="316">
        <v>150.0</v>
      </c>
      <c r="F1156" s="316">
        <f t="shared" ref="F1156:F1161" si="173">D1156*E1156</f>
        <v>150</v>
      </c>
      <c r="G1156" s="316">
        <f t="shared" ref="G1156:G1161" si="174">F1156</f>
        <v>150</v>
      </c>
      <c r="H1156" s="317" t="b">
        <v>1</v>
      </c>
      <c r="I1156" s="334" t="s">
        <v>236</v>
      </c>
      <c r="J1156" s="321" t="s">
        <v>1198</v>
      </c>
      <c r="K1156" s="317" t="b">
        <v>0</v>
      </c>
      <c r="L1156" s="279" t="b">
        <v>1</v>
      </c>
    </row>
    <row r="1157" ht="15.75" hidden="1" customHeight="1" outlineLevel="1">
      <c r="A1157" s="344">
        <v>45901.0</v>
      </c>
      <c r="B1157" s="132">
        <v>45902.0</v>
      </c>
      <c r="C1157" s="327" t="s">
        <v>61</v>
      </c>
      <c r="D1157" s="315">
        <v>1.0</v>
      </c>
      <c r="E1157" s="316">
        <v>150.0</v>
      </c>
      <c r="F1157" s="316">
        <f t="shared" si="173"/>
        <v>150</v>
      </c>
      <c r="G1157" s="316">
        <f t="shared" si="174"/>
        <v>150</v>
      </c>
      <c r="H1157" s="317" t="b">
        <v>1</v>
      </c>
      <c r="I1157" s="143" t="s">
        <v>456</v>
      </c>
      <c r="J1157" s="321" t="s">
        <v>1199</v>
      </c>
      <c r="K1157" s="317" t="b">
        <v>0</v>
      </c>
      <c r="L1157" s="279" t="b">
        <v>1</v>
      </c>
    </row>
    <row r="1158" ht="15.75" hidden="1" customHeight="1" outlineLevel="1">
      <c r="A1158" s="344">
        <v>45901.0</v>
      </c>
      <c r="B1158" s="132">
        <v>45903.0</v>
      </c>
      <c r="C1158" s="327" t="s">
        <v>61</v>
      </c>
      <c r="D1158" s="315">
        <v>1.0</v>
      </c>
      <c r="E1158" s="316">
        <v>150.0</v>
      </c>
      <c r="F1158" s="316">
        <f t="shared" si="173"/>
        <v>150</v>
      </c>
      <c r="G1158" s="316">
        <f t="shared" si="174"/>
        <v>150</v>
      </c>
      <c r="H1158" s="317" t="b">
        <v>1</v>
      </c>
      <c r="I1158" s="143" t="s">
        <v>456</v>
      </c>
      <c r="J1158" s="321" t="s">
        <v>1204</v>
      </c>
      <c r="K1158" s="317" t="b">
        <v>0</v>
      </c>
      <c r="L1158" s="279" t="b">
        <v>1</v>
      </c>
    </row>
    <row r="1159" ht="15.75" hidden="1" customHeight="1" outlineLevel="1">
      <c r="A1159" s="344">
        <v>45901.0</v>
      </c>
      <c r="B1159" s="132">
        <v>45904.0</v>
      </c>
      <c r="C1159" s="327" t="s">
        <v>61</v>
      </c>
      <c r="D1159" s="315">
        <v>1.0</v>
      </c>
      <c r="E1159" s="316">
        <v>150.0</v>
      </c>
      <c r="F1159" s="316">
        <f t="shared" si="173"/>
        <v>150</v>
      </c>
      <c r="G1159" s="316">
        <f t="shared" si="174"/>
        <v>150</v>
      </c>
      <c r="H1159" s="317" t="b">
        <v>1</v>
      </c>
      <c r="I1159" s="143" t="s">
        <v>980</v>
      </c>
      <c r="J1159" s="321" t="s">
        <v>1181</v>
      </c>
      <c r="K1159" s="317" t="b">
        <v>0</v>
      </c>
      <c r="L1159" s="279" t="b">
        <v>1</v>
      </c>
    </row>
    <row r="1160" ht="15.75" hidden="1" customHeight="1" outlineLevel="1">
      <c r="A1160" s="344">
        <v>45901.0</v>
      </c>
      <c r="B1160" s="132">
        <v>45905.0</v>
      </c>
      <c r="C1160" s="327" t="s">
        <v>61</v>
      </c>
      <c r="D1160" s="315">
        <v>1.0</v>
      </c>
      <c r="E1160" s="316">
        <v>150.0</v>
      </c>
      <c r="F1160" s="316">
        <f t="shared" si="173"/>
        <v>150</v>
      </c>
      <c r="G1160" s="316">
        <f t="shared" si="174"/>
        <v>150</v>
      </c>
      <c r="H1160" s="317" t="b">
        <v>1</v>
      </c>
      <c r="I1160" s="334" t="s">
        <v>236</v>
      </c>
      <c r="J1160" s="321" t="s">
        <v>1184</v>
      </c>
      <c r="K1160" s="317" t="b">
        <v>0</v>
      </c>
      <c r="L1160" s="279" t="b">
        <v>1</v>
      </c>
    </row>
    <row r="1161" ht="15.75" hidden="1" customHeight="1" outlineLevel="1">
      <c r="A1161" s="344">
        <v>45901.0</v>
      </c>
      <c r="B1161" s="132">
        <v>45905.0</v>
      </c>
      <c r="C1161" s="327" t="s">
        <v>61</v>
      </c>
      <c r="D1161" s="315">
        <v>1.0</v>
      </c>
      <c r="E1161" s="316">
        <v>150.0</v>
      </c>
      <c r="F1161" s="316">
        <f t="shared" si="173"/>
        <v>150</v>
      </c>
      <c r="G1161" s="316">
        <f t="shared" si="174"/>
        <v>150</v>
      </c>
      <c r="H1161" s="317" t="b">
        <v>1</v>
      </c>
      <c r="I1161" s="143" t="s">
        <v>1062</v>
      </c>
      <c r="J1161" s="321" t="s">
        <v>1213</v>
      </c>
      <c r="K1161" s="317" t="b">
        <v>0</v>
      </c>
      <c r="L1161" s="279" t="b">
        <v>1</v>
      </c>
    </row>
    <row r="1162" ht="15.75" hidden="1" customHeight="1" outlineLevel="1">
      <c r="A1162" s="344">
        <v>45901.0</v>
      </c>
      <c r="B1162" s="132">
        <v>45907.0</v>
      </c>
      <c r="C1162" s="41" t="s">
        <v>61</v>
      </c>
      <c r="D1162" s="182">
        <v>1.0</v>
      </c>
      <c r="E1162" s="316">
        <v>200.0</v>
      </c>
      <c r="F1162" s="316">
        <v>200.0</v>
      </c>
      <c r="G1162" s="316">
        <v>200.0</v>
      </c>
      <c r="H1162" s="317" t="b">
        <v>1</v>
      </c>
      <c r="I1162" s="318" t="s">
        <v>490</v>
      </c>
      <c r="J1162" s="321" t="s">
        <v>1192</v>
      </c>
      <c r="K1162" s="279" t="b">
        <v>0</v>
      </c>
      <c r="L1162" s="279" t="b">
        <v>1</v>
      </c>
    </row>
    <row r="1163" ht="15.75" hidden="1" customHeight="1" outlineLevel="1">
      <c r="A1163" s="344">
        <v>45901.0</v>
      </c>
      <c r="B1163" s="132">
        <v>45907.0</v>
      </c>
      <c r="C1163" s="41" t="s">
        <v>61</v>
      </c>
      <c r="D1163" s="182">
        <v>1.0</v>
      </c>
      <c r="E1163" s="183">
        <v>200.0</v>
      </c>
      <c r="F1163" s="183">
        <v>200.0</v>
      </c>
      <c r="G1163" s="183">
        <v>200.0</v>
      </c>
      <c r="H1163" s="279" t="b">
        <v>1</v>
      </c>
      <c r="I1163" s="143" t="s">
        <v>1185</v>
      </c>
      <c r="J1163" s="41" t="s">
        <v>1193</v>
      </c>
      <c r="K1163" s="279" t="b">
        <v>0</v>
      </c>
      <c r="L1163" s="279" t="b">
        <v>1</v>
      </c>
    </row>
    <row r="1164" ht="15.75" hidden="1" customHeight="1" outlineLevel="1">
      <c r="A1164" s="344">
        <v>45901.0</v>
      </c>
      <c r="B1164" s="132">
        <v>45907.0</v>
      </c>
      <c r="C1164" s="41" t="s">
        <v>61</v>
      </c>
      <c r="D1164" s="182">
        <v>1.0</v>
      </c>
      <c r="E1164" s="183">
        <v>200.0</v>
      </c>
      <c r="F1164" s="183">
        <v>200.0</v>
      </c>
      <c r="G1164" s="183">
        <v>200.0</v>
      </c>
      <c r="H1164" s="279" t="b">
        <v>1</v>
      </c>
      <c r="I1164" s="143" t="s">
        <v>413</v>
      </c>
      <c r="J1164" s="41" t="s">
        <v>1195</v>
      </c>
      <c r="K1164" s="279" t="b">
        <v>0</v>
      </c>
      <c r="L1164" s="279" t="b">
        <v>1</v>
      </c>
    </row>
    <row r="1165" ht="15.75" hidden="1" customHeight="1" outlineLevel="1">
      <c r="A1165" s="344">
        <v>45901.0</v>
      </c>
      <c r="B1165" s="132">
        <v>45908.0</v>
      </c>
      <c r="C1165" s="41" t="s">
        <v>61</v>
      </c>
      <c r="D1165" s="182">
        <v>1.0</v>
      </c>
      <c r="E1165" s="183">
        <v>150.0</v>
      </c>
      <c r="F1165" s="183">
        <v>150.0</v>
      </c>
      <c r="G1165" s="183">
        <v>150.0</v>
      </c>
      <c r="H1165" s="279" t="b">
        <v>1</v>
      </c>
      <c r="I1165" s="143" t="s">
        <v>456</v>
      </c>
      <c r="J1165" s="41" t="s">
        <v>1322</v>
      </c>
      <c r="K1165" s="279" t="b">
        <v>0</v>
      </c>
      <c r="L1165" s="279" t="b">
        <v>1</v>
      </c>
    </row>
    <row r="1166" ht="15.75" hidden="1" customHeight="1" outlineLevel="1">
      <c r="A1166" s="344">
        <v>45901.0</v>
      </c>
      <c r="B1166" s="132">
        <v>45909.0</v>
      </c>
      <c r="C1166" s="327" t="s">
        <v>61</v>
      </c>
      <c r="D1166" s="315">
        <v>1.0</v>
      </c>
      <c r="E1166" s="316">
        <v>150.0</v>
      </c>
      <c r="F1166" s="316">
        <f t="shared" ref="F1166:F1169" si="175">D1166*E1166</f>
        <v>150</v>
      </c>
      <c r="G1166" s="316">
        <f t="shared" ref="G1166:G1169" si="176">F1166</f>
        <v>150</v>
      </c>
      <c r="H1166" s="317" t="b">
        <v>1</v>
      </c>
      <c r="I1166" s="334" t="s">
        <v>236</v>
      </c>
      <c r="J1166" s="321" t="s">
        <v>1198</v>
      </c>
      <c r="K1166" s="317" t="b">
        <v>0</v>
      </c>
      <c r="L1166" s="279" t="b">
        <v>1</v>
      </c>
    </row>
    <row r="1167" ht="15.75" hidden="1" customHeight="1" outlineLevel="1">
      <c r="A1167" s="344">
        <v>45901.0</v>
      </c>
      <c r="B1167" s="132">
        <v>45909.0</v>
      </c>
      <c r="C1167" s="327" t="s">
        <v>61</v>
      </c>
      <c r="D1167" s="315">
        <v>1.0</v>
      </c>
      <c r="E1167" s="316">
        <v>150.0</v>
      </c>
      <c r="F1167" s="316">
        <f t="shared" si="175"/>
        <v>150</v>
      </c>
      <c r="G1167" s="316">
        <f t="shared" si="176"/>
        <v>150</v>
      </c>
      <c r="H1167" s="317" t="b">
        <v>1</v>
      </c>
      <c r="I1167" s="143" t="s">
        <v>456</v>
      </c>
      <c r="J1167" s="321" t="s">
        <v>1199</v>
      </c>
      <c r="K1167" s="317" t="b">
        <v>0</v>
      </c>
      <c r="L1167" s="279" t="b">
        <v>1</v>
      </c>
    </row>
    <row r="1168" ht="15.75" hidden="1" customHeight="1" outlineLevel="1">
      <c r="A1168" s="344">
        <v>45901.0</v>
      </c>
      <c r="B1168" s="132">
        <v>45910.0</v>
      </c>
      <c r="C1168" s="327" t="s">
        <v>61</v>
      </c>
      <c r="D1168" s="315">
        <v>1.0</v>
      </c>
      <c r="E1168" s="316">
        <v>150.0</v>
      </c>
      <c r="F1168" s="316">
        <f t="shared" si="175"/>
        <v>150</v>
      </c>
      <c r="G1168" s="316">
        <f t="shared" si="176"/>
        <v>150</v>
      </c>
      <c r="H1168" s="317" t="b">
        <v>1</v>
      </c>
      <c r="I1168" s="143" t="s">
        <v>456</v>
      </c>
      <c r="J1168" s="321" t="s">
        <v>1204</v>
      </c>
      <c r="K1168" s="317" t="b">
        <v>0</v>
      </c>
      <c r="L1168" s="279" t="b">
        <v>1</v>
      </c>
    </row>
    <row r="1169" ht="15.75" hidden="1" customHeight="1" outlineLevel="1">
      <c r="A1169" s="344">
        <v>45901.0</v>
      </c>
      <c r="B1169" s="132">
        <v>45911.0</v>
      </c>
      <c r="C1169" s="327" t="s">
        <v>61</v>
      </c>
      <c r="D1169" s="315">
        <v>1.0</v>
      </c>
      <c r="E1169" s="316">
        <v>150.0</v>
      </c>
      <c r="F1169" s="316">
        <f t="shared" si="175"/>
        <v>150</v>
      </c>
      <c r="G1169" s="316">
        <f t="shared" si="176"/>
        <v>150</v>
      </c>
      <c r="H1169" s="317" t="b">
        <v>1</v>
      </c>
      <c r="I1169" s="143" t="s">
        <v>980</v>
      </c>
      <c r="J1169" s="321" t="s">
        <v>1181</v>
      </c>
      <c r="K1169" s="317" t="b">
        <v>0</v>
      </c>
      <c r="L1169" s="279" t="b">
        <v>1</v>
      </c>
    </row>
    <row r="1170" ht="15.75" hidden="1" customHeight="1" outlineLevel="1">
      <c r="A1170" s="344">
        <v>45901.0</v>
      </c>
      <c r="B1170" s="132">
        <v>45911.0</v>
      </c>
      <c r="C1170" s="41" t="s">
        <v>171</v>
      </c>
      <c r="D1170" s="182">
        <v>1.0</v>
      </c>
      <c r="E1170" s="183">
        <v>47.5</v>
      </c>
      <c r="F1170" s="183">
        <v>47.5</v>
      </c>
      <c r="G1170" s="183">
        <v>47.5</v>
      </c>
      <c r="H1170" s="279" t="b">
        <v>0</v>
      </c>
      <c r="I1170" s="143" t="s">
        <v>172</v>
      </c>
      <c r="J1170" s="41" t="s">
        <v>898</v>
      </c>
      <c r="K1170" s="279" t="b">
        <v>1</v>
      </c>
      <c r="L1170" s="279" t="b">
        <v>1</v>
      </c>
    </row>
    <row r="1171" ht="15.75" hidden="1" customHeight="1" outlineLevel="1">
      <c r="A1171" s="344">
        <v>45901.0</v>
      </c>
      <c r="B1171" s="369">
        <v>45911.0</v>
      </c>
      <c r="C1171" s="327" t="s">
        <v>171</v>
      </c>
      <c r="D1171" s="286">
        <v>1.0</v>
      </c>
      <c r="E1171" s="69">
        <v>96.9</v>
      </c>
      <c r="F1171" s="69">
        <v>96.9</v>
      </c>
      <c r="G1171" s="69">
        <v>96.9</v>
      </c>
      <c r="H1171" s="288" t="b">
        <v>0</v>
      </c>
      <c r="I1171" s="289" t="s">
        <v>172</v>
      </c>
      <c r="J1171" s="285" t="s">
        <v>898</v>
      </c>
      <c r="K1171" s="288" t="b">
        <v>1</v>
      </c>
      <c r="L1171" s="288" t="b">
        <v>1</v>
      </c>
    </row>
    <row r="1172" ht="15.75" hidden="1" customHeight="1" outlineLevel="1">
      <c r="A1172" s="344">
        <v>45901.0</v>
      </c>
      <c r="B1172" s="132">
        <v>45912.0</v>
      </c>
      <c r="C1172" s="327" t="s">
        <v>61</v>
      </c>
      <c r="D1172" s="315">
        <v>1.0</v>
      </c>
      <c r="E1172" s="316">
        <v>150.0</v>
      </c>
      <c r="F1172" s="316">
        <f t="shared" ref="F1172:F1173" si="177">D1172*E1172</f>
        <v>150</v>
      </c>
      <c r="G1172" s="316">
        <f t="shared" ref="G1172:G1173" si="178">F1172</f>
        <v>150</v>
      </c>
      <c r="H1172" s="317" t="b">
        <v>1</v>
      </c>
      <c r="I1172" s="334" t="s">
        <v>236</v>
      </c>
      <c r="J1172" s="321" t="s">
        <v>1184</v>
      </c>
      <c r="K1172" s="317" t="b">
        <v>0</v>
      </c>
      <c r="L1172" s="279" t="b">
        <v>1</v>
      </c>
    </row>
    <row r="1173" ht="15.75" hidden="1" customHeight="1" outlineLevel="1">
      <c r="A1173" s="344">
        <v>45901.0</v>
      </c>
      <c r="B1173" s="132">
        <v>45912.0</v>
      </c>
      <c r="C1173" s="327" t="s">
        <v>61</v>
      </c>
      <c r="D1173" s="315">
        <v>1.0</v>
      </c>
      <c r="E1173" s="316">
        <v>150.0</v>
      </c>
      <c r="F1173" s="316">
        <f t="shared" si="177"/>
        <v>150</v>
      </c>
      <c r="G1173" s="316">
        <f t="shared" si="178"/>
        <v>150</v>
      </c>
      <c r="H1173" s="317" t="b">
        <v>1</v>
      </c>
      <c r="I1173" s="143" t="s">
        <v>1062</v>
      </c>
      <c r="J1173" s="321" t="s">
        <v>1213</v>
      </c>
      <c r="K1173" s="317" t="b">
        <v>0</v>
      </c>
      <c r="L1173" s="279" t="b">
        <v>1</v>
      </c>
    </row>
    <row r="1174" ht="15.75" hidden="1" customHeight="1" outlineLevel="1">
      <c r="A1174" s="344">
        <v>45901.0</v>
      </c>
      <c r="B1174" s="132">
        <v>45914.0</v>
      </c>
      <c r="C1174" s="41" t="s">
        <v>61</v>
      </c>
      <c r="D1174" s="182">
        <v>1.0</v>
      </c>
      <c r="E1174" s="316">
        <v>200.0</v>
      </c>
      <c r="F1174" s="316">
        <v>200.0</v>
      </c>
      <c r="G1174" s="316">
        <v>200.0</v>
      </c>
      <c r="H1174" s="317" t="b">
        <v>1</v>
      </c>
      <c r="I1174" s="318" t="s">
        <v>490</v>
      </c>
      <c r="J1174" s="321" t="s">
        <v>1192</v>
      </c>
      <c r="K1174" s="279" t="b">
        <v>0</v>
      </c>
      <c r="L1174" s="279" t="b">
        <v>1</v>
      </c>
    </row>
    <row r="1175" ht="15.75" hidden="1" customHeight="1" outlineLevel="1">
      <c r="A1175" s="344">
        <v>45901.0</v>
      </c>
      <c r="B1175" s="132">
        <v>45914.0</v>
      </c>
      <c r="C1175" s="41" t="s">
        <v>61</v>
      </c>
      <c r="D1175" s="182">
        <v>1.0</v>
      </c>
      <c r="E1175" s="183">
        <v>200.0</v>
      </c>
      <c r="F1175" s="183">
        <v>200.0</v>
      </c>
      <c r="G1175" s="183">
        <v>200.0</v>
      </c>
      <c r="H1175" s="279" t="b">
        <v>1</v>
      </c>
      <c r="I1175" s="143" t="s">
        <v>1185</v>
      </c>
      <c r="J1175" s="41" t="s">
        <v>1193</v>
      </c>
      <c r="K1175" s="279" t="b">
        <v>0</v>
      </c>
      <c r="L1175" s="279" t="b">
        <v>1</v>
      </c>
    </row>
    <row r="1176" ht="15.75" hidden="1" customHeight="1" outlineLevel="1">
      <c r="A1176" s="344">
        <v>45901.0</v>
      </c>
      <c r="B1176" s="132">
        <v>45914.0</v>
      </c>
      <c r="C1176" s="41" t="s">
        <v>61</v>
      </c>
      <c r="D1176" s="182">
        <v>1.0</v>
      </c>
      <c r="E1176" s="183">
        <v>200.0</v>
      </c>
      <c r="F1176" s="183">
        <v>200.0</v>
      </c>
      <c r="G1176" s="183">
        <v>200.0</v>
      </c>
      <c r="H1176" s="279" t="b">
        <v>1</v>
      </c>
      <c r="I1176" s="143" t="s">
        <v>413</v>
      </c>
      <c r="J1176" s="41" t="s">
        <v>1195</v>
      </c>
      <c r="K1176" s="279" t="b">
        <v>0</v>
      </c>
      <c r="L1176" s="279" t="b">
        <v>1</v>
      </c>
    </row>
    <row r="1177" ht="15.75" hidden="1" customHeight="1" outlineLevel="1">
      <c r="A1177" s="344">
        <v>45901.0</v>
      </c>
      <c r="B1177" s="132">
        <v>45915.0</v>
      </c>
      <c r="C1177" s="41" t="s">
        <v>61</v>
      </c>
      <c r="D1177" s="182">
        <v>1.0</v>
      </c>
      <c r="E1177" s="183">
        <v>150.0</v>
      </c>
      <c r="F1177" s="183">
        <v>150.0</v>
      </c>
      <c r="G1177" s="183">
        <v>150.0</v>
      </c>
      <c r="H1177" s="279" t="b">
        <v>1</v>
      </c>
      <c r="I1177" s="143" t="s">
        <v>456</v>
      </c>
      <c r="J1177" s="41" t="s">
        <v>1322</v>
      </c>
      <c r="K1177" s="279" t="b">
        <v>0</v>
      </c>
      <c r="L1177" s="279" t="b">
        <v>1</v>
      </c>
    </row>
    <row r="1178" ht="15.75" hidden="1" customHeight="1" outlineLevel="1">
      <c r="A1178" s="344">
        <v>45901.0</v>
      </c>
      <c r="B1178" s="132">
        <v>45916.0</v>
      </c>
      <c r="C1178" s="327" t="s">
        <v>61</v>
      </c>
      <c r="D1178" s="315">
        <v>1.0</v>
      </c>
      <c r="E1178" s="316">
        <v>150.0</v>
      </c>
      <c r="F1178" s="316">
        <f t="shared" ref="F1178:F1191" si="179">D1178*E1178</f>
        <v>150</v>
      </c>
      <c r="G1178" s="316">
        <f t="shared" ref="G1178:G1182" si="180">F1178</f>
        <v>150</v>
      </c>
      <c r="H1178" s="317" t="b">
        <v>1</v>
      </c>
      <c r="I1178" s="334" t="s">
        <v>236</v>
      </c>
      <c r="J1178" s="321" t="s">
        <v>1198</v>
      </c>
      <c r="K1178" s="317" t="b">
        <v>0</v>
      </c>
      <c r="L1178" s="279" t="b">
        <v>1</v>
      </c>
    </row>
    <row r="1179" ht="15.75" hidden="1" customHeight="1" outlineLevel="1">
      <c r="A1179" s="344">
        <v>45901.0</v>
      </c>
      <c r="B1179" s="132">
        <v>45916.0</v>
      </c>
      <c r="C1179" s="327" t="s">
        <v>61</v>
      </c>
      <c r="D1179" s="315">
        <v>1.0</v>
      </c>
      <c r="E1179" s="316">
        <v>150.0</v>
      </c>
      <c r="F1179" s="316">
        <f t="shared" si="179"/>
        <v>150</v>
      </c>
      <c r="G1179" s="316">
        <f t="shared" si="180"/>
        <v>150</v>
      </c>
      <c r="H1179" s="317" t="b">
        <v>1</v>
      </c>
      <c r="I1179" s="143" t="s">
        <v>456</v>
      </c>
      <c r="J1179" s="321" t="s">
        <v>1199</v>
      </c>
      <c r="K1179" s="317" t="b">
        <v>0</v>
      </c>
      <c r="L1179" s="279" t="b">
        <v>1</v>
      </c>
    </row>
    <row r="1180" ht="15.75" hidden="1" customHeight="1" outlineLevel="1">
      <c r="A1180" s="344">
        <v>45901.0</v>
      </c>
      <c r="B1180" s="132">
        <v>45916.0</v>
      </c>
      <c r="C1180" s="41" t="s">
        <v>80</v>
      </c>
      <c r="D1180" s="182">
        <v>2.0</v>
      </c>
      <c r="E1180" s="183">
        <v>15.0</v>
      </c>
      <c r="F1180" s="183">
        <f t="shared" si="179"/>
        <v>30</v>
      </c>
      <c r="G1180" s="183">
        <f t="shared" si="180"/>
        <v>30</v>
      </c>
      <c r="H1180" s="279" t="b">
        <v>0</v>
      </c>
      <c r="I1180" s="143" t="s">
        <v>481</v>
      </c>
      <c r="J1180" s="41" t="s">
        <v>1483</v>
      </c>
      <c r="K1180" s="279" t="b">
        <v>1</v>
      </c>
      <c r="L1180" s="279" t="b">
        <v>1</v>
      </c>
    </row>
    <row r="1181" ht="15.75" hidden="1" customHeight="1" outlineLevel="1">
      <c r="A1181" s="344">
        <v>45901.0</v>
      </c>
      <c r="B1181" s="132">
        <v>45917.0</v>
      </c>
      <c r="C1181" s="327" t="s">
        <v>61</v>
      </c>
      <c r="D1181" s="315">
        <v>1.0</v>
      </c>
      <c r="E1181" s="316">
        <v>150.0</v>
      </c>
      <c r="F1181" s="316">
        <f t="shared" si="179"/>
        <v>150</v>
      </c>
      <c r="G1181" s="316">
        <f t="shared" si="180"/>
        <v>150</v>
      </c>
      <c r="H1181" s="317" t="b">
        <v>1</v>
      </c>
      <c r="I1181" s="143" t="s">
        <v>456</v>
      </c>
      <c r="J1181" s="321" t="s">
        <v>1204</v>
      </c>
      <c r="K1181" s="317" t="b">
        <v>0</v>
      </c>
      <c r="L1181" s="279" t="b">
        <v>1</v>
      </c>
    </row>
    <row r="1182" ht="15.75" hidden="1" customHeight="1" outlineLevel="1">
      <c r="A1182" s="344">
        <v>45901.0</v>
      </c>
      <c r="B1182" s="132">
        <v>45918.0</v>
      </c>
      <c r="C1182" s="327" t="s">
        <v>61</v>
      </c>
      <c r="D1182" s="315">
        <v>1.0</v>
      </c>
      <c r="E1182" s="316">
        <v>150.0</v>
      </c>
      <c r="F1182" s="316">
        <f t="shared" si="179"/>
        <v>150</v>
      </c>
      <c r="G1182" s="316">
        <f t="shared" si="180"/>
        <v>150</v>
      </c>
      <c r="H1182" s="317" t="b">
        <v>1</v>
      </c>
      <c r="I1182" s="143" t="s">
        <v>980</v>
      </c>
      <c r="J1182" s="321" t="s">
        <v>1181</v>
      </c>
      <c r="K1182" s="317" t="b">
        <v>0</v>
      </c>
      <c r="L1182" s="279" t="b">
        <v>1</v>
      </c>
    </row>
    <row r="1183" ht="15.75" hidden="1" customHeight="1" outlineLevel="1">
      <c r="A1183" s="344">
        <v>45901.0</v>
      </c>
      <c r="B1183" s="132">
        <v>45918.0</v>
      </c>
      <c r="C1183" s="41" t="s">
        <v>69</v>
      </c>
      <c r="D1183" s="182">
        <v>2.0</v>
      </c>
      <c r="E1183" s="183">
        <v>5.99</v>
      </c>
      <c r="F1183" s="183">
        <f t="shared" si="179"/>
        <v>11.98</v>
      </c>
      <c r="G1183" s="196">
        <f>SUM(F1183:F1187)</f>
        <v>167.25</v>
      </c>
      <c r="H1183" s="278" t="b">
        <v>0</v>
      </c>
      <c r="I1183" s="164" t="s">
        <v>117</v>
      </c>
      <c r="J1183" s="41" t="s">
        <v>230</v>
      </c>
      <c r="K1183" s="278" t="b">
        <v>0</v>
      </c>
      <c r="L1183" s="278" t="b">
        <v>0</v>
      </c>
    </row>
    <row r="1184" ht="15.75" hidden="1" customHeight="1" outlineLevel="1">
      <c r="A1184" s="344">
        <v>45901.0</v>
      </c>
      <c r="B1184" s="132">
        <v>45918.0</v>
      </c>
      <c r="C1184" s="41" t="s">
        <v>55</v>
      </c>
      <c r="D1184" s="182">
        <v>2.0</v>
      </c>
      <c r="E1184" s="183">
        <v>59.9</v>
      </c>
      <c r="F1184" s="183">
        <f t="shared" si="179"/>
        <v>119.8</v>
      </c>
      <c r="G1184" s="58"/>
      <c r="H1184" s="58"/>
      <c r="I1184" s="194"/>
      <c r="J1184" s="41" t="s">
        <v>1486</v>
      </c>
      <c r="K1184" s="58"/>
      <c r="L1184" s="58"/>
    </row>
    <row r="1185" ht="15.75" hidden="1" customHeight="1" outlineLevel="1">
      <c r="A1185" s="344">
        <v>45901.0</v>
      </c>
      <c r="B1185" s="132">
        <v>45918.0</v>
      </c>
      <c r="C1185" s="41" t="s">
        <v>55</v>
      </c>
      <c r="D1185" s="182">
        <v>1.0</v>
      </c>
      <c r="E1185" s="183">
        <v>10.49</v>
      </c>
      <c r="F1185" s="183">
        <f t="shared" si="179"/>
        <v>10.49</v>
      </c>
      <c r="G1185" s="58"/>
      <c r="H1185" s="58"/>
      <c r="I1185" s="194"/>
      <c r="J1185" s="41" t="s">
        <v>1487</v>
      </c>
      <c r="K1185" s="58"/>
      <c r="L1185" s="58"/>
    </row>
    <row r="1186" ht="15.75" hidden="1" customHeight="1" outlineLevel="1">
      <c r="A1186" s="344">
        <v>45901.0</v>
      </c>
      <c r="B1186" s="132">
        <v>45918.0</v>
      </c>
      <c r="C1186" s="41" t="s">
        <v>112</v>
      </c>
      <c r="D1186" s="182">
        <v>1.0</v>
      </c>
      <c r="E1186" s="183">
        <v>14.99</v>
      </c>
      <c r="F1186" s="183">
        <f t="shared" si="179"/>
        <v>14.99</v>
      </c>
      <c r="G1186" s="58"/>
      <c r="H1186" s="58"/>
      <c r="I1186" s="194"/>
      <c r="J1186" s="41" t="s">
        <v>1256</v>
      </c>
      <c r="K1186" s="58"/>
      <c r="L1186" s="58"/>
    </row>
    <row r="1187" ht="15.75" hidden="1" customHeight="1" outlineLevel="1">
      <c r="A1187" s="344">
        <v>45901.0</v>
      </c>
      <c r="B1187" s="132">
        <v>45918.0</v>
      </c>
      <c r="C1187" s="41" t="s">
        <v>97</v>
      </c>
      <c r="D1187" s="182">
        <v>1.0</v>
      </c>
      <c r="E1187" s="183">
        <v>9.99</v>
      </c>
      <c r="F1187" s="183">
        <f t="shared" si="179"/>
        <v>9.99</v>
      </c>
      <c r="G1187" s="10"/>
      <c r="H1187" s="10"/>
      <c r="I1187" s="74"/>
      <c r="J1187" s="41" t="s">
        <v>1490</v>
      </c>
      <c r="K1187" s="10"/>
      <c r="L1187" s="10"/>
    </row>
    <row r="1188" ht="15.75" hidden="1" customHeight="1" outlineLevel="1">
      <c r="A1188" s="344">
        <v>45901.0</v>
      </c>
      <c r="B1188" s="132">
        <v>45919.0</v>
      </c>
      <c r="C1188" s="327" t="s">
        <v>61</v>
      </c>
      <c r="D1188" s="315">
        <v>1.0</v>
      </c>
      <c r="E1188" s="316">
        <v>150.0</v>
      </c>
      <c r="F1188" s="316">
        <f t="shared" si="179"/>
        <v>150</v>
      </c>
      <c r="G1188" s="316">
        <f t="shared" ref="G1188:G1191" si="181">F1188</f>
        <v>150</v>
      </c>
      <c r="H1188" s="317" t="b">
        <v>1</v>
      </c>
      <c r="I1188" s="334" t="s">
        <v>236</v>
      </c>
      <c r="J1188" s="321" t="s">
        <v>1184</v>
      </c>
      <c r="K1188" s="317" t="b">
        <v>0</v>
      </c>
      <c r="L1188" s="279" t="b">
        <v>1</v>
      </c>
    </row>
    <row r="1189" ht="15.75" hidden="1" customHeight="1" outlineLevel="1">
      <c r="A1189" s="344">
        <v>45901.0</v>
      </c>
      <c r="B1189" s="132">
        <v>45919.0</v>
      </c>
      <c r="C1189" s="327" t="s">
        <v>61</v>
      </c>
      <c r="D1189" s="315">
        <v>1.0</v>
      </c>
      <c r="E1189" s="316">
        <v>150.0</v>
      </c>
      <c r="F1189" s="316">
        <f t="shared" si="179"/>
        <v>150</v>
      </c>
      <c r="G1189" s="316">
        <f t="shared" si="181"/>
        <v>150</v>
      </c>
      <c r="H1189" s="317" t="b">
        <v>1</v>
      </c>
      <c r="I1189" s="143" t="s">
        <v>1062</v>
      </c>
      <c r="J1189" s="321" t="s">
        <v>1213</v>
      </c>
      <c r="K1189" s="317" t="b">
        <v>0</v>
      </c>
      <c r="L1189" s="279" t="b">
        <v>1</v>
      </c>
    </row>
    <row r="1190" ht="15.75" hidden="1" customHeight="1" outlineLevel="1">
      <c r="A1190" s="344">
        <v>45901.0</v>
      </c>
      <c r="B1190" s="132">
        <v>45920.0</v>
      </c>
      <c r="C1190" s="41" t="s">
        <v>75</v>
      </c>
      <c r="D1190" s="182">
        <v>3.0</v>
      </c>
      <c r="E1190" s="183">
        <v>31.2</v>
      </c>
      <c r="F1190" s="183">
        <f t="shared" si="179"/>
        <v>93.6</v>
      </c>
      <c r="G1190" s="183">
        <f t="shared" si="181"/>
        <v>93.6</v>
      </c>
      <c r="H1190" s="279" t="b">
        <v>0</v>
      </c>
      <c r="I1190" s="143" t="s">
        <v>225</v>
      </c>
      <c r="J1190" s="41" t="s">
        <v>1492</v>
      </c>
      <c r="K1190" s="279" t="b">
        <v>1</v>
      </c>
      <c r="L1190" s="279" t="b">
        <v>1</v>
      </c>
    </row>
    <row r="1191" ht="15.75" hidden="1" customHeight="1" outlineLevel="1">
      <c r="A1191" s="344">
        <v>45901.0</v>
      </c>
      <c r="B1191" s="132">
        <v>45920.0</v>
      </c>
      <c r="C1191" s="41" t="s">
        <v>171</v>
      </c>
      <c r="D1191" s="182">
        <v>1.0</v>
      </c>
      <c r="E1191" s="183">
        <v>348.65</v>
      </c>
      <c r="F1191" s="183">
        <f t="shared" si="179"/>
        <v>348.65</v>
      </c>
      <c r="G1191" s="183">
        <f t="shared" si="181"/>
        <v>348.65</v>
      </c>
      <c r="H1191" s="279" t="b">
        <v>0</v>
      </c>
      <c r="I1191" s="143" t="s">
        <v>172</v>
      </c>
      <c r="J1191" s="41" t="s">
        <v>1494</v>
      </c>
      <c r="K1191" s="279" t="b">
        <v>1</v>
      </c>
      <c r="L1191" s="279" t="b">
        <v>1</v>
      </c>
    </row>
    <row r="1192" ht="15.75" hidden="1" customHeight="1" outlineLevel="1">
      <c r="A1192" s="344">
        <v>45901.0</v>
      </c>
      <c r="B1192" s="132">
        <v>45921.0</v>
      </c>
      <c r="C1192" s="41" t="s">
        <v>61</v>
      </c>
      <c r="D1192" s="182">
        <v>1.0</v>
      </c>
      <c r="E1192" s="316">
        <v>200.0</v>
      </c>
      <c r="F1192" s="316">
        <v>200.0</v>
      </c>
      <c r="G1192" s="316">
        <v>200.0</v>
      </c>
      <c r="H1192" s="317" t="b">
        <v>1</v>
      </c>
      <c r="I1192" s="318" t="s">
        <v>820</v>
      </c>
      <c r="J1192" s="321" t="s">
        <v>1192</v>
      </c>
      <c r="K1192" s="279" t="b">
        <v>0</v>
      </c>
      <c r="L1192" s="279" t="b">
        <v>1</v>
      </c>
    </row>
    <row r="1193" ht="15.75" hidden="1" customHeight="1" outlineLevel="1">
      <c r="A1193" s="344">
        <v>45901.0</v>
      </c>
      <c r="B1193" s="132">
        <v>45921.0</v>
      </c>
      <c r="C1193" s="41" t="s">
        <v>61</v>
      </c>
      <c r="D1193" s="182">
        <v>1.0</v>
      </c>
      <c r="E1193" s="183">
        <v>200.0</v>
      </c>
      <c r="F1193" s="183">
        <v>200.0</v>
      </c>
      <c r="G1193" s="183">
        <v>200.0</v>
      </c>
      <c r="H1193" s="279" t="b">
        <v>1</v>
      </c>
      <c r="I1193" s="143" t="s">
        <v>1185</v>
      </c>
      <c r="J1193" s="41" t="s">
        <v>1193</v>
      </c>
      <c r="K1193" s="279" t="b">
        <v>0</v>
      </c>
      <c r="L1193" s="279" t="b">
        <v>1</v>
      </c>
    </row>
    <row r="1194" ht="15.75" hidden="1" customHeight="1" outlineLevel="1">
      <c r="A1194" s="344">
        <v>45901.0</v>
      </c>
      <c r="B1194" s="132">
        <v>45921.0</v>
      </c>
      <c r="C1194" s="41" t="s">
        <v>61</v>
      </c>
      <c r="D1194" s="182">
        <v>1.0</v>
      </c>
      <c r="E1194" s="183">
        <v>200.0</v>
      </c>
      <c r="F1194" s="183">
        <v>200.0</v>
      </c>
      <c r="G1194" s="183">
        <v>200.0</v>
      </c>
      <c r="H1194" s="279" t="b">
        <v>1</v>
      </c>
      <c r="I1194" s="143" t="s">
        <v>413</v>
      </c>
      <c r="J1194" s="41" t="s">
        <v>1195</v>
      </c>
      <c r="K1194" s="279" t="b">
        <v>0</v>
      </c>
      <c r="L1194" s="279" t="b">
        <v>1</v>
      </c>
    </row>
    <row r="1195" ht="15.75" hidden="1" customHeight="1" outlineLevel="1">
      <c r="A1195" s="344">
        <v>45901.0</v>
      </c>
      <c r="B1195" s="132">
        <v>45921.0</v>
      </c>
      <c r="C1195" s="41" t="s">
        <v>97</v>
      </c>
      <c r="D1195" s="182">
        <v>1.0</v>
      </c>
      <c r="E1195" s="183">
        <v>39.0</v>
      </c>
      <c r="F1195" s="183">
        <v>39.0</v>
      </c>
      <c r="G1195" s="183">
        <v>39.0</v>
      </c>
      <c r="H1195" s="279" t="b">
        <v>0</v>
      </c>
      <c r="I1195" s="143" t="s">
        <v>820</v>
      </c>
      <c r="J1195" s="41" t="s">
        <v>1386</v>
      </c>
      <c r="K1195" s="279" t="b">
        <v>0</v>
      </c>
      <c r="L1195" s="279" t="b">
        <v>1</v>
      </c>
    </row>
    <row r="1196" ht="15.75" hidden="1" customHeight="1" outlineLevel="1">
      <c r="A1196" s="344">
        <v>45901.0</v>
      </c>
      <c r="B1196" s="132">
        <v>45922.0</v>
      </c>
      <c r="C1196" s="41" t="s">
        <v>61</v>
      </c>
      <c r="D1196" s="182">
        <v>1.0</v>
      </c>
      <c r="E1196" s="183">
        <v>150.0</v>
      </c>
      <c r="F1196" s="183">
        <v>150.0</v>
      </c>
      <c r="G1196" s="183">
        <v>150.0</v>
      </c>
      <c r="H1196" s="279" t="b">
        <v>1</v>
      </c>
      <c r="I1196" s="143" t="s">
        <v>456</v>
      </c>
      <c r="J1196" s="41" t="s">
        <v>1322</v>
      </c>
      <c r="K1196" s="279" t="b">
        <v>0</v>
      </c>
      <c r="L1196" s="279" t="b">
        <v>1</v>
      </c>
    </row>
    <row r="1197" ht="15.75" hidden="1" customHeight="1" outlineLevel="1">
      <c r="A1197" s="344">
        <v>45901.0</v>
      </c>
      <c r="B1197" s="132">
        <v>45922.0</v>
      </c>
      <c r="C1197" s="41" t="s">
        <v>315</v>
      </c>
      <c r="D1197" s="182">
        <v>2.0</v>
      </c>
      <c r="E1197" s="183">
        <v>49.99</v>
      </c>
      <c r="F1197" s="183">
        <f t="shared" ref="F1197:F1203" si="182">D1197*E1197</f>
        <v>99.98</v>
      </c>
      <c r="G1197" s="183">
        <f t="shared" ref="G1197:G1199" si="183">F1197</f>
        <v>99.98</v>
      </c>
      <c r="H1197" s="279" t="b">
        <v>0</v>
      </c>
      <c r="I1197" s="143" t="s">
        <v>570</v>
      </c>
      <c r="J1197" s="41" t="s">
        <v>1136</v>
      </c>
      <c r="K1197" s="279" t="b">
        <v>1</v>
      </c>
      <c r="L1197" s="279" t="b">
        <v>1</v>
      </c>
    </row>
    <row r="1198" ht="15.75" hidden="1" customHeight="1" outlineLevel="1">
      <c r="A1198" s="344">
        <v>45901.0</v>
      </c>
      <c r="B1198" s="132">
        <v>45923.0</v>
      </c>
      <c r="C1198" s="327" t="s">
        <v>61</v>
      </c>
      <c r="D1198" s="315">
        <v>1.0</v>
      </c>
      <c r="E1198" s="316">
        <v>150.0</v>
      </c>
      <c r="F1198" s="316">
        <f t="shared" si="182"/>
        <v>150</v>
      </c>
      <c r="G1198" s="316">
        <f t="shared" si="183"/>
        <v>150</v>
      </c>
      <c r="H1198" s="317" t="b">
        <v>1</v>
      </c>
      <c r="I1198" s="334" t="s">
        <v>236</v>
      </c>
      <c r="J1198" s="321" t="s">
        <v>1198</v>
      </c>
      <c r="K1198" s="317" t="b">
        <v>0</v>
      </c>
      <c r="L1198" s="279" t="b">
        <v>1</v>
      </c>
    </row>
    <row r="1199" ht="15.75" hidden="1" customHeight="1" outlineLevel="1">
      <c r="A1199" s="344">
        <v>45901.0</v>
      </c>
      <c r="B1199" s="132">
        <v>45923.0</v>
      </c>
      <c r="C1199" s="327" t="s">
        <v>61</v>
      </c>
      <c r="D1199" s="315">
        <v>1.0</v>
      </c>
      <c r="E1199" s="316">
        <v>150.0</v>
      </c>
      <c r="F1199" s="316">
        <f t="shared" si="182"/>
        <v>150</v>
      </c>
      <c r="G1199" s="316">
        <f t="shared" si="183"/>
        <v>150</v>
      </c>
      <c r="H1199" s="317" t="b">
        <v>1</v>
      </c>
      <c r="I1199" s="143" t="s">
        <v>456</v>
      </c>
      <c r="J1199" s="321" t="s">
        <v>1199</v>
      </c>
      <c r="K1199" s="317" t="b">
        <v>0</v>
      </c>
      <c r="L1199" s="279" t="b">
        <v>1</v>
      </c>
    </row>
    <row r="1200" ht="15.75" hidden="1" customHeight="1" outlineLevel="1">
      <c r="A1200" s="344">
        <v>45901.0</v>
      </c>
      <c r="B1200" s="132">
        <v>45923.0</v>
      </c>
      <c r="C1200" s="41" t="s">
        <v>75</v>
      </c>
      <c r="D1200" s="182">
        <v>5.0</v>
      </c>
      <c r="E1200" s="183">
        <v>40.0</v>
      </c>
      <c r="F1200" s="183">
        <f t="shared" si="182"/>
        <v>200</v>
      </c>
      <c r="G1200" s="196">
        <f>SUM(F1200:F1201)</f>
        <v>235</v>
      </c>
      <c r="H1200" s="278" t="b">
        <v>0</v>
      </c>
      <c r="I1200" s="164" t="s">
        <v>895</v>
      </c>
      <c r="J1200" s="41" t="s">
        <v>1500</v>
      </c>
      <c r="K1200" s="278" t="b">
        <v>0</v>
      </c>
      <c r="L1200" s="278" t="b">
        <v>1</v>
      </c>
    </row>
    <row r="1201" ht="15.75" hidden="1" customHeight="1" outlineLevel="1">
      <c r="A1201" s="344">
        <v>45901.0</v>
      </c>
      <c r="B1201" s="132">
        <v>45923.0</v>
      </c>
      <c r="C1201" s="41" t="s">
        <v>75</v>
      </c>
      <c r="D1201" s="182">
        <v>1.0</v>
      </c>
      <c r="E1201" s="183">
        <v>35.0</v>
      </c>
      <c r="F1201" s="183">
        <f t="shared" si="182"/>
        <v>35</v>
      </c>
      <c r="G1201" s="10"/>
      <c r="H1201" s="10"/>
      <c r="I1201" s="74"/>
      <c r="J1201" s="41" t="s">
        <v>1504</v>
      </c>
      <c r="K1201" s="10"/>
      <c r="L1201" s="10"/>
    </row>
    <row r="1202" ht="15.75" hidden="1" customHeight="1" outlineLevel="1">
      <c r="A1202" s="344">
        <v>45901.0</v>
      </c>
      <c r="B1202" s="132">
        <v>45923.0</v>
      </c>
      <c r="C1202" s="41" t="s">
        <v>171</v>
      </c>
      <c r="D1202" s="182">
        <v>1.0</v>
      </c>
      <c r="E1202" s="183">
        <v>170.05</v>
      </c>
      <c r="F1202" s="183">
        <f t="shared" si="182"/>
        <v>170.05</v>
      </c>
      <c r="G1202" s="183">
        <f t="shared" ref="G1202:G1208" si="184">F1202</f>
        <v>170.05</v>
      </c>
      <c r="H1202" s="279" t="b">
        <v>0</v>
      </c>
      <c r="I1202" s="143" t="s">
        <v>172</v>
      </c>
      <c r="J1202" s="41" t="s">
        <v>898</v>
      </c>
      <c r="K1202" s="279" t="b">
        <v>1</v>
      </c>
      <c r="L1202" s="279" t="b">
        <v>1</v>
      </c>
    </row>
    <row r="1203" ht="15.75" hidden="1" customHeight="1" outlineLevel="1">
      <c r="A1203" s="344">
        <v>45901.0</v>
      </c>
      <c r="B1203" s="132">
        <v>45924.0</v>
      </c>
      <c r="C1203" s="327" t="s">
        <v>61</v>
      </c>
      <c r="D1203" s="315">
        <v>1.0</v>
      </c>
      <c r="E1203" s="316">
        <v>150.0</v>
      </c>
      <c r="F1203" s="316">
        <f t="shared" si="182"/>
        <v>150</v>
      </c>
      <c r="G1203" s="316">
        <f t="shared" si="184"/>
        <v>150</v>
      </c>
      <c r="H1203" s="317" t="b">
        <v>1</v>
      </c>
      <c r="I1203" s="143" t="s">
        <v>456</v>
      </c>
      <c r="J1203" s="321" t="s">
        <v>1204</v>
      </c>
      <c r="K1203" s="317" t="b">
        <v>0</v>
      </c>
      <c r="L1203" s="279" t="b">
        <v>1</v>
      </c>
    </row>
    <row r="1204" ht="15.75" hidden="1" customHeight="1" outlineLevel="1">
      <c r="A1204" s="344">
        <v>45901.0</v>
      </c>
      <c r="B1204" s="132">
        <v>45925.0</v>
      </c>
      <c r="C1204" s="41" t="s">
        <v>231</v>
      </c>
      <c r="D1204" s="182">
        <v>1.0</v>
      </c>
      <c r="E1204" s="183">
        <v>220.0</v>
      </c>
      <c r="F1204" s="183">
        <v>220.0</v>
      </c>
      <c r="G1204" s="183">
        <f t="shared" si="184"/>
        <v>220</v>
      </c>
      <c r="H1204" s="279" t="b">
        <v>0</v>
      </c>
      <c r="I1204" s="143" t="s">
        <v>538</v>
      </c>
      <c r="J1204" s="41" t="s">
        <v>1507</v>
      </c>
      <c r="K1204" s="279" t="b">
        <v>1</v>
      </c>
      <c r="L1204" s="279" t="b">
        <v>1</v>
      </c>
    </row>
    <row r="1205" ht="15.75" hidden="1" customHeight="1" outlineLevel="1">
      <c r="A1205" s="344">
        <v>45901.0</v>
      </c>
      <c r="B1205" s="132">
        <v>45925.0</v>
      </c>
      <c r="C1205" s="327" t="s">
        <v>61</v>
      </c>
      <c r="D1205" s="315">
        <v>1.0</v>
      </c>
      <c r="E1205" s="316">
        <v>150.0</v>
      </c>
      <c r="F1205" s="316">
        <f t="shared" ref="F1205:F1208" si="185">D1205*E1205</f>
        <v>150</v>
      </c>
      <c r="G1205" s="316">
        <f t="shared" si="184"/>
        <v>150</v>
      </c>
      <c r="H1205" s="317" t="b">
        <v>1</v>
      </c>
      <c r="I1205" s="143" t="s">
        <v>980</v>
      </c>
      <c r="J1205" s="321" t="s">
        <v>1181</v>
      </c>
      <c r="K1205" s="317" t="b">
        <v>0</v>
      </c>
      <c r="L1205" s="279" t="b">
        <v>1</v>
      </c>
    </row>
    <row r="1206" ht="15.75" hidden="1" customHeight="1" outlineLevel="1">
      <c r="A1206" s="344">
        <v>45901.0</v>
      </c>
      <c r="B1206" s="132">
        <v>45926.0</v>
      </c>
      <c r="C1206" s="327" t="s">
        <v>61</v>
      </c>
      <c r="D1206" s="315">
        <v>1.0</v>
      </c>
      <c r="E1206" s="316">
        <v>150.0</v>
      </c>
      <c r="F1206" s="316">
        <f t="shared" si="185"/>
        <v>150</v>
      </c>
      <c r="G1206" s="316">
        <f t="shared" si="184"/>
        <v>150</v>
      </c>
      <c r="H1206" s="317" t="b">
        <v>1</v>
      </c>
      <c r="I1206" s="334" t="s">
        <v>236</v>
      </c>
      <c r="J1206" s="321" t="s">
        <v>1184</v>
      </c>
      <c r="K1206" s="317" t="b">
        <v>0</v>
      </c>
      <c r="L1206" s="279" t="b">
        <v>1</v>
      </c>
    </row>
    <row r="1207" ht="15.75" hidden="1" customHeight="1" outlineLevel="1">
      <c r="A1207" s="344">
        <v>45901.0</v>
      </c>
      <c r="B1207" s="132">
        <v>45926.0</v>
      </c>
      <c r="C1207" s="327" t="s">
        <v>61</v>
      </c>
      <c r="D1207" s="315">
        <v>1.0</v>
      </c>
      <c r="E1207" s="316">
        <v>150.0</v>
      </c>
      <c r="F1207" s="316">
        <f t="shared" si="185"/>
        <v>150</v>
      </c>
      <c r="G1207" s="316">
        <f t="shared" si="184"/>
        <v>150</v>
      </c>
      <c r="H1207" s="317" t="b">
        <v>1</v>
      </c>
      <c r="I1207" s="143" t="s">
        <v>1062</v>
      </c>
      <c r="J1207" s="321" t="s">
        <v>1213</v>
      </c>
      <c r="K1207" s="317" t="b">
        <v>0</v>
      </c>
      <c r="L1207" s="279" t="b">
        <v>1</v>
      </c>
    </row>
    <row r="1208" ht="15.75" hidden="1" customHeight="1" outlineLevel="1">
      <c r="A1208" s="344">
        <v>45901.0</v>
      </c>
      <c r="B1208" s="132">
        <v>45926.0</v>
      </c>
      <c r="C1208" s="41" t="s">
        <v>93</v>
      </c>
      <c r="D1208" s="182">
        <v>1.0</v>
      </c>
      <c r="E1208" s="183">
        <v>155.8</v>
      </c>
      <c r="F1208" s="183">
        <f t="shared" si="185"/>
        <v>155.8</v>
      </c>
      <c r="G1208" s="183">
        <f t="shared" si="184"/>
        <v>155.8</v>
      </c>
      <c r="H1208" s="279" t="b">
        <v>0</v>
      </c>
      <c r="I1208" s="143" t="s">
        <v>1510</v>
      </c>
      <c r="J1208" s="41" t="s">
        <v>1511</v>
      </c>
      <c r="K1208" s="279" t="b">
        <v>0</v>
      </c>
      <c r="L1208" s="279" t="b">
        <v>1</v>
      </c>
    </row>
    <row r="1209" ht="15.75" hidden="1" customHeight="1" outlineLevel="1">
      <c r="A1209" s="344">
        <v>45901.0</v>
      </c>
      <c r="B1209" s="132">
        <v>45928.0</v>
      </c>
      <c r="C1209" s="41" t="s">
        <v>61</v>
      </c>
      <c r="D1209" s="182">
        <v>1.0</v>
      </c>
      <c r="E1209" s="316">
        <v>200.0</v>
      </c>
      <c r="F1209" s="316">
        <v>200.0</v>
      </c>
      <c r="G1209" s="316">
        <v>200.0</v>
      </c>
      <c r="H1209" s="317" t="b">
        <v>1</v>
      </c>
      <c r="I1209" s="318" t="s">
        <v>490</v>
      </c>
      <c r="J1209" s="321" t="s">
        <v>1192</v>
      </c>
      <c r="K1209" s="279" t="b">
        <v>0</v>
      </c>
      <c r="L1209" s="279" t="b">
        <v>1</v>
      </c>
    </row>
    <row r="1210" ht="15.75" hidden="1" customHeight="1" outlineLevel="1">
      <c r="A1210" s="344">
        <v>45901.0</v>
      </c>
      <c r="B1210" s="132">
        <v>45928.0</v>
      </c>
      <c r="C1210" s="41" t="s">
        <v>61</v>
      </c>
      <c r="D1210" s="182">
        <v>1.0</v>
      </c>
      <c r="E1210" s="183">
        <v>200.0</v>
      </c>
      <c r="F1210" s="183">
        <v>200.0</v>
      </c>
      <c r="G1210" s="183">
        <v>200.0</v>
      </c>
      <c r="H1210" s="279" t="b">
        <v>1</v>
      </c>
      <c r="I1210" s="143" t="s">
        <v>1185</v>
      </c>
      <c r="J1210" s="41" t="s">
        <v>1193</v>
      </c>
      <c r="K1210" s="279" t="b">
        <v>0</v>
      </c>
      <c r="L1210" s="279" t="b">
        <v>1</v>
      </c>
    </row>
    <row r="1211" ht="15.75" hidden="1" customHeight="1" outlineLevel="1">
      <c r="A1211" s="344">
        <v>45901.0</v>
      </c>
      <c r="B1211" s="132">
        <v>45928.0</v>
      </c>
      <c r="C1211" s="41" t="s">
        <v>61</v>
      </c>
      <c r="D1211" s="182">
        <v>1.0</v>
      </c>
      <c r="E1211" s="183">
        <v>200.0</v>
      </c>
      <c r="F1211" s="183">
        <v>200.0</v>
      </c>
      <c r="G1211" s="183">
        <v>200.0</v>
      </c>
      <c r="H1211" s="279" t="b">
        <v>1</v>
      </c>
      <c r="I1211" s="143" t="s">
        <v>413</v>
      </c>
      <c r="J1211" s="41" t="s">
        <v>1195</v>
      </c>
      <c r="K1211" s="279" t="b">
        <v>0</v>
      </c>
      <c r="L1211" s="279" t="b">
        <v>1</v>
      </c>
    </row>
    <row r="1212" ht="15.75" hidden="1" customHeight="1" outlineLevel="1">
      <c r="A1212" s="344">
        <v>45901.0</v>
      </c>
      <c r="B1212" s="132">
        <v>45929.0</v>
      </c>
      <c r="C1212" s="41" t="s">
        <v>61</v>
      </c>
      <c r="D1212" s="182">
        <v>1.0</v>
      </c>
      <c r="E1212" s="183">
        <v>3900.0</v>
      </c>
      <c r="F1212" s="183">
        <v>3900.0</v>
      </c>
      <c r="G1212" s="183">
        <v>3900.0</v>
      </c>
      <c r="H1212" s="279" t="b">
        <v>1</v>
      </c>
      <c r="I1212" s="143" t="s">
        <v>119</v>
      </c>
      <c r="J1212" s="41" t="s">
        <v>1516</v>
      </c>
      <c r="K1212" s="279" t="b">
        <v>0</v>
      </c>
      <c r="L1212" s="279" t="b">
        <v>1</v>
      </c>
    </row>
    <row r="1213" ht="15.75" hidden="1" customHeight="1" outlineLevel="1">
      <c r="A1213" s="344">
        <v>45901.0</v>
      </c>
      <c r="B1213" s="132">
        <v>45929.0</v>
      </c>
      <c r="C1213" s="41" t="s">
        <v>61</v>
      </c>
      <c r="D1213" s="182">
        <v>1.0</v>
      </c>
      <c r="E1213" s="183">
        <v>150.0</v>
      </c>
      <c r="F1213" s="183">
        <v>150.0</v>
      </c>
      <c r="G1213" s="183">
        <v>150.0</v>
      </c>
      <c r="H1213" s="279" t="b">
        <v>1</v>
      </c>
      <c r="I1213" s="143" t="s">
        <v>456</v>
      </c>
      <c r="J1213" s="41" t="s">
        <v>1322</v>
      </c>
      <c r="K1213" s="279" t="b">
        <v>0</v>
      </c>
      <c r="L1213" s="279" t="b">
        <v>1</v>
      </c>
    </row>
    <row r="1214" ht="15.75" hidden="1" customHeight="1" outlineLevel="1">
      <c r="A1214" s="344">
        <v>45901.0</v>
      </c>
      <c r="B1214" s="132">
        <v>45930.0</v>
      </c>
      <c r="C1214" s="327" t="s">
        <v>61</v>
      </c>
      <c r="D1214" s="315">
        <v>1.0</v>
      </c>
      <c r="E1214" s="316">
        <v>150.0</v>
      </c>
      <c r="F1214" s="316">
        <f t="shared" ref="F1214:F1215" si="186">D1214*E1214</f>
        <v>150</v>
      </c>
      <c r="G1214" s="316">
        <f t="shared" ref="G1214:G1216" si="187">F1214</f>
        <v>150</v>
      </c>
      <c r="H1214" s="317" t="b">
        <v>1</v>
      </c>
      <c r="I1214" s="334" t="s">
        <v>236</v>
      </c>
      <c r="J1214" s="321" t="s">
        <v>1198</v>
      </c>
      <c r="K1214" s="317" t="b">
        <v>0</v>
      </c>
      <c r="L1214" s="279" t="b">
        <v>1</v>
      </c>
    </row>
    <row r="1215" ht="15.75" hidden="1" customHeight="1" outlineLevel="1">
      <c r="A1215" s="344">
        <v>45901.0</v>
      </c>
      <c r="B1215" s="132">
        <v>45930.0</v>
      </c>
      <c r="C1215" s="327" t="s">
        <v>61</v>
      </c>
      <c r="D1215" s="315">
        <v>1.0</v>
      </c>
      <c r="E1215" s="316">
        <v>150.0</v>
      </c>
      <c r="F1215" s="316">
        <f t="shared" si="186"/>
        <v>150</v>
      </c>
      <c r="G1215" s="316">
        <f t="shared" si="187"/>
        <v>150</v>
      </c>
      <c r="H1215" s="317" t="b">
        <v>1</v>
      </c>
      <c r="I1215" s="143" t="s">
        <v>456</v>
      </c>
      <c r="J1215" s="321" t="s">
        <v>1199</v>
      </c>
      <c r="K1215" s="317" t="b">
        <v>0</v>
      </c>
      <c r="L1215" s="279" t="b">
        <v>1</v>
      </c>
    </row>
    <row r="1216" ht="15.75" hidden="1" customHeight="1" outlineLevel="1">
      <c r="A1216" s="344">
        <v>45901.0</v>
      </c>
      <c r="B1216" s="132">
        <v>45930.0</v>
      </c>
      <c r="C1216" s="41" t="s">
        <v>93</v>
      </c>
      <c r="D1216" s="182">
        <v>1.0</v>
      </c>
      <c r="E1216" s="183">
        <v>40.0</v>
      </c>
      <c r="F1216" s="183">
        <v>40.0</v>
      </c>
      <c r="G1216" s="183">
        <f t="shared" si="187"/>
        <v>40</v>
      </c>
      <c r="H1216" s="279" t="b">
        <v>0</v>
      </c>
      <c r="I1216" s="143" t="s">
        <v>1510</v>
      </c>
      <c r="J1216" s="41" t="s">
        <v>1520</v>
      </c>
      <c r="K1216" s="279" t="b">
        <v>0</v>
      </c>
      <c r="L1216" s="279" t="b">
        <v>1</v>
      </c>
    </row>
    <row r="1217" ht="15.75" hidden="1" customHeight="1" outlineLevel="1">
      <c r="A1217" s="344">
        <v>45901.0</v>
      </c>
      <c r="B1217" s="132">
        <v>45901.0</v>
      </c>
      <c r="C1217" s="327"/>
      <c r="D1217" s="182"/>
      <c r="E1217" s="183"/>
      <c r="F1217" s="183"/>
      <c r="G1217" s="183"/>
      <c r="H1217" s="279" t="b">
        <v>0</v>
      </c>
      <c r="I1217" s="143"/>
      <c r="J1217" s="41"/>
      <c r="K1217" s="279" t="b">
        <v>0</v>
      </c>
      <c r="L1217" s="279" t="b">
        <v>0</v>
      </c>
    </row>
    <row r="1218" ht="15.75" hidden="1" customHeight="1" outlineLevel="1">
      <c r="A1218" s="344">
        <v>45901.0</v>
      </c>
      <c r="B1218" s="132">
        <v>45901.0</v>
      </c>
      <c r="C1218" s="327"/>
      <c r="D1218" s="182"/>
      <c r="E1218" s="183"/>
      <c r="F1218" s="183"/>
      <c r="G1218" s="183"/>
      <c r="H1218" s="279" t="b">
        <v>0</v>
      </c>
      <c r="I1218" s="143"/>
      <c r="J1218" s="41"/>
      <c r="K1218" s="279" t="b">
        <v>0</v>
      </c>
      <c r="L1218" s="279" t="b">
        <v>0</v>
      </c>
    </row>
    <row r="1219" ht="15.75" hidden="1" customHeight="1" outlineLevel="1">
      <c r="A1219" s="344">
        <v>45901.0</v>
      </c>
      <c r="B1219" s="132">
        <v>45901.0</v>
      </c>
      <c r="C1219" s="327"/>
      <c r="D1219" s="182"/>
      <c r="E1219" s="183"/>
      <c r="F1219" s="183"/>
      <c r="G1219" s="183"/>
      <c r="H1219" s="279" t="b">
        <v>0</v>
      </c>
      <c r="I1219" s="143"/>
      <c r="J1219" s="41"/>
      <c r="K1219" s="279" t="b">
        <v>0</v>
      </c>
      <c r="L1219" s="279" t="b">
        <v>0</v>
      </c>
    </row>
    <row r="1220" ht="15.75" hidden="1" customHeight="1" outlineLevel="1">
      <c r="A1220" s="344">
        <v>45901.0</v>
      </c>
      <c r="B1220" s="132">
        <v>45901.0</v>
      </c>
      <c r="C1220" s="327"/>
      <c r="D1220" s="182"/>
      <c r="E1220" s="183"/>
      <c r="F1220" s="183"/>
      <c r="G1220" s="183"/>
      <c r="H1220" s="279" t="b">
        <v>0</v>
      </c>
      <c r="I1220" s="143"/>
      <c r="J1220" s="41"/>
      <c r="K1220" s="279" t="b">
        <v>0</v>
      </c>
      <c r="L1220" s="279" t="b">
        <v>0</v>
      </c>
    </row>
    <row r="1221" ht="14.25" customHeight="1">
      <c r="A1221" s="180" t="s">
        <v>192</v>
      </c>
      <c r="B1221" s="27"/>
      <c r="C1221" s="27"/>
      <c r="D1221" s="27"/>
      <c r="E1221" s="28"/>
      <c r="F1221" s="181">
        <f t="shared" ref="F1221:G1221" si="188">SUM(F1155:F1220)</f>
        <v>12693.73</v>
      </c>
      <c r="G1221" s="181">
        <f t="shared" si="188"/>
        <v>12693.73</v>
      </c>
    </row>
    <row r="1222" ht="14.25" customHeight="1" collapsed="1">
      <c r="A1222" s="245" t="s">
        <v>1260</v>
      </c>
      <c r="B1222" s="246"/>
      <c r="C1222" s="246"/>
      <c r="D1222" s="246"/>
      <c r="E1222" s="246"/>
      <c r="F1222" s="246"/>
      <c r="G1222" s="246"/>
      <c r="H1222" s="246"/>
      <c r="I1222" s="246"/>
      <c r="J1222" s="247"/>
      <c r="S1222" s="383"/>
    </row>
    <row r="1223" ht="14.25" hidden="1" customHeight="1" outlineLevel="1">
      <c r="A1223" s="344">
        <v>45931.0</v>
      </c>
      <c r="B1223" s="132">
        <v>45931.0</v>
      </c>
      <c r="C1223" s="327" t="s">
        <v>61</v>
      </c>
      <c r="D1223" s="315">
        <v>1.0</v>
      </c>
      <c r="E1223" s="316">
        <v>150.0</v>
      </c>
      <c r="F1223" s="316">
        <f t="shared" ref="F1223:F1224" si="189">D1223*E1223</f>
        <v>150</v>
      </c>
      <c r="G1223" s="316">
        <f t="shared" ref="G1223:G1224" si="190">F1223</f>
        <v>150</v>
      </c>
      <c r="H1223" s="317" t="b">
        <v>1</v>
      </c>
      <c r="I1223" s="143" t="s">
        <v>456</v>
      </c>
      <c r="J1223" s="321" t="s">
        <v>1204</v>
      </c>
      <c r="K1223" s="317" t="b">
        <v>0</v>
      </c>
      <c r="L1223" s="279" t="b">
        <v>1</v>
      </c>
      <c r="S1223" s="383"/>
    </row>
    <row r="1224" ht="14.25" hidden="1" customHeight="1" outlineLevel="1">
      <c r="A1224" s="344">
        <v>45931.0</v>
      </c>
      <c r="B1224" s="132">
        <v>45931.0</v>
      </c>
      <c r="C1224" s="327" t="s">
        <v>61</v>
      </c>
      <c r="D1224" s="315">
        <v>1.0</v>
      </c>
      <c r="E1224" s="316">
        <v>150.0</v>
      </c>
      <c r="F1224" s="316">
        <f t="shared" si="189"/>
        <v>150</v>
      </c>
      <c r="G1224" s="316">
        <f t="shared" si="190"/>
        <v>150</v>
      </c>
      <c r="H1224" s="317" t="b">
        <v>1</v>
      </c>
      <c r="I1224" s="143" t="s">
        <v>1185</v>
      </c>
      <c r="J1224" s="321" t="s">
        <v>1531</v>
      </c>
      <c r="K1224" s="317" t="b">
        <v>0</v>
      </c>
      <c r="L1224" s="279" t="b">
        <v>1</v>
      </c>
      <c r="S1224" s="383"/>
    </row>
    <row r="1225" ht="14.25" hidden="1" customHeight="1" outlineLevel="1">
      <c r="A1225" s="344">
        <v>45931.0</v>
      </c>
      <c r="B1225" s="132">
        <v>45931.0</v>
      </c>
      <c r="C1225" s="41" t="s">
        <v>171</v>
      </c>
      <c r="D1225" s="182">
        <v>1.0</v>
      </c>
      <c r="E1225" s="183">
        <v>180.0</v>
      </c>
      <c r="F1225" s="183">
        <v>180.0</v>
      </c>
      <c r="G1225" s="183">
        <v>180.0</v>
      </c>
      <c r="H1225" s="279" t="b">
        <v>0</v>
      </c>
      <c r="I1225" s="143"/>
      <c r="J1225" s="41" t="s">
        <v>1532</v>
      </c>
      <c r="K1225" s="279" t="b">
        <v>0</v>
      </c>
      <c r="L1225" s="279" t="b">
        <v>0</v>
      </c>
      <c r="S1225" s="383"/>
    </row>
    <row r="1226" ht="14.25" hidden="1" customHeight="1" outlineLevel="1">
      <c r="A1226" s="344">
        <v>45931.0</v>
      </c>
      <c r="B1226" s="132">
        <v>45932.0</v>
      </c>
      <c r="C1226" s="327" t="s">
        <v>61</v>
      </c>
      <c r="D1226" s="315">
        <v>1.0</v>
      </c>
      <c r="E1226" s="316">
        <v>150.0</v>
      </c>
      <c r="F1226" s="316">
        <f t="shared" ref="F1226:F1229" si="191">D1226*E1226</f>
        <v>150</v>
      </c>
      <c r="G1226" s="316">
        <f t="shared" ref="G1226:G1229" si="192">F1226</f>
        <v>150</v>
      </c>
      <c r="H1226" s="317" t="b">
        <v>1</v>
      </c>
      <c r="I1226" s="143" t="s">
        <v>980</v>
      </c>
      <c r="J1226" s="321" t="s">
        <v>1181</v>
      </c>
      <c r="K1226" s="317" t="b">
        <v>0</v>
      </c>
      <c r="L1226" s="279" t="b">
        <v>1</v>
      </c>
      <c r="S1226" s="383"/>
    </row>
    <row r="1227" ht="14.25" hidden="1" customHeight="1" outlineLevel="1">
      <c r="A1227" s="344">
        <v>45931.0</v>
      </c>
      <c r="B1227" s="132">
        <v>45933.0</v>
      </c>
      <c r="C1227" s="327" t="s">
        <v>61</v>
      </c>
      <c r="D1227" s="315">
        <v>1.0</v>
      </c>
      <c r="E1227" s="316">
        <v>150.0</v>
      </c>
      <c r="F1227" s="316">
        <f t="shared" si="191"/>
        <v>150</v>
      </c>
      <c r="G1227" s="316">
        <f t="shared" si="192"/>
        <v>150</v>
      </c>
      <c r="H1227" s="317" t="b">
        <v>1</v>
      </c>
      <c r="I1227" s="334" t="s">
        <v>236</v>
      </c>
      <c r="J1227" s="321" t="s">
        <v>1184</v>
      </c>
      <c r="K1227" s="317" t="b">
        <v>0</v>
      </c>
      <c r="L1227" s="279" t="b">
        <v>1</v>
      </c>
    </row>
    <row r="1228" ht="14.25" hidden="1" customHeight="1" outlineLevel="1">
      <c r="A1228" s="344">
        <v>45931.0</v>
      </c>
      <c r="B1228" s="132">
        <v>45933.0</v>
      </c>
      <c r="C1228" s="327" t="s">
        <v>61</v>
      </c>
      <c r="D1228" s="315">
        <v>1.0</v>
      </c>
      <c r="E1228" s="316">
        <v>150.0</v>
      </c>
      <c r="F1228" s="316">
        <f t="shared" si="191"/>
        <v>150</v>
      </c>
      <c r="G1228" s="316">
        <f t="shared" si="192"/>
        <v>150</v>
      </c>
      <c r="H1228" s="317" t="b">
        <v>1</v>
      </c>
      <c r="I1228" s="143" t="s">
        <v>1062</v>
      </c>
      <c r="J1228" s="321" t="s">
        <v>1213</v>
      </c>
      <c r="K1228" s="317" t="b">
        <v>0</v>
      </c>
      <c r="L1228" s="279" t="b">
        <v>1</v>
      </c>
    </row>
    <row r="1229" ht="14.25" hidden="1" customHeight="1" outlineLevel="1">
      <c r="A1229" s="344">
        <v>45931.0</v>
      </c>
      <c r="B1229" s="132">
        <v>45934.0</v>
      </c>
      <c r="C1229" s="327" t="s">
        <v>61</v>
      </c>
      <c r="D1229" s="315">
        <v>1.0</v>
      </c>
      <c r="E1229" s="316">
        <v>150.0</v>
      </c>
      <c r="F1229" s="316">
        <f t="shared" si="191"/>
        <v>150</v>
      </c>
      <c r="G1229" s="316">
        <f t="shared" si="192"/>
        <v>150</v>
      </c>
      <c r="H1229" s="317" t="b">
        <v>1</v>
      </c>
      <c r="I1229" s="143" t="s">
        <v>456</v>
      </c>
      <c r="J1229" s="321" t="s">
        <v>1534</v>
      </c>
      <c r="K1229" s="317" t="b">
        <v>0</v>
      </c>
      <c r="L1229" s="279" t="b">
        <v>1</v>
      </c>
    </row>
    <row r="1230" ht="14.25" hidden="1" customHeight="1" outlineLevel="1">
      <c r="A1230" s="344">
        <v>45931.0</v>
      </c>
      <c r="B1230" s="132">
        <v>45935.0</v>
      </c>
      <c r="C1230" s="41" t="s">
        <v>61</v>
      </c>
      <c r="D1230" s="182">
        <v>1.0</v>
      </c>
      <c r="E1230" s="316">
        <v>200.0</v>
      </c>
      <c r="F1230" s="316">
        <v>200.0</v>
      </c>
      <c r="G1230" s="316">
        <v>200.0</v>
      </c>
      <c r="H1230" s="317" t="b">
        <v>1</v>
      </c>
      <c r="I1230" s="318" t="s">
        <v>490</v>
      </c>
      <c r="J1230" s="321" t="s">
        <v>1192</v>
      </c>
      <c r="K1230" s="279" t="b">
        <v>0</v>
      </c>
      <c r="L1230" s="279" t="b">
        <v>1</v>
      </c>
    </row>
    <row r="1231" ht="14.25" hidden="1" customHeight="1" outlineLevel="1">
      <c r="A1231" s="344">
        <v>45931.0</v>
      </c>
      <c r="B1231" s="132">
        <v>45935.0</v>
      </c>
      <c r="C1231" s="41" t="s">
        <v>61</v>
      </c>
      <c r="D1231" s="182">
        <v>1.0</v>
      </c>
      <c r="E1231" s="183">
        <v>200.0</v>
      </c>
      <c r="F1231" s="183">
        <v>200.0</v>
      </c>
      <c r="G1231" s="183">
        <v>200.0</v>
      </c>
      <c r="H1231" s="279" t="b">
        <v>1</v>
      </c>
      <c r="I1231" s="143" t="s">
        <v>1185</v>
      </c>
      <c r="J1231" s="41" t="s">
        <v>1193</v>
      </c>
      <c r="K1231" s="279" t="b">
        <v>0</v>
      </c>
      <c r="L1231" s="279" t="b">
        <v>1</v>
      </c>
    </row>
    <row r="1232" ht="14.25" hidden="1" customHeight="1" outlineLevel="1">
      <c r="A1232" s="344">
        <v>45931.0</v>
      </c>
      <c r="B1232" s="132">
        <v>45935.0</v>
      </c>
      <c r="C1232" s="41" t="s">
        <v>61</v>
      </c>
      <c r="D1232" s="182">
        <v>1.0</v>
      </c>
      <c r="E1232" s="183">
        <v>200.0</v>
      </c>
      <c r="F1232" s="183">
        <v>200.0</v>
      </c>
      <c r="G1232" s="183">
        <v>200.0</v>
      </c>
      <c r="H1232" s="279" t="b">
        <v>1</v>
      </c>
      <c r="I1232" s="143" t="s">
        <v>413</v>
      </c>
      <c r="J1232" s="41" t="s">
        <v>1195</v>
      </c>
      <c r="K1232" s="279" t="b">
        <v>0</v>
      </c>
      <c r="L1232" s="279" t="b">
        <v>1</v>
      </c>
    </row>
    <row r="1233" ht="14.25" hidden="1" customHeight="1" outlineLevel="1">
      <c r="A1233" s="344">
        <v>45931.0</v>
      </c>
      <c r="B1233" s="132">
        <v>45936.0</v>
      </c>
      <c r="C1233" s="41" t="s">
        <v>61</v>
      </c>
      <c r="D1233" s="182">
        <v>1.0</v>
      </c>
      <c r="E1233" s="183">
        <v>150.0</v>
      </c>
      <c r="F1233" s="183">
        <v>150.0</v>
      </c>
      <c r="G1233" s="183">
        <v>150.0</v>
      </c>
      <c r="H1233" s="279" t="b">
        <v>1</v>
      </c>
      <c r="I1233" s="143" t="s">
        <v>1071</v>
      </c>
      <c r="J1233" s="41" t="s">
        <v>1322</v>
      </c>
      <c r="K1233" s="279" t="b">
        <v>0</v>
      </c>
      <c r="L1233" s="279" t="b">
        <v>1</v>
      </c>
    </row>
    <row r="1234" ht="14.25" hidden="1" customHeight="1" outlineLevel="1">
      <c r="A1234" s="344">
        <v>45931.0</v>
      </c>
      <c r="B1234" s="132">
        <v>45936.0</v>
      </c>
      <c r="C1234" s="41" t="s">
        <v>61</v>
      </c>
      <c r="D1234" s="182">
        <v>1.0</v>
      </c>
      <c r="E1234" s="183">
        <v>150.0</v>
      </c>
      <c r="F1234" s="183">
        <v>150.0</v>
      </c>
      <c r="G1234" s="183">
        <v>150.0</v>
      </c>
      <c r="H1234" s="279" t="b">
        <v>1</v>
      </c>
      <c r="I1234" s="143" t="s">
        <v>296</v>
      </c>
      <c r="J1234" s="41" t="s">
        <v>1539</v>
      </c>
      <c r="K1234" s="279" t="b">
        <v>0</v>
      </c>
      <c r="L1234" s="279" t="b">
        <v>1</v>
      </c>
    </row>
    <row r="1235" ht="14.25" hidden="1" customHeight="1" outlineLevel="1">
      <c r="A1235" s="344">
        <v>45931.0</v>
      </c>
      <c r="B1235" s="132">
        <v>45936.0</v>
      </c>
      <c r="C1235" s="41" t="s">
        <v>171</v>
      </c>
      <c r="D1235" s="182">
        <v>1.0</v>
      </c>
      <c r="E1235" s="183">
        <v>181.45</v>
      </c>
      <c r="F1235" s="183">
        <f t="shared" ref="F1235:F1250" si="193">D1235*E1235</f>
        <v>181.45</v>
      </c>
      <c r="G1235" s="183">
        <f>F1235</f>
        <v>181.45</v>
      </c>
      <c r="H1235" s="279" t="b">
        <v>0</v>
      </c>
      <c r="I1235" s="143" t="s">
        <v>172</v>
      </c>
      <c r="J1235" s="41" t="s">
        <v>898</v>
      </c>
      <c r="K1235" s="279" t="b">
        <v>1</v>
      </c>
      <c r="L1235" s="279" t="b">
        <v>1</v>
      </c>
    </row>
    <row r="1236" ht="14.25" hidden="1" customHeight="1" outlineLevel="1">
      <c r="A1236" s="344">
        <v>45931.0</v>
      </c>
      <c r="B1236" s="132">
        <v>45936.0</v>
      </c>
      <c r="C1236" s="41" t="s">
        <v>55</v>
      </c>
      <c r="D1236" s="182">
        <v>2.0</v>
      </c>
      <c r="E1236" s="183">
        <v>28.19</v>
      </c>
      <c r="F1236" s="183">
        <f t="shared" si="193"/>
        <v>56.38</v>
      </c>
      <c r="G1236" s="196">
        <f>SUM(F1236:F1240)</f>
        <v>213.88</v>
      </c>
      <c r="H1236" s="278" t="b">
        <v>0</v>
      </c>
      <c r="I1236" s="164" t="s">
        <v>254</v>
      </c>
      <c r="J1236" s="41" t="s">
        <v>1544</v>
      </c>
      <c r="K1236" s="278" t="b">
        <v>1</v>
      </c>
      <c r="L1236" s="278" t="b">
        <v>1</v>
      </c>
    </row>
    <row r="1237" ht="14.25" hidden="1" customHeight="1" outlineLevel="1">
      <c r="A1237" s="344">
        <v>45931.0</v>
      </c>
      <c r="B1237" s="132">
        <v>45936.0</v>
      </c>
      <c r="C1237" s="41" t="s">
        <v>55</v>
      </c>
      <c r="D1237" s="182">
        <v>4.0</v>
      </c>
      <c r="E1237" s="183">
        <v>3.42</v>
      </c>
      <c r="F1237" s="183">
        <f t="shared" si="193"/>
        <v>13.68</v>
      </c>
      <c r="G1237" s="58"/>
      <c r="H1237" s="58"/>
      <c r="I1237" s="194"/>
      <c r="J1237" s="41" t="s">
        <v>1545</v>
      </c>
      <c r="K1237" s="58"/>
      <c r="L1237" s="58"/>
    </row>
    <row r="1238" ht="14.25" hidden="1" customHeight="1" outlineLevel="1">
      <c r="A1238" s="344">
        <v>45931.0</v>
      </c>
      <c r="B1238" s="132">
        <v>45936.0</v>
      </c>
      <c r="C1238" s="41" t="s">
        <v>55</v>
      </c>
      <c r="D1238" s="182">
        <v>8.0</v>
      </c>
      <c r="E1238" s="183">
        <v>17.01</v>
      </c>
      <c r="F1238" s="183">
        <f t="shared" si="193"/>
        <v>136.08</v>
      </c>
      <c r="G1238" s="58"/>
      <c r="H1238" s="58"/>
      <c r="I1238" s="194"/>
      <c r="J1238" s="41" t="s">
        <v>1547</v>
      </c>
      <c r="K1238" s="58"/>
      <c r="L1238" s="58"/>
    </row>
    <row r="1239" ht="14.25" hidden="1" customHeight="1" outlineLevel="1">
      <c r="A1239" s="344">
        <v>45931.0</v>
      </c>
      <c r="B1239" s="132">
        <v>45936.0</v>
      </c>
      <c r="C1239" s="41" t="s">
        <v>55</v>
      </c>
      <c r="D1239" s="182">
        <v>2.0</v>
      </c>
      <c r="E1239" s="183">
        <v>1.44</v>
      </c>
      <c r="F1239" s="183">
        <f t="shared" si="193"/>
        <v>2.88</v>
      </c>
      <c r="G1239" s="58"/>
      <c r="H1239" s="58"/>
      <c r="I1239" s="194"/>
      <c r="J1239" s="41" t="s">
        <v>1548</v>
      </c>
      <c r="K1239" s="58"/>
      <c r="L1239" s="58"/>
    </row>
    <row r="1240" ht="14.25" hidden="1" customHeight="1" outlineLevel="1">
      <c r="A1240" s="344">
        <v>45931.0</v>
      </c>
      <c r="B1240" s="132">
        <v>45936.0</v>
      </c>
      <c r="C1240" s="41" t="s">
        <v>55</v>
      </c>
      <c r="D1240" s="182">
        <v>2.0</v>
      </c>
      <c r="E1240" s="183">
        <v>2.43</v>
      </c>
      <c r="F1240" s="183">
        <f t="shared" si="193"/>
        <v>4.86</v>
      </c>
      <c r="G1240" s="10"/>
      <c r="H1240" s="10"/>
      <c r="I1240" s="74"/>
      <c r="J1240" s="41" t="s">
        <v>1550</v>
      </c>
      <c r="K1240" s="10"/>
      <c r="L1240" s="10"/>
    </row>
    <row r="1241" ht="14.25" hidden="1" customHeight="1" outlineLevel="1">
      <c r="A1241" s="344">
        <v>45931.0</v>
      </c>
      <c r="B1241" s="132">
        <v>45937.0</v>
      </c>
      <c r="C1241" s="327" t="s">
        <v>61</v>
      </c>
      <c r="D1241" s="315">
        <v>1.0</v>
      </c>
      <c r="E1241" s="316">
        <v>150.0</v>
      </c>
      <c r="F1241" s="316">
        <f t="shared" si="193"/>
        <v>150</v>
      </c>
      <c r="G1241" s="316">
        <f t="shared" ref="G1241:G1250" si="194">F1241</f>
        <v>150</v>
      </c>
      <c r="H1241" s="317" t="b">
        <v>1</v>
      </c>
      <c r="I1241" s="334" t="s">
        <v>236</v>
      </c>
      <c r="J1241" s="321" t="s">
        <v>1198</v>
      </c>
      <c r="K1241" s="317" t="b">
        <v>0</v>
      </c>
      <c r="L1241" s="279" t="b">
        <v>1</v>
      </c>
    </row>
    <row r="1242" ht="14.25" hidden="1" customHeight="1" outlineLevel="1">
      <c r="A1242" s="344">
        <v>45931.0</v>
      </c>
      <c r="B1242" s="132">
        <v>45937.0</v>
      </c>
      <c r="C1242" s="327" t="s">
        <v>61</v>
      </c>
      <c r="D1242" s="315">
        <v>1.0</v>
      </c>
      <c r="E1242" s="316">
        <v>150.0</v>
      </c>
      <c r="F1242" s="316">
        <f t="shared" si="193"/>
        <v>150</v>
      </c>
      <c r="G1242" s="316">
        <f t="shared" si="194"/>
        <v>150</v>
      </c>
      <c r="H1242" s="317" t="b">
        <v>1</v>
      </c>
      <c r="I1242" s="143" t="s">
        <v>456</v>
      </c>
      <c r="J1242" s="321" t="s">
        <v>1199</v>
      </c>
      <c r="K1242" s="317" t="b">
        <v>0</v>
      </c>
      <c r="L1242" s="279" t="b">
        <v>1</v>
      </c>
    </row>
    <row r="1243" ht="14.25" hidden="1" customHeight="1" outlineLevel="1">
      <c r="A1243" s="344">
        <v>45931.0</v>
      </c>
      <c r="B1243" s="132">
        <v>45937.0</v>
      </c>
      <c r="C1243" s="41" t="s">
        <v>80</v>
      </c>
      <c r="D1243" s="182">
        <v>2.0</v>
      </c>
      <c r="E1243" s="183">
        <v>15.0</v>
      </c>
      <c r="F1243" s="183">
        <f t="shared" si="193"/>
        <v>30</v>
      </c>
      <c r="G1243" s="183">
        <f t="shared" si="194"/>
        <v>30</v>
      </c>
      <c r="H1243" s="279" t="b">
        <v>0</v>
      </c>
      <c r="I1243" s="143" t="s">
        <v>481</v>
      </c>
      <c r="J1243" s="41" t="s">
        <v>1553</v>
      </c>
      <c r="K1243" s="279" t="b">
        <v>1</v>
      </c>
      <c r="L1243" s="279" t="b">
        <v>1</v>
      </c>
    </row>
    <row r="1244" ht="14.25" hidden="1" customHeight="1" outlineLevel="1">
      <c r="A1244" s="344">
        <v>45931.0</v>
      </c>
      <c r="B1244" s="132">
        <v>45938.0</v>
      </c>
      <c r="C1244" s="327" t="s">
        <v>61</v>
      </c>
      <c r="D1244" s="315">
        <v>1.0</v>
      </c>
      <c r="E1244" s="316">
        <v>150.0</v>
      </c>
      <c r="F1244" s="316">
        <f t="shared" si="193"/>
        <v>150</v>
      </c>
      <c r="G1244" s="316">
        <f t="shared" si="194"/>
        <v>150</v>
      </c>
      <c r="H1244" s="317" t="b">
        <v>1</v>
      </c>
      <c r="I1244" s="143" t="s">
        <v>1185</v>
      </c>
      <c r="J1244" s="321" t="s">
        <v>1204</v>
      </c>
      <c r="K1244" s="317" t="b">
        <v>0</v>
      </c>
      <c r="L1244" s="279" t="b">
        <v>1</v>
      </c>
    </row>
    <row r="1245" ht="14.25" hidden="1" customHeight="1" outlineLevel="1">
      <c r="A1245" s="344">
        <v>45931.0</v>
      </c>
      <c r="B1245" s="132">
        <v>45939.0</v>
      </c>
      <c r="C1245" s="327" t="s">
        <v>61</v>
      </c>
      <c r="D1245" s="315">
        <v>1.0</v>
      </c>
      <c r="E1245" s="316">
        <v>150.0</v>
      </c>
      <c r="F1245" s="316">
        <f t="shared" si="193"/>
        <v>150</v>
      </c>
      <c r="G1245" s="316">
        <f t="shared" si="194"/>
        <v>150</v>
      </c>
      <c r="H1245" s="322" t="b">
        <v>0</v>
      </c>
      <c r="I1245" s="143" t="s">
        <v>980</v>
      </c>
      <c r="J1245" s="321" t="s">
        <v>1181</v>
      </c>
      <c r="K1245" s="317" t="b">
        <v>0</v>
      </c>
      <c r="L1245" s="279" t="b">
        <v>1</v>
      </c>
    </row>
    <row r="1246" ht="14.25" hidden="1" customHeight="1" outlineLevel="1">
      <c r="A1246" s="344">
        <v>45931.0</v>
      </c>
      <c r="B1246" s="132">
        <v>45940.0</v>
      </c>
      <c r="C1246" s="41" t="s">
        <v>93</v>
      </c>
      <c r="D1246" s="182">
        <v>1.0</v>
      </c>
      <c r="E1246" s="183">
        <v>35.0</v>
      </c>
      <c r="F1246" s="183">
        <f t="shared" si="193"/>
        <v>35</v>
      </c>
      <c r="G1246" s="183">
        <f t="shared" si="194"/>
        <v>35</v>
      </c>
      <c r="H1246" s="279" t="b">
        <v>0</v>
      </c>
      <c r="I1246" s="143" t="s">
        <v>1556</v>
      </c>
      <c r="J1246" s="41" t="s">
        <v>1201</v>
      </c>
      <c r="K1246" s="279" t="b">
        <v>1</v>
      </c>
      <c r="L1246" s="279" t="b">
        <v>1</v>
      </c>
    </row>
    <row r="1247" ht="14.25" hidden="1" customHeight="1" outlineLevel="1">
      <c r="A1247" s="344">
        <v>45931.0</v>
      </c>
      <c r="B1247" s="132">
        <v>45940.0</v>
      </c>
      <c r="C1247" s="327" t="s">
        <v>61</v>
      </c>
      <c r="D1247" s="315">
        <v>1.0</v>
      </c>
      <c r="E1247" s="316">
        <v>150.0</v>
      </c>
      <c r="F1247" s="316">
        <f t="shared" si="193"/>
        <v>150</v>
      </c>
      <c r="G1247" s="316">
        <f t="shared" si="194"/>
        <v>150</v>
      </c>
      <c r="H1247" s="317" t="b">
        <v>1</v>
      </c>
      <c r="I1247" s="334" t="s">
        <v>236</v>
      </c>
      <c r="J1247" s="321" t="s">
        <v>1184</v>
      </c>
      <c r="K1247" s="317" t="b">
        <v>0</v>
      </c>
      <c r="L1247" s="279" t="b">
        <v>1</v>
      </c>
    </row>
    <row r="1248" ht="14.25" hidden="1" customHeight="1" outlineLevel="1">
      <c r="A1248" s="344">
        <v>45931.0</v>
      </c>
      <c r="B1248" s="132">
        <v>45940.0</v>
      </c>
      <c r="C1248" s="327" t="s">
        <v>61</v>
      </c>
      <c r="D1248" s="315">
        <v>1.0</v>
      </c>
      <c r="E1248" s="316">
        <v>150.0</v>
      </c>
      <c r="F1248" s="316">
        <f t="shared" si="193"/>
        <v>150</v>
      </c>
      <c r="G1248" s="316">
        <f t="shared" si="194"/>
        <v>150</v>
      </c>
      <c r="H1248" s="317" t="b">
        <v>1</v>
      </c>
      <c r="I1248" s="143" t="s">
        <v>1062</v>
      </c>
      <c r="J1248" s="321" t="s">
        <v>1213</v>
      </c>
      <c r="K1248" s="317" t="b">
        <v>0</v>
      </c>
      <c r="L1248" s="279" t="b">
        <v>1</v>
      </c>
    </row>
    <row r="1249" ht="14.25" hidden="1" customHeight="1" outlineLevel="1">
      <c r="A1249" s="344">
        <v>45931.0</v>
      </c>
      <c r="B1249" s="132">
        <v>45941.0</v>
      </c>
      <c r="C1249" s="41" t="s">
        <v>75</v>
      </c>
      <c r="D1249" s="182">
        <v>1.0</v>
      </c>
      <c r="E1249" s="183">
        <v>31.6</v>
      </c>
      <c r="F1249" s="183">
        <f t="shared" si="193"/>
        <v>31.6</v>
      </c>
      <c r="G1249" s="183">
        <f t="shared" si="194"/>
        <v>31.6</v>
      </c>
      <c r="H1249" s="279" t="b">
        <v>0</v>
      </c>
      <c r="I1249" s="143" t="s">
        <v>225</v>
      </c>
      <c r="J1249" s="41" t="s">
        <v>1558</v>
      </c>
      <c r="K1249" s="279" t="b">
        <v>1</v>
      </c>
      <c r="L1249" s="279" t="b">
        <v>1</v>
      </c>
    </row>
    <row r="1250" ht="14.25" hidden="1" customHeight="1" outlineLevel="1">
      <c r="A1250" s="344">
        <v>45931.0</v>
      </c>
      <c r="B1250" s="132">
        <v>45941.0</v>
      </c>
      <c r="C1250" s="41" t="s">
        <v>171</v>
      </c>
      <c r="D1250" s="182">
        <v>1.0</v>
      </c>
      <c r="E1250" s="183">
        <v>180.5</v>
      </c>
      <c r="F1250" s="183">
        <f t="shared" si="193"/>
        <v>180.5</v>
      </c>
      <c r="G1250" s="183">
        <f t="shared" si="194"/>
        <v>180.5</v>
      </c>
      <c r="H1250" s="279" t="b">
        <v>0</v>
      </c>
      <c r="I1250" s="143" t="s">
        <v>172</v>
      </c>
      <c r="J1250" s="41" t="s">
        <v>1494</v>
      </c>
      <c r="K1250" s="279" t="b">
        <v>1</v>
      </c>
      <c r="L1250" s="279" t="b">
        <v>1</v>
      </c>
    </row>
    <row r="1251" ht="14.25" hidden="1" customHeight="1" outlineLevel="1">
      <c r="A1251" s="344">
        <v>45931.0</v>
      </c>
      <c r="B1251" s="132">
        <v>45942.0</v>
      </c>
      <c r="C1251" s="41" t="s">
        <v>61</v>
      </c>
      <c r="D1251" s="182">
        <v>1.0</v>
      </c>
      <c r="E1251" s="316">
        <v>200.0</v>
      </c>
      <c r="F1251" s="316">
        <v>200.0</v>
      </c>
      <c r="G1251" s="316">
        <v>200.0</v>
      </c>
      <c r="H1251" s="317" t="b">
        <v>1</v>
      </c>
      <c r="I1251" s="318" t="s">
        <v>490</v>
      </c>
      <c r="J1251" s="321" t="s">
        <v>1192</v>
      </c>
      <c r="K1251" s="279" t="b">
        <v>0</v>
      </c>
      <c r="L1251" s="279" t="b">
        <v>1</v>
      </c>
    </row>
    <row r="1252" ht="14.25" hidden="1" customHeight="1" outlineLevel="1">
      <c r="A1252" s="344">
        <v>45931.0</v>
      </c>
      <c r="B1252" s="132">
        <v>45942.0</v>
      </c>
      <c r="C1252" s="41" t="s">
        <v>61</v>
      </c>
      <c r="D1252" s="182">
        <v>1.0</v>
      </c>
      <c r="E1252" s="183">
        <v>200.0</v>
      </c>
      <c r="F1252" s="183">
        <v>200.0</v>
      </c>
      <c r="G1252" s="183">
        <v>200.0</v>
      </c>
      <c r="H1252" s="279" t="b">
        <v>1</v>
      </c>
      <c r="I1252" s="143" t="s">
        <v>720</v>
      </c>
      <c r="J1252" s="41" t="s">
        <v>1193</v>
      </c>
      <c r="K1252" s="279" t="b">
        <v>0</v>
      </c>
      <c r="L1252" s="279" t="b">
        <v>1</v>
      </c>
    </row>
    <row r="1253" ht="14.25" hidden="1" customHeight="1" outlineLevel="1">
      <c r="A1253" s="344">
        <v>45931.0</v>
      </c>
      <c r="B1253" s="132">
        <v>45942.0</v>
      </c>
      <c r="C1253" s="41" t="s">
        <v>61</v>
      </c>
      <c r="D1253" s="182">
        <v>1.0</v>
      </c>
      <c r="E1253" s="183">
        <v>200.0</v>
      </c>
      <c r="F1253" s="183">
        <v>200.0</v>
      </c>
      <c r="G1253" s="183">
        <v>200.0</v>
      </c>
      <c r="H1253" s="279" t="b">
        <v>1</v>
      </c>
      <c r="I1253" s="143" t="s">
        <v>342</v>
      </c>
      <c r="J1253" s="41" t="s">
        <v>1195</v>
      </c>
      <c r="K1253" s="279" t="b">
        <v>0</v>
      </c>
      <c r="L1253" s="279" t="b">
        <v>1</v>
      </c>
    </row>
    <row r="1254" ht="14.25" hidden="1" customHeight="1" outlineLevel="1">
      <c r="A1254" s="344">
        <v>45931.0</v>
      </c>
      <c r="B1254" s="132">
        <v>45943.0</v>
      </c>
      <c r="C1254" s="41" t="s">
        <v>61</v>
      </c>
      <c r="D1254" s="182">
        <v>1.0</v>
      </c>
      <c r="E1254" s="183">
        <v>150.0</v>
      </c>
      <c r="F1254" s="183">
        <v>150.0</v>
      </c>
      <c r="G1254" s="183">
        <v>150.0</v>
      </c>
      <c r="H1254" s="279" t="b">
        <v>1</v>
      </c>
      <c r="I1254" s="143" t="s">
        <v>456</v>
      </c>
      <c r="J1254" s="41" t="s">
        <v>1322</v>
      </c>
      <c r="K1254" s="279" t="b">
        <v>0</v>
      </c>
      <c r="L1254" s="279" t="b">
        <v>1</v>
      </c>
    </row>
    <row r="1255" ht="14.25" hidden="1" customHeight="1" outlineLevel="1">
      <c r="A1255" s="344">
        <v>45931.0</v>
      </c>
      <c r="B1255" s="132">
        <v>45943.0</v>
      </c>
      <c r="C1255" s="41" t="s">
        <v>61</v>
      </c>
      <c r="D1255" s="182">
        <v>1.0</v>
      </c>
      <c r="E1255" s="183">
        <v>150.0</v>
      </c>
      <c r="F1255" s="183">
        <v>150.0</v>
      </c>
      <c r="G1255" s="183">
        <v>150.0</v>
      </c>
      <c r="H1255" s="279" t="b">
        <v>1</v>
      </c>
      <c r="I1255" s="143" t="s">
        <v>265</v>
      </c>
      <c r="J1255" s="41" t="s">
        <v>1561</v>
      </c>
      <c r="K1255" s="279" t="b">
        <v>0</v>
      </c>
      <c r="L1255" s="279" t="b">
        <v>1</v>
      </c>
    </row>
    <row r="1256" ht="14.25" hidden="1" customHeight="1" outlineLevel="1">
      <c r="A1256" s="344">
        <v>45931.0</v>
      </c>
      <c r="B1256" s="132">
        <v>45943.0</v>
      </c>
      <c r="C1256" s="41" t="s">
        <v>171</v>
      </c>
      <c r="D1256" s="182">
        <v>8.0</v>
      </c>
      <c r="E1256" s="183">
        <v>2.8</v>
      </c>
      <c r="F1256" s="183">
        <f t="shared" ref="F1256:F1264" si="195">D1256*E1256</f>
        <v>22.4</v>
      </c>
      <c r="G1256" s="183">
        <f t="shared" ref="G1256:G1263" si="196">F1256</f>
        <v>22.4</v>
      </c>
      <c r="H1256" s="279" t="b">
        <v>0</v>
      </c>
      <c r="I1256" s="143" t="s">
        <v>225</v>
      </c>
      <c r="J1256" s="41" t="s">
        <v>1563</v>
      </c>
      <c r="K1256" s="279" t="b">
        <v>1</v>
      </c>
      <c r="L1256" s="279" t="b">
        <v>1</v>
      </c>
    </row>
    <row r="1257" ht="14.25" hidden="1" customHeight="1" outlineLevel="1">
      <c r="A1257" s="344">
        <v>45931.0</v>
      </c>
      <c r="B1257" s="132">
        <v>45943.0</v>
      </c>
      <c r="C1257" s="41" t="s">
        <v>171</v>
      </c>
      <c r="D1257" s="182">
        <v>1.0</v>
      </c>
      <c r="E1257" s="183">
        <v>163.4</v>
      </c>
      <c r="F1257" s="183">
        <f t="shared" si="195"/>
        <v>163.4</v>
      </c>
      <c r="G1257" s="183">
        <f t="shared" si="196"/>
        <v>163.4</v>
      </c>
      <c r="H1257" s="279" t="b">
        <v>0</v>
      </c>
      <c r="I1257" s="143" t="s">
        <v>172</v>
      </c>
      <c r="J1257" s="41" t="s">
        <v>1494</v>
      </c>
      <c r="K1257" s="279" t="b">
        <v>1</v>
      </c>
      <c r="L1257" s="279" t="b">
        <v>1</v>
      </c>
    </row>
    <row r="1258" ht="14.25" hidden="1" customHeight="1" outlineLevel="1">
      <c r="A1258" s="344">
        <v>45931.0</v>
      </c>
      <c r="B1258" s="132">
        <v>45943.0</v>
      </c>
      <c r="C1258" s="41" t="s">
        <v>171</v>
      </c>
      <c r="D1258" s="182">
        <v>1.0</v>
      </c>
      <c r="E1258" s="183">
        <v>41.8</v>
      </c>
      <c r="F1258" s="183">
        <f t="shared" si="195"/>
        <v>41.8</v>
      </c>
      <c r="G1258" s="183">
        <f t="shared" si="196"/>
        <v>41.8</v>
      </c>
      <c r="H1258" s="279" t="b">
        <v>0</v>
      </c>
      <c r="I1258" s="143" t="s">
        <v>172</v>
      </c>
      <c r="J1258" s="41" t="s">
        <v>1494</v>
      </c>
      <c r="K1258" s="279" t="b">
        <v>1</v>
      </c>
      <c r="L1258" s="279" t="b">
        <v>1</v>
      </c>
    </row>
    <row r="1259" ht="14.25" hidden="1" customHeight="1" outlineLevel="1">
      <c r="A1259" s="344">
        <v>45931.0</v>
      </c>
      <c r="B1259" s="132">
        <v>45944.0</v>
      </c>
      <c r="C1259" s="327" t="s">
        <v>61</v>
      </c>
      <c r="D1259" s="315">
        <v>1.0</v>
      </c>
      <c r="E1259" s="316">
        <v>150.0</v>
      </c>
      <c r="F1259" s="316">
        <f t="shared" si="195"/>
        <v>150</v>
      </c>
      <c r="G1259" s="316">
        <f t="shared" si="196"/>
        <v>150</v>
      </c>
      <c r="H1259" s="317" t="b">
        <v>1</v>
      </c>
      <c r="I1259" s="334" t="s">
        <v>236</v>
      </c>
      <c r="J1259" s="321" t="s">
        <v>1198</v>
      </c>
      <c r="K1259" s="317" t="b">
        <v>0</v>
      </c>
      <c r="L1259" s="279" t="b">
        <v>1</v>
      </c>
    </row>
    <row r="1260" ht="14.25" hidden="1" customHeight="1" outlineLevel="1">
      <c r="A1260" s="344">
        <v>45931.0</v>
      </c>
      <c r="B1260" s="132">
        <v>45944.0</v>
      </c>
      <c r="C1260" s="327" t="s">
        <v>61</v>
      </c>
      <c r="D1260" s="315">
        <v>1.0</v>
      </c>
      <c r="E1260" s="316">
        <v>150.0</v>
      </c>
      <c r="F1260" s="316">
        <f t="shared" si="195"/>
        <v>150</v>
      </c>
      <c r="G1260" s="316">
        <f t="shared" si="196"/>
        <v>150</v>
      </c>
      <c r="H1260" s="317" t="b">
        <v>1</v>
      </c>
      <c r="I1260" s="143" t="s">
        <v>456</v>
      </c>
      <c r="J1260" s="321" t="s">
        <v>1199</v>
      </c>
      <c r="K1260" s="317" t="b">
        <v>0</v>
      </c>
      <c r="L1260" s="279" t="b">
        <v>1</v>
      </c>
    </row>
    <row r="1261" ht="14.25" hidden="1" customHeight="1" outlineLevel="1">
      <c r="A1261" s="344">
        <v>45931.0</v>
      </c>
      <c r="B1261" s="132">
        <v>45944.0</v>
      </c>
      <c r="C1261" s="41" t="s">
        <v>315</v>
      </c>
      <c r="D1261" s="182">
        <v>4.0</v>
      </c>
      <c r="E1261" s="183">
        <v>49.99</v>
      </c>
      <c r="F1261" s="183">
        <f t="shared" si="195"/>
        <v>199.96</v>
      </c>
      <c r="G1261" s="183">
        <f t="shared" si="196"/>
        <v>199.96</v>
      </c>
      <c r="H1261" s="279" t="b">
        <v>0</v>
      </c>
      <c r="I1261" s="143" t="s">
        <v>1565</v>
      </c>
      <c r="J1261" s="41" t="s">
        <v>333</v>
      </c>
      <c r="K1261" s="279" t="b">
        <v>1</v>
      </c>
      <c r="L1261" s="279" t="b">
        <v>1</v>
      </c>
    </row>
    <row r="1262" ht="14.25" hidden="1" customHeight="1" outlineLevel="1">
      <c r="A1262" s="344">
        <v>45931.0</v>
      </c>
      <c r="B1262" s="132">
        <v>45945.0</v>
      </c>
      <c r="C1262" s="327" t="s">
        <v>61</v>
      </c>
      <c r="D1262" s="315">
        <v>1.0</v>
      </c>
      <c r="E1262" s="316">
        <v>150.0</v>
      </c>
      <c r="F1262" s="316">
        <f t="shared" si="195"/>
        <v>150</v>
      </c>
      <c r="G1262" s="316">
        <f t="shared" si="196"/>
        <v>150</v>
      </c>
      <c r="H1262" s="317" t="b">
        <v>1</v>
      </c>
      <c r="I1262" s="143" t="s">
        <v>1062</v>
      </c>
      <c r="J1262" s="321" t="s">
        <v>1566</v>
      </c>
      <c r="K1262" s="317" t="b">
        <v>0</v>
      </c>
      <c r="L1262" s="279" t="b">
        <v>1</v>
      </c>
    </row>
    <row r="1263" ht="14.25" hidden="1" customHeight="1" outlineLevel="1">
      <c r="A1263" s="344">
        <v>45931.0</v>
      </c>
      <c r="B1263" s="132">
        <v>45946.0</v>
      </c>
      <c r="C1263" s="327" t="s">
        <v>61</v>
      </c>
      <c r="D1263" s="315">
        <v>1.0</v>
      </c>
      <c r="E1263" s="316">
        <v>150.0</v>
      </c>
      <c r="F1263" s="316">
        <f t="shared" si="195"/>
        <v>150</v>
      </c>
      <c r="G1263" s="316">
        <f t="shared" si="196"/>
        <v>150</v>
      </c>
      <c r="H1263" s="317" t="b">
        <v>1</v>
      </c>
      <c r="I1263" s="143" t="s">
        <v>980</v>
      </c>
      <c r="J1263" s="321" t="s">
        <v>1181</v>
      </c>
      <c r="K1263" s="317" t="b">
        <v>0</v>
      </c>
      <c r="L1263" s="279" t="b">
        <v>1</v>
      </c>
    </row>
    <row r="1264" ht="14.25" hidden="1" customHeight="1" outlineLevel="1">
      <c r="A1264" s="344">
        <v>45931.0</v>
      </c>
      <c r="B1264" s="132">
        <v>45946.0</v>
      </c>
      <c r="C1264" s="41" t="s">
        <v>75</v>
      </c>
      <c r="D1264" s="182">
        <v>4.0</v>
      </c>
      <c r="E1264" s="183">
        <v>40.0</v>
      </c>
      <c r="F1264" s="183">
        <f t="shared" si="195"/>
        <v>160</v>
      </c>
      <c r="G1264" s="196">
        <f>SUM(F1264:F1265)</f>
        <v>195</v>
      </c>
      <c r="H1264" s="278" t="b">
        <v>0</v>
      </c>
      <c r="I1264" s="164" t="s">
        <v>1571</v>
      </c>
      <c r="J1264" s="41" t="s">
        <v>1572</v>
      </c>
      <c r="K1264" s="278" t="b">
        <v>0</v>
      </c>
      <c r="L1264" s="278" t="b">
        <v>0</v>
      </c>
    </row>
    <row r="1265" ht="14.25" hidden="1" customHeight="1" outlineLevel="1">
      <c r="A1265" s="344">
        <v>45931.0</v>
      </c>
      <c r="B1265" s="132">
        <v>45946.0</v>
      </c>
      <c r="C1265" s="41" t="s">
        <v>75</v>
      </c>
      <c r="D1265" s="182">
        <v>1.0</v>
      </c>
      <c r="E1265" s="183">
        <v>35.0</v>
      </c>
      <c r="F1265" s="183">
        <f>E1265</f>
        <v>35</v>
      </c>
      <c r="G1265" s="10"/>
      <c r="H1265" s="10"/>
      <c r="I1265" s="74"/>
      <c r="J1265" s="41" t="s">
        <v>1573</v>
      </c>
      <c r="K1265" s="10"/>
      <c r="L1265" s="10"/>
    </row>
    <row r="1266" ht="14.25" hidden="1" customHeight="1" outlineLevel="1">
      <c r="A1266" s="344">
        <v>45931.0</v>
      </c>
      <c r="B1266" s="132">
        <v>45947.0</v>
      </c>
      <c r="C1266" s="327" t="s">
        <v>61</v>
      </c>
      <c r="D1266" s="315">
        <v>1.0</v>
      </c>
      <c r="E1266" s="316">
        <v>150.0</v>
      </c>
      <c r="F1266" s="316">
        <f t="shared" ref="F1266:F1268" si="197">D1266*E1266</f>
        <v>150</v>
      </c>
      <c r="G1266" s="316">
        <f t="shared" ref="G1266:G1268" si="198">F1266</f>
        <v>150</v>
      </c>
      <c r="H1266" s="317" t="b">
        <v>1</v>
      </c>
      <c r="I1266" s="334" t="s">
        <v>236</v>
      </c>
      <c r="J1266" s="321" t="s">
        <v>1184</v>
      </c>
      <c r="K1266" s="317" t="b">
        <v>0</v>
      </c>
      <c r="L1266" s="279" t="b">
        <v>1</v>
      </c>
    </row>
    <row r="1267" ht="14.25" hidden="1" customHeight="1" outlineLevel="1">
      <c r="A1267" s="344">
        <v>45931.0</v>
      </c>
      <c r="B1267" s="132">
        <v>45947.0</v>
      </c>
      <c r="C1267" s="327" t="s">
        <v>61</v>
      </c>
      <c r="D1267" s="315">
        <v>1.0</v>
      </c>
      <c r="E1267" s="316">
        <v>150.0</v>
      </c>
      <c r="F1267" s="316">
        <f t="shared" si="197"/>
        <v>150</v>
      </c>
      <c r="G1267" s="316">
        <f t="shared" si="198"/>
        <v>150</v>
      </c>
      <c r="H1267" s="317" t="b">
        <v>1</v>
      </c>
      <c r="I1267" s="143" t="s">
        <v>1062</v>
      </c>
      <c r="J1267" s="321" t="s">
        <v>1213</v>
      </c>
      <c r="K1267" s="317" t="b">
        <v>0</v>
      </c>
      <c r="L1267" s="279" t="b">
        <v>1</v>
      </c>
    </row>
    <row r="1268" ht="14.25" hidden="1" customHeight="1" outlineLevel="1">
      <c r="A1268" s="344">
        <v>45931.0</v>
      </c>
      <c r="B1268" s="132">
        <v>45947.0</v>
      </c>
      <c r="C1268" s="41" t="s">
        <v>231</v>
      </c>
      <c r="D1268" s="182">
        <v>1.0</v>
      </c>
      <c r="E1268" s="183">
        <v>550.0</v>
      </c>
      <c r="F1268" s="183">
        <f t="shared" si="197"/>
        <v>550</v>
      </c>
      <c r="G1268" s="183">
        <f t="shared" si="198"/>
        <v>550</v>
      </c>
      <c r="H1268" s="279" t="b">
        <v>0</v>
      </c>
      <c r="I1268" s="143" t="s">
        <v>538</v>
      </c>
      <c r="J1268" s="41" t="s">
        <v>1574</v>
      </c>
      <c r="K1268" s="279" t="b">
        <v>1</v>
      </c>
      <c r="L1268" s="279" t="b">
        <v>1</v>
      </c>
    </row>
    <row r="1269" ht="14.25" hidden="1" customHeight="1" outlineLevel="1">
      <c r="A1269" s="344">
        <v>45931.0</v>
      </c>
      <c r="B1269" s="132">
        <v>45949.0</v>
      </c>
      <c r="C1269" s="41" t="s">
        <v>61</v>
      </c>
      <c r="D1269" s="182">
        <v>1.0</v>
      </c>
      <c r="E1269" s="316">
        <v>200.0</v>
      </c>
      <c r="F1269" s="316">
        <v>200.0</v>
      </c>
      <c r="G1269" s="316">
        <v>200.0</v>
      </c>
      <c r="H1269" s="317" t="b">
        <v>1</v>
      </c>
      <c r="I1269" s="318" t="s">
        <v>490</v>
      </c>
      <c r="J1269" s="321" t="s">
        <v>1192</v>
      </c>
      <c r="K1269" s="279" t="b">
        <v>0</v>
      </c>
      <c r="L1269" s="279" t="b">
        <v>1</v>
      </c>
    </row>
    <row r="1270" ht="14.25" hidden="1" customHeight="1" outlineLevel="1">
      <c r="A1270" s="344">
        <v>45931.0</v>
      </c>
      <c r="B1270" s="132">
        <v>45949.0</v>
      </c>
      <c r="C1270" s="41" t="s">
        <v>61</v>
      </c>
      <c r="D1270" s="182">
        <v>1.0</v>
      </c>
      <c r="E1270" s="183">
        <v>200.0</v>
      </c>
      <c r="F1270" s="183">
        <v>200.0</v>
      </c>
      <c r="G1270" s="183">
        <v>200.0</v>
      </c>
      <c r="H1270" s="279" t="b">
        <v>1</v>
      </c>
      <c r="I1270" s="143" t="s">
        <v>720</v>
      </c>
      <c r="J1270" s="41" t="s">
        <v>1193</v>
      </c>
      <c r="K1270" s="279" t="b">
        <v>0</v>
      </c>
      <c r="L1270" s="279" t="b">
        <v>1</v>
      </c>
    </row>
    <row r="1271" ht="14.25" hidden="1" customHeight="1" outlineLevel="1">
      <c r="A1271" s="344">
        <v>45931.0</v>
      </c>
      <c r="B1271" s="132">
        <v>45949.0</v>
      </c>
      <c r="C1271" s="41" t="s">
        <v>61</v>
      </c>
      <c r="D1271" s="182">
        <v>1.0</v>
      </c>
      <c r="E1271" s="183">
        <v>200.0</v>
      </c>
      <c r="F1271" s="183">
        <v>200.0</v>
      </c>
      <c r="G1271" s="183">
        <v>200.0</v>
      </c>
      <c r="H1271" s="279" t="b">
        <v>1</v>
      </c>
      <c r="I1271" s="143" t="s">
        <v>342</v>
      </c>
      <c r="J1271" s="41" t="s">
        <v>1195</v>
      </c>
      <c r="K1271" s="279" t="b">
        <v>0</v>
      </c>
      <c r="L1271" s="279" t="b">
        <v>1</v>
      </c>
    </row>
    <row r="1272" ht="14.25" hidden="1" customHeight="1" outlineLevel="1">
      <c r="A1272" s="344">
        <v>45931.0</v>
      </c>
      <c r="B1272" s="132">
        <v>45950.0</v>
      </c>
      <c r="C1272" s="41" t="s">
        <v>61</v>
      </c>
      <c r="D1272" s="182">
        <v>1.0</v>
      </c>
      <c r="E1272" s="183">
        <v>150.0</v>
      </c>
      <c r="F1272" s="183">
        <v>150.0</v>
      </c>
      <c r="G1272" s="183">
        <v>150.0</v>
      </c>
      <c r="H1272" s="279" t="b">
        <v>1</v>
      </c>
      <c r="I1272" s="143" t="s">
        <v>456</v>
      </c>
      <c r="J1272" s="41" t="s">
        <v>1322</v>
      </c>
      <c r="K1272" s="279" t="b">
        <v>0</v>
      </c>
      <c r="L1272" s="279" t="b">
        <v>1</v>
      </c>
    </row>
    <row r="1273" ht="14.25" hidden="1" customHeight="1" outlineLevel="1">
      <c r="A1273" s="344">
        <v>45931.0</v>
      </c>
      <c r="B1273" s="132">
        <v>45951.0</v>
      </c>
      <c r="C1273" s="41" t="s">
        <v>248</v>
      </c>
      <c r="D1273" s="182">
        <v>1.0</v>
      </c>
      <c r="E1273" s="183">
        <v>900.0</v>
      </c>
      <c r="F1273" s="183">
        <v>900.0</v>
      </c>
      <c r="G1273" s="183">
        <v>900.0</v>
      </c>
      <c r="H1273" s="279" t="b">
        <v>0</v>
      </c>
      <c r="I1273" s="143" t="s">
        <v>249</v>
      </c>
      <c r="J1273" s="41" t="s">
        <v>1578</v>
      </c>
      <c r="K1273" s="279" t="b">
        <v>0</v>
      </c>
      <c r="L1273" s="279" t="b">
        <v>1</v>
      </c>
    </row>
    <row r="1274" ht="14.25" hidden="1" customHeight="1" outlineLevel="1">
      <c r="A1274" s="344">
        <v>45931.0</v>
      </c>
      <c r="B1274" s="132">
        <v>45951.0</v>
      </c>
      <c r="C1274" s="327" t="s">
        <v>61</v>
      </c>
      <c r="D1274" s="315">
        <v>1.0</v>
      </c>
      <c r="E1274" s="316">
        <v>150.0</v>
      </c>
      <c r="F1274" s="316">
        <f t="shared" ref="F1274:F1275" si="199">D1274*E1274</f>
        <v>150</v>
      </c>
      <c r="G1274" s="316">
        <f t="shared" ref="G1274:G1275" si="200">F1274</f>
        <v>150</v>
      </c>
      <c r="H1274" s="317" t="b">
        <v>1</v>
      </c>
      <c r="I1274" s="334" t="s">
        <v>236</v>
      </c>
      <c r="J1274" s="321" t="s">
        <v>1198</v>
      </c>
      <c r="K1274" s="317" t="b">
        <v>0</v>
      </c>
      <c r="L1274" s="279" t="b">
        <v>1</v>
      </c>
    </row>
    <row r="1275" ht="14.25" hidden="1" customHeight="1" outlineLevel="1">
      <c r="A1275" s="344">
        <v>45931.0</v>
      </c>
      <c r="B1275" s="132">
        <v>45951.0</v>
      </c>
      <c r="C1275" s="327" t="s">
        <v>61</v>
      </c>
      <c r="D1275" s="315">
        <v>1.0</v>
      </c>
      <c r="E1275" s="316">
        <v>150.0</v>
      </c>
      <c r="F1275" s="316">
        <f t="shared" si="199"/>
        <v>150</v>
      </c>
      <c r="G1275" s="316">
        <f t="shared" si="200"/>
        <v>150</v>
      </c>
      <c r="H1275" s="317" t="b">
        <v>1</v>
      </c>
      <c r="I1275" s="143" t="s">
        <v>456</v>
      </c>
      <c r="J1275" s="321" t="s">
        <v>1199</v>
      </c>
      <c r="K1275" s="317" t="b">
        <v>0</v>
      </c>
      <c r="L1275" s="279" t="b">
        <v>1</v>
      </c>
    </row>
    <row r="1276" ht="14.25" hidden="1" customHeight="1" outlineLevel="1">
      <c r="A1276" s="344">
        <v>45931.0</v>
      </c>
      <c r="B1276" s="132">
        <v>45951.0</v>
      </c>
      <c r="C1276" s="41" t="s">
        <v>231</v>
      </c>
      <c r="D1276" s="182">
        <v>1.0</v>
      </c>
      <c r="E1276" s="183">
        <v>300.0</v>
      </c>
      <c r="F1276" s="183">
        <v>300.0</v>
      </c>
      <c r="G1276" s="183">
        <v>300.0</v>
      </c>
      <c r="H1276" s="279" t="b">
        <v>0</v>
      </c>
      <c r="I1276" s="143" t="s">
        <v>538</v>
      </c>
      <c r="J1276" s="41" t="s">
        <v>1581</v>
      </c>
      <c r="K1276" s="279" t="b">
        <v>1</v>
      </c>
      <c r="L1276" s="279" t="b">
        <v>1</v>
      </c>
    </row>
    <row r="1277" ht="14.25" hidden="1" customHeight="1" outlineLevel="1">
      <c r="A1277" s="344">
        <v>45931.0</v>
      </c>
      <c r="B1277" s="132">
        <v>45952.0</v>
      </c>
      <c r="C1277" s="327" t="s">
        <v>61</v>
      </c>
      <c r="D1277" s="315">
        <v>1.0</v>
      </c>
      <c r="E1277" s="316">
        <v>150.0</v>
      </c>
      <c r="F1277" s="316">
        <f t="shared" ref="F1277:F1284" si="201">D1277*E1277</f>
        <v>150</v>
      </c>
      <c r="G1277" s="316">
        <f t="shared" ref="G1277:G1284" si="202">F1277</f>
        <v>150</v>
      </c>
      <c r="H1277" s="317" t="b">
        <v>1</v>
      </c>
      <c r="I1277" s="143" t="s">
        <v>1062</v>
      </c>
      <c r="J1277" s="321" t="s">
        <v>1204</v>
      </c>
      <c r="K1277" s="317" t="b">
        <v>0</v>
      </c>
      <c r="L1277" s="279" t="b">
        <v>1</v>
      </c>
    </row>
    <row r="1278" ht="14.25" hidden="1" customHeight="1" outlineLevel="1">
      <c r="A1278" s="344">
        <v>45931.0</v>
      </c>
      <c r="B1278" s="132">
        <v>45952.0</v>
      </c>
      <c r="C1278" s="327" t="s">
        <v>61</v>
      </c>
      <c r="D1278" s="315">
        <v>1.0</v>
      </c>
      <c r="E1278" s="316">
        <v>150.0</v>
      </c>
      <c r="F1278" s="316">
        <f t="shared" si="201"/>
        <v>150</v>
      </c>
      <c r="G1278" s="316">
        <f t="shared" si="202"/>
        <v>150</v>
      </c>
      <c r="H1278" s="317" t="b">
        <v>1</v>
      </c>
      <c r="I1278" s="143" t="s">
        <v>1185</v>
      </c>
      <c r="J1278" s="321" t="s">
        <v>1583</v>
      </c>
      <c r="K1278" s="317" t="b">
        <v>0</v>
      </c>
      <c r="L1278" s="279" t="b">
        <v>1</v>
      </c>
    </row>
    <row r="1279" ht="14.25" hidden="1" customHeight="1" outlineLevel="1">
      <c r="A1279" s="344">
        <v>45931.0</v>
      </c>
      <c r="B1279" s="132">
        <v>45953.0</v>
      </c>
      <c r="C1279" s="327" t="s">
        <v>61</v>
      </c>
      <c r="D1279" s="315">
        <v>1.0</v>
      </c>
      <c r="E1279" s="316">
        <v>150.0</v>
      </c>
      <c r="F1279" s="316">
        <f t="shared" si="201"/>
        <v>150</v>
      </c>
      <c r="G1279" s="316">
        <f t="shared" si="202"/>
        <v>150</v>
      </c>
      <c r="H1279" s="317" t="b">
        <v>1</v>
      </c>
      <c r="I1279" s="143" t="s">
        <v>980</v>
      </c>
      <c r="J1279" s="321" t="s">
        <v>1181</v>
      </c>
      <c r="K1279" s="317" t="b">
        <v>0</v>
      </c>
      <c r="L1279" s="279" t="b">
        <v>1</v>
      </c>
    </row>
    <row r="1280" ht="14.25" hidden="1" customHeight="1" outlineLevel="1">
      <c r="A1280" s="344">
        <v>45931.0</v>
      </c>
      <c r="B1280" s="132">
        <v>45954.0</v>
      </c>
      <c r="C1280" s="327" t="s">
        <v>61</v>
      </c>
      <c r="D1280" s="315">
        <v>1.0</v>
      </c>
      <c r="E1280" s="316">
        <v>150.0</v>
      </c>
      <c r="F1280" s="316">
        <f t="shared" si="201"/>
        <v>150</v>
      </c>
      <c r="G1280" s="316">
        <f t="shared" si="202"/>
        <v>150</v>
      </c>
      <c r="H1280" s="317" t="b">
        <v>1</v>
      </c>
      <c r="I1280" s="334" t="s">
        <v>236</v>
      </c>
      <c r="J1280" s="321" t="s">
        <v>1184</v>
      </c>
      <c r="K1280" s="317" t="b">
        <v>0</v>
      </c>
      <c r="L1280" s="279" t="b">
        <v>1</v>
      </c>
    </row>
    <row r="1281" ht="14.25" hidden="1" customHeight="1" outlineLevel="1">
      <c r="A1281" s="344">
        <v>45931.0</v>
      </c>
      <c r="B1281" s="132">
        <v>45954.0</v>
      </c>
      <c r="C1281" s="327" t="s">
        <v>61</v>
      </c>
      <c r="D1281" s="315">
        <v>1.0</v>
      </c>
      <c r="E1281" s="316">
        <v>150.0</v>
      </c>
      <c r="F1281" s="316">
        <f t="shared" si="201"/>
        <v>150</v>
      </c>
      <c r="G1281" s="316">
        <f t="shared" si="202"/>
        <v>150</v>
      </c>
      <c r="H1281" s="317" t="b">
        <v>1</v>
      </c>
      <c r="I1281" s="143" t="s">
        <v>1062</v>
      </c>
      <c r="J1281" s="321" t="s">
        <v>1213</v>
      </c>
      <c r="K1281" s="317" t="b">
        <v>0</v>
      </c>
      <c r="L1281" s="279" t="b">
        <v>1</v>
      </c>
    </row>
    <row r="1282" ht="14.25" hidden="1" customHeight="1" outlineLevel="1">
      <c r="A1282" s="344">
        <v>45931.0</v>
      </c>
      <c r="B1282" s="132">
        <v>45954.0</v>
      </c>
      <c r="C1282" s="41" t="s">
        <v>97</v>
      </c>
      <c r="D1282" s="182">
        <v>30.0</v>
      </c>
      <c r="E1282" s="183">
        <v>5.0</v>
      </c>
      <c r="F1282" s="183">
        <f t="shared" si="201"/>
        <v>150</v>
      </c>
      <c r="G1282" s="183">
        <f t="shared" si="202"/>
        <v>150</v>
      </c>
      <c r="H1282" s="279" t="b">
        <v>0</v>
      </c>
      <c r="I1282" s="143" t="s">
        <v>98</v>
      </c>
      <c r="J1282" s="41" t="s">
        <v>1584</v>
      </c>
      <c r="K1282" s="279" t="b">
        <v>0</v>
      </c>
      <c r="L1282" s="279" t="b">
        <v>1</v>
      </c>
    </row>
    <row r="1283" ht="14.25" hidden="1" customHeight="1" outlineLevel="1">
      <c r="A1283" s="344">
        <v>45931.0</v>
      </c>
      <c r="B1283" s="132">
        <v>45954.0</v>
      </c>
      <c r="C1283" s="41" t="s">
        <v>171</v>
      </c>
      <c r="D1283" s="182">
        <v>1.0</v>
      </c>
      <c r="E1283" s="183">
        <v>116.85</v>
      </c>
      <c r="F1283" s="183">
        <f t="shared" si="201"/>
        <v>116.85</v>
      </c>
      <c r="G1283" s="183">
        <f t="shared" si="202"/>
        <v>116.85</v>
      </c>
      <c r="H1283" s="279" t="b">
        <v>0</v>
      </c>
      <c r="I1283" s="143" t="s">
        <v>172</v>
      </c>
      <c r="J1283" s="41" t="s">
        <v>898</v>
      </c>
      <c r="K1283" s="279" t="b">
        <v>0</v>
      </c>
      <c r="L1283" s="279" t="b">
        <v>1</v>
      </c>
    </row>
    <row r="1284" ht="14.25" hidden="1" customHeight="1" outlineLevel="1">
      <c r="A1284" s="344">
        <v>45931.0</v>
      </c>
      <c r="B1284" s="132">
        <v>45954.0</v>
      </c>
      <c r="C1284" s="41" t="s">
        <v>80</v>
      </c>
      <c r="D1284" s="182">
        <v>2.0</v>
      </c>
      <c r="E1284" s="183">
        <v>15.0</v>
      </c>
      <c r="F1284" s="183">
        <f t="shared" si="201"/>
        <v>30</v>
      </c>
      <c r="G1284" s="183">
        <f t="shared" si="202"/>
        <v>30</v>
      </c>
      <c r="H1284" s="279" t="b">
        <v>0</v>
      </c>
      <c r="I1284" s="143" t="s">
        <v>481</v>
      </c>
      <c r="J1284" s="41" t="s">
        <v>1013</v>
      </c>
      <c r="K1284" s="279" t="b">
        <v>1</v>
      </c>
      <c r="L1284" s="279" t="b">
        <v>1</v>
      </c>
    </row>
    <row r="1285" ht="14.25" hidden="1" customHeight="1" outlineLevel="1">
      <c r="A1285" s="344">
        <v>45931.0</v>
      </c>
      <c r="B1285" s="132">
        <v>45956.0</v>
      </c>
      <c r="C1285" s="41" t="s">
        <v>61</v>
      </c>
      <c r="D1285" s="182">
        <v>1.0</v>
      </c>
      <c r="E1285" s="183">
        <v>200.0</v>
      </c>
      <c r="F1285" s="183">
        <v>200.0</v>
      </c>
      <c r="G1285" s="183">
        <v>200.0</v>
      </c>
      <c r="H1285" s="279" t="b">
        <v>1</v>
      </c>
      <c r="I1285" s="143" t="s">
        <v>720</v>
      </c>
      <c r="J1285" s="41" t="s">
        <v>1193</v>
      </c>
      <c r="K1285" s="279" t="b">
        <v>0</v>
      </c>
      <c r="L1285" s="279" t="b">
        <v>1</v>
      </c>
    </row>
    <row r="1286" ht="14.25" hidden="1" customHeight="1" outlineLevel="1">
      <c r="A1286" s="344">
        <v>45931.0</v>
      </c>
      <c r="B1286" s="132">
        <v>45956.0</v>
      </c>
      <c r="C1286" s="41" t="s">
        <v>61</v>
      </c>
      <c r="D1286" s="182">
        <v>1.0</v>
      </c>
      <c r="E1286" s="183">
        <v>200.0</v>
      </c>
      <c r="F1286" s="183">
        <v>200.0</v>
      </c>
      <c r="G1286" s="183">
        <v>200.0</v>
      </c>
      <c r="H1286" s="279" t="b">
        <v>1</v>
      </c>
      <c r="I1286" s="143" t="s">
        <v>342</v>
      </c>
      <c r="J1286" s="41" t="s">
        <v>1195</v>
      </c>
      <c r="K1286" s="279" t="b">
        <v>0</v>
      </c>
      <c r="L1286" s="279" t="b">
        <v>1</v>
      </c>
    </row>
    <row r="1287" ht="14.25" hidden="1" customHeight="1" outlineLevel="1">
      <c r="A1287" s="344">
        <v>45931.0</v>
      </c>
      <c r="B1287" s="132">
        <v>45957.0</v>
      </c>
      <c r="C1287" s="41" t="s">
        <v>61</v>
      </c>
      <c r="D1287" s="182">
        <v>1.0</v>
      </c>
      <c r="E1287" s="183">
        <v>150.0</v>
      </c>
      <c r="F1287" s="183">
        <v>150.0</v>
      </c>
      <c r="G1287" s="183">
        <v>150.0</v>
      </c>
      <c r="H1287" s="279" t="b">
        <v>1</v>
      </c>
      <c r="I1287" s="143" t="s">
        <v>456</v>
      </c>
      <c r="J1287" s="41" t="s">
        <v>1322</v>
      </c>
      <c r="K1287" s="279" t="b">
        <v>0</v>
      </c>
      <c r="L1287" s="279" t="b">
        <v>1</v>
      </c>
    </row>
    <row r="1288" ht="14.25" hidden="1" customHeight="1" outlineLevel="1">
      <c r="A1288" s="344">
        <v>45931.0</v>
      </c>
      <c r="B1288" s="132">
        <v>45957.0</v>
      </c>
      <c r="C1288" s="41" t="s">
        <v>112</v>
      </c>
      <c r="D1288" s="182">
        <v>3.0</v>
      </c>
      <c r="E1288" s="183">
        <v>7.5</v>
      </c>
      <c r="F1288" s="183">
        <f>D1288*E1288</f>
        <v>22.5</v>
      </c>
      <c r="G1288" s="183">
        <f>F1288</f>
        <v>22.5</v>
      </c>
      <c r="H1288" s="279" t="b">
        <v>0</v>
      </c>
      <c r="I1288" s="143" t="s">
        <v>1589</v>
      </c>
      <c r="J1288" s="41" t="s">
        <v>1295</v>
      </c>
      <c r="K1288" s="279" t="b">
        <v>1</v>
      </c>
      <c r="L1288" s="279" t="b">
        <v>1</v>
      </c>
    </row>
    <row r="1289" ht="14.25" hidden="1" customHeight="1" outlineLevel="1">
      <c r="A1289" s="344">
        <v>45931.0</v>
      </c>
      <c r="B1289" s="132">
        <v>45957.0</v>
      </c>
      <c r="C1289" s="41" t="s">
        <v>93</v>
      </c>
      <c r="D1289" s="182">
        <v>1.0</v>
      </c>
      <c r="E1289" s="183">
        <v>391.2</v>
      </c>
      <c r="F1289" s="183">
        <f t="shared" ref="F1289:G1289" si="203">E1289</f>
        <v>391.2</v>
      </c>
      <c r="G1289" s="183">
        <f t="shared" si="203"/>
        <v>391.2</v>
      </c>
      <c r="H1289" s="279" t="b">
        <v>0</v>
      </c>
      <c r="I1289" s="143" t="s">
        <v>1556</v>
      </c>
      <c r="J1289" s="41" t="s">
        <v>1520</v>
      </c>
      <c r="K1289" s="279" t="b">
        <v>1</v>
      </c>
      <c r="L1289" s="279" t="b">
        <v>1</v>
      </c>
    </row>
    <row r="1290" ht="14.25" hidden="1" customHeight="1" outlineLevel="1">
      <c r="A1290" s="344">
        <v>45931.0</v>
      </c>
      <c r="B1290" s="132">
        <v>45958.0</v>
      </c>
      <c r="C1290" s="327" t="s">
        <v>61</v>
      </c>
      <c r="D1290" s="315">
        <v>1.0</v>
      </c>
      <c r="E1290" s="316">
        <v>150.0</v>
      </c>
      <c r="F1290" s="316">
        <f t="shared" ref="F1290:F1292" si="204">D1290*E1290</f>
        <v>150</v>
      </c>
      <c r="G1290" s="316">
        <f t="shared" ref="G1290:G1292" si="205">F1290</f>
        <v>150</v>
      </c>
      <c r="H1290" s="317" t="b">
        <v>1</v>
      </c>
      <c r="I1290" s="334" t="s">
        <v>236</v>
      </c>
      <c r="J1290" s="321" t="s">
        <v>1198</v>
      </c>
      <c r="K1290" s="317" t="b">
        <v>0</v>
      </c>
      <c r="L1290" s="279" t="b">
        <v>1</v>
      </c>
    </row>
    <row r="1291" ht="14.25" hidden="1" customHeight="1" outlineLevel="1">
      <c r="A1291" s="344">
        <v>45931.0</v>
      </c>
      <c r="B1291" s="132">
        <v>45958.0</v>
      </c>
      <c r="C1291" s="327" t="s">
        <v>61</v>
      </c>
      <c r="D1291" s="315">
        <v>1.0</v>
      </c>
      <c r="E1291" s="316">
        <v>150.0</v>
      </c>
      <c r="F1291" s="316">
        <f t="shared" si="204"/>
        <v>150</v>
      </c>
      <c r="G1291" s="316">
        <f t="shared" si="205"/>
        <v>150</v>
      </c>
      <c r="H1291" s="317" t="b">
        <v>1</v>
      </c>
      <c r="I1291" s="143" t="s">
        <v>456</v>
      </c>
      <c r="J1291" s="321" t="s">
        <v>1199</v>
      </c>
      <c r="K1291" s="317" t="b">
        <v>0</v>
      </c>
      <c r="L1291" s="279" t="b">
        <v>1</v>
      </c>
    </row>
    <row r="1292" ht="14.25" hidden="1" customHeight="1" outlineLevel="1">
      <c r="A1292" s="344">
        <v>45931.0</v>
      </c>
      <c r="B1292" s="132">
        <v>45959.0</v>
      </c>
      <c r="C1292" s="327" t="s">
        <v>61</v>
      </c>
      <c r="D1292" s="315">
        <v>1.0</v>
      </c>
      <c r="E1292" s="316">
        <v>150.0</v>
      </c>
      <c r="F1292" s="316">
        <f t="shared" si="204"/>
        <v>150</v>
      </c>
      <c r="G1292" s="316">
        <f t="shared" si="205"/>
        <v>150</v>
      </c>
      <c r="H1292" s="317" t="b">
        <v>1</v>
      </c>
      <c r="I1292" s="143" t="s">
        <v>1062</v>
      </c>
      <c r="J1292" s="321" t="s">
        <v>1591</v>
      </c>
      <c r="K1292" s="317" t="b">
        <v>0</v>
      </c>
      <c r="L1292" s="279" t="b">
        <v>1</v>
      </c>
    </row>
    <row r="1293" ht="14.25" hidden="1" customHeight="1" outlineLevel="1">
      <c r="A1293" s="344">
        <v>45931.0</v>
      </c>
      <c r="B1293" s="132">
        <v>45959.0</v>
      </c>
      <c r="C1293" s="41" t="s">
        <v>61</v>
      </c>
      <c r="D1293" s="182">
        <v>1.0</v>
      </c>
      <c r="E1293" s="183">
        <v>3900.0</v>
      </c>
      <c r="F1293" s="183">
        <v>3900.0</v>
      </c>
      <c r="G1293" s="183">
        <v>3900.0</v>
      </c>
      <c r="H1293" s="279" t="b">
        <v>1</v>
      </c>
      <c r="I1293" s="143" t="s">
        <v>119</v>
      </c>
      <c r="J1293" s="41" t="s">
        <v>1593</v>
      </c>
      <c r="K1293" s="279" t="b">
        <v>0</v>
      </c>
      <c r="L1293" s="279" t="b">
        <v>1</v>
      </c>
    </row>
    <row r="1294" ht="14.25" hidden="1" customHeight="1" outlineLevel="1">
      <c r="A1294" s="344">
        <v>45931.0</v>
      </c>
      <c r="B1294" s="132">
        <v>45959.0</v>
      </c>
      <c r="C1294" s="41" t="s">
        <v>112</v>
      </c>
      <c r="D1294" s="182">
        <v>1.0</v>
      </c>
      <c r="E1294" s="183">
        <v>6.39</v>
      </c>
      <c r="F1294" s="183">
        <f t="shared" ref="F1294:F1299" si="206">D1294*E1294</f>
        <v>6.39</v>
      </c>
      <c r="G1294" s="196">
        <f>SUM(F1294:F1298)</f>
        <v>72.24</v>
      </c>
      <c r="H1294" s="278" t="b">
        <v>0</v>
      </c>
      <c r="I1294" s="164" t="s">
        <v>386</v>
      </c>
      <c r="J1294" s="41" t="s">
        <v>131</v>
      </c>
      <c r="K1294" s="278" t="b">
        <v>1</v>
      </c>
      <c r="L1294" s="278" t="b">
        <v>1</v>
      </c>
    </row>
    <row r="1295" ht="14.25" hidden="1" customHeight="1" outlineLevel="1">
      <c r="A1295" s="344">
        <v>45931.0</v>
      </c>
      <c r="B1295" s="132">
        <v>45959.0</v>
      </c>
      <c r="C1295" s="41" t="s">
        <v>112</v>
      </c>
      <c r="D1295" s="182">
        <v>1.0</v>
      </c>
      <c r="E1295" s="183">
        <v>8.49</v>
      </c>
      <c r="F1295" s="183">
        <f t="shared" si="206"/>
        <v>8.49</v>
      </c>
      <c r="G1295" s="58"/>
      <c r="H1295" s="58"/>
      <c r="I1295" s="194"/>
      <c r="J1295" s="41" t="s">
        <v>1595</v>
      </c>
      <c r="K1295" s="58"/>
      <c r="L1295" s="58"/>
    </row>
    <row r="1296" ht="14.25" hidden="1" customHeight="1" outlineLevel="1">
      <c r="A1296" s="344">
        <v>45931.0</v>
      </c>
      <c r="B1296" s="132">
        <v>45959.0</v>
      </c>
      <c r="C1296" s="41" t="s">
        <v>112</v>
      </c>
      <c r="D1296" s="182">
        <v>1.0</v>
      </c>
      <c r="E1296" s="183">
        <v>37.99</v>
      </c>
      <c r="F1296" s="183">
        <f t="shared" si="206"/>
        <v>37.99</v>
      </c>
      <c r="G1296" s="58"/>
      <c r="H1296" s="58"/>
      <c r="I1296" s="194"/>
      <c r="J1296" s="41" t="s">
        <v>1596</v>
      </c>
      <c r="K1296" s="58"/>
      <c r="L1296" s="58"/>
    </row>
    <row r="1297" ht="14.25" hidden="1" customHeight="1" outlineLevel="1">
      <c r="A1297" s="344">
        <v>45931.0</v>
      </c>
      <c r="B1297" s="132">
        <v>45959.0</v>
      </c>
      <c r="C1297" s="41" t="s">
        <v>112</v>
      </c>
      <c r="D1297" s="182">
        <v>1.0</v>
      </c>
      <c r="E1297" s="183">
        <v>5.59</v>
      </c>
      <c r="F1297" s="183">
        <f t="shared" si="206"/>
        <v>5.59</v>
      </c>
      <c r="G1297" s="58"/>
      <c r="H1297" s="58"/>
      <c r="I1297" s="194"/>
      <c r="J1297" s="41" t="s">
        <v>1597</v>
      </c>
      <c r="K1297" s="58"/>
      <c r="L1297" s="58"/>
    </row>
    <row r="1298" ht="14.25" hidden="1" customHeight="1" outlineLevel="1">
      <c r="A1298" s="344">
        <v>45931.0</v>
      </c>
      <c r="B1298" s="132">
        <v>45959.0</v>
      </c>
      <c r="C1298" s="41" t="s">
        <v>69</v>
      </c>
      <c r="D1298" s="182">
        <v>2.0</v>
      </c>
      <c r="E1298" s="183">
        <v>6.89</v>
      </c>
      <c r="F1298" s="183">
        <f t="shared" si="206"/>
        <v>13.78</v>
      </c>
      <c r="G1298" s="10"/>
      <c r="H1298" s="10"/>
      <c r="I1298" s="74"/>
      <c r="J1298" s="41" t="s">
        <v>69</v>
      </c>
      <c r="K1298" s="10"/>
      <c r="L1298" s="10"/>
    </row>
    <row r="1299" ht="14.25" hidden="1" customHeight="1" outlineLevel="1">
      <c r="A1299" s="344">
        <v>45931.0</v>
      </c>
      <c r="B1299" s="132">
        <v>45960.0</v>
      </c>
      <c r="C1299" s="327" t="s">
        <v>61</v>
      </c>
      <c r="D1299" s="315">
        <v>1.0</v>
      </c>
      <c r="E1299" s="316">
        <v>150.0</v>
      </c>
      <c r="F1299" s="316">
        <f t="shared" si="206"/>
        <v>150</v>
      </c>
      <c r="G1299" s="316">
        <f t="shared" ref="G1299:G1303" si="207">F1299</f>
        <v>150</v>
      </c>
      <c r="H1299" s="317" t="b">
        <v>1</v>
      </c>
      <c r="I1299" s="143" t="s">
        <v>980</v>
      </c>
      <c r="J1299" s="321" t="s">
        <v>1181</v>
      </c>
      <c r="K1299" s="317" t="b">
        <v>0</v>
      </c>
      <c r="L1299" s="279" t="b">
        <v>1</v>
      </c>
    </row>
    <row r="1300" ht="14.25" hidden="1" customHeight="1" outlineLevel="1">
      <c r="A1300" s="344">
        <v>45931.0</v>
      </c>
      <c r="B1300" s="132">
        <v>45960.0</v>
      </c>
      <c r="C1300" s="41" t="s">
        <v>93</v>
      </c>
      <c r="D1300" s="182">
        <v>1.0</v>
      </c>
      <c r="E1300" s="183">
        <v>99.3</v>
      </c>
      <c r="F1300" s="183">
        <v>99.3</v>
      </c>
      <c r="G1300" s="183">
        <f t="shared" si="207"/>
        <v>99.3</v>
      </c>
      <c r="H1300" s="279" t="b">
        <v>0</v>
      </c>
      <c r="I1300" s="143" t="s">
        <v>1556</v>
      </c>
      <c r="J1300" s="41" t="s">
        <v>1520</v>
      </c>
      <c r="K1300" s="279" t="b">
        <v>0</v>
      </c>
      <c r="L1300" s="279" t="b">
        <v>1</v>
      </c>
    </row>
    <row r="1301" ht="14.25" hidden="1" customHeight="1" outlineLevel="1">
      <c r="A1301" s="344">
        <v>45931.0</v>
      </c>
      <c r="B1301" s="132">
        <v>45961.0</v>
      </c>
      <c r="C1301" s="327" t="s">
        <v>61</v>
      </c>
      <c r="D1301" s="315">
        <v>1.0</v>
      </c>
      <c r="E1301" s="316">
        <v>150.0</v>
      </c>
      <c r="F1301" s="316">
        <f t="shared" ref="F1301:F1303" si="208">D1301*E1301</f>
        <v>150</v>
      </c>
      <c r="G1301" s="316">
        <f t="shared" si="207"/>
        <v>150</v>
      </c>
      <c r="H1301" s="317" t="b">
        <v>1</v>
      </c>
      <c r="I1301" s="334" t="s">
        <v>236</v>
      </c>
      <c r="J1301" s="321" t="s">
        <v>1184</v>
      </c>
      <c r="K1301" s="317" t="b">
        <v>0</v>
      </c>
      <c r="L1301" s="279" t="b">
        <v>1</v>
      </c>
    </row>
    <row r="1302" ht="14.25" hidden="1" customHeight="1" outlineLevel="1">
      <c r="A1302" s="344">
        <v>45931.0</v>
      </c>
      <c r="B1302" s="132">
        <v>45961.0</v>
      </c>
      <c r="C1302" s="327" t="s">
        <v>61</v>
      </c>
      <c r="D1302" s="315">
        <v>1.0</v>
      </c>
      <c r="E1302" s="316">
        <v>150.0</v>
      </c>
      <c r="F1302" s="316">
        <f t="shared" si="208"/>
        <v>150</v>
      </c>
      <c r="G1302" s="316">
        <f t="shared" si="207"/>
        <v>150</v>
      </c>
      <c r="H1302" s="317" t="b">
        <v>1</v>
      </c>
      <c r="I1302" s="143" t="s">
        <v>1062</v>
      </c>
      <c r="J1302" s="321" t="s">
        <v>1213</v>
      </c>
      <c r="K1302" s="317" t="b">
        <v>0</v>
      </c>
      <c r="L1302" s="279" t="b">
        <v>1</v>
      </c>
    </row>
    <row r="1303" ht="14.25" hidden="1" customHeight="1" outlineLevel="1">
      <c r="A1303" s="344">
        <v>45931.0</v>
      </c>
      <c r="B1303" s="132">
        <v>45961.0</v>
      </c>
      <c r="C1303" s="41" t="s">
        <v>75</v>
      </c>
      <c r="D1303" s="182">
        <v>2.0</v>
      </c>
      <c r="E1303" s="183">
        <v>33.2</v>
      </c>
      <c r="F1303" s="183">
        <f t="shared" si="208"/>
        <v>66.4</v>
      </c>
      <c r="G1303" s="183">
        <f t="shared" si="207"/>
        <v>66.4</v>
      </c>
      <c r="H1303" s="279" t="b">
        <v>0</v>
      </c>
      <c r="I1303" s="143" t="s">
        <v>225</v>
      </c>
      <c r="J1303" s="41" t="s">
        <v>1600</v>
      </c>
      <c r="K1303" s="279" t="b">
        <v>1</v>
      </c>
      <c r="L1303" s="279" t="b">
        <v>1</v>
      </c>
    </row>
    <row r="1304" ht="14.25" hidden="1" customHeight="1" outlineLevel="1">
      <c r="A1304" s="344">
        <v>45931.0</v>
      </c>
      <c r="B1304" s="132">
        <v>45931.0</v>
      </c>
      <c r="C1304" s="327"/>
      <c r="D1304" s="182"/>
      <c r="E1304" s="183"/>
      <c r="F1304" s="183"/>
      <c r="G1304" s="183"/>
      <c r="H1304" s="279" t="b">
        <v>0</v>
      </c>
      <c r="I1304" s="143"/>
      <c r="J1304" s="41"/>
      <c r="K1304" s="279" t="b">
        <v>0</v>
      </c>
      <c r="L1304" s="279" t="b">
        <v>0</v>
      </c>
    </row>
    <row r="1305" ht="14.25" hidden="1" customHeight="1" outlineLevel="1">
      <c r="A1305" s="344">
        <v>45931.0</v>
      </c>
      <c r="B1305" s="132">
        <v>45931.0</v>
      </c>
      <c r="C1305" s="327"/>
      <c r="D1305" s="182"/>
      <c r="E1305" s="183"/>
      <c r="F1305" s="183"/>
      <c r="G1305" s="183"/>
      <c r="H1305" s="279" t="b">
        <v>0</v>
      </c>
      <c r="I1305" s="143"/>
      <c r="J1305" s="41"/>
      <c r="K1305" s="279" t="b">
        <v>0</v>
      </c>
      <c r="L1305" s="279" t="b">
        <v>0</v>
      </c>
    </row>
    <row r="1306" ht="14.25" customHeight="1">
      <c r="A1306" s="180" t="s">
        <v>192</v>
      </c>
      <c r="B1306" s="27"/>
      <c r="C1306" s="27"/>
      <c r="D1306" s="27"/>
      <c r="E1306" s="28"/>
      <c r="F1306" s="181">
        <f t="shared" ref="F1306:G1306" si="209">SUM(F1223:F1305)</f>
        <v>15823.48</v>
      </c>
      <c r="G1306" s="181">
        <f t="shared" si="209"/>
        <v>15823.48</v>
      </c>
    </row>
    <row r="1307" ht="14.25" customHeight="1" collapsed="1">
      <c r="A1307" s="245" t="s">
        <v>1307</v>
      </c>
      <c r="B1307" s="246"/>
      <c r="C1307" s="246"/>
      <c r="D1307" s="246"/>
      <c r="E1307" s="246"/>
      <c r="F1307" s="246"/>
      <c r="G1307" s="246"/>
      <c r="H1307" s="246"/>
      <c r="I1307" s="246"/>
      <c r="J1307" s="247"/>
    </row>
    <row r="1308" ht="14.25" hidden="1" customHeight="1" outlineLevel="1">
      <c r="A1308" s="344">
        <v>45962.0</v>
      </c>
      <c r="B1308" s="132">
        <v>45963.0</v>
      </c>
      <c r="C1308" s="41" t="s">
        <v>61</v>
      </c>
      <c r="D1308" s="182">
        <v>1.0</v>
      </c>
      <c r="E1308" s="316">
        <v>200.0</v>
      </c>
      <c r="F1308" s="316">
        <v>200.0</v>
      </c>
      <c r="G1308" s="316">
        <v>200.0</v>
      </c>
      <c r="H1308" s="317" t="b">
        <v>1</v>
      </c>
      <c r="I1308" s="318" t="s">
        <v>490</v>
      </c>
      <c r="J1308" s="321" t="s">
        <v>1192</v>
      </c>
      <c r="K1308" s="279" t="b">
        <v>0</v>
      </c>
      <c r="L1308" s="279" t="b">
        <v>1</v>
      </c>
    </row>
    <row r="1309" ht="14.25" hidden="1" customHeight="1" outlineLevel="1">
      <c r="A1309" s="344">
        <v>45962.0</v>
      </c>
      <c r="B1309" s="132">
        <v>45963.0</v>
      </c>
      <c r="C1309" s="41" t="s">
        <v>61</v>
      </c>
      <c r="D1309" s="182">
        <v>1.0</v>
      </c>
      <c r="E1309" s="183">
        <v>200.0</v>
      </c>
      <c r="F1309" s="183">
        <v>200.0</v>
      </c>
      <c r="G1309" s="183">
        <v>200.0</v>
      </c>
      <c r="H1309" s="279" t="b">
        <v>1</v>
      </c>
      <c r="I1309" s="143" t="s">
        <v>720</v>
      </c>
      <c r="J1309" s="41" t="s">
        <v>1193</v>
      </c>
      <c r="K1309" s="279" t="b">
        <v>0</v>
      </c>
      <c r="L1309" s="279" t="b">
        <v>1</v>
      </c>
    </row>
    <row r="1310" ht="14.25" hidden="1" customHeight="1" outlineLevel="1">
      <c r="A1310" s="344">
        <v>45962.0</v>
      </c>
      <c r="B1310" s="132">
        <v>45963.0</v>
      </c>
      <c r="C1310" s="41" t="s">
        <v>61</v>
      </c>
      <c r="D1310" s="182">
        <v>1.0</v>
      </c>
      <c r="E1310" s="183">
        <v>200.0</v>
      </c>
      <c r="F1310" s="183">
        <v>200.0</v>
      </c>
      <c r="G1310" s="183">
        <v>200.0</v>
      </c>
      <c r="H1310" s="279" t="b">
        <v>1</v>
      </c>
      <c r="I1310" s="143" t="s">
        <v>342</v>
      </c>
      <c r="J1310" s="41" t="s">
        <v>1195</v>
      </c>
      <c r="K1310" s="279" t="b">
        <v>0</v>
      </c>
      <c r="L1310" s="279" t="b">
        <v>1</v>
      </c>
    </row>
    <row r="1311" ht="14.25" hidden="1" customHeight="1" outlineLevel="1">
      <c r="A1311" s="344">
        <v>45962.0</v>
      </c>
      <c r="B1311" s="132">
        <v>45964.0</v>
      </c>
      <c r="C1311" s="41" t="s">
        <v>61</v>
      </c>
      <c r="D1311" s="182">
        <v>1.0</v>
      </c>
      <c r="E1311" s="183">
        <v>150.0</v>
      </c>
      <c r="F1311" s="183">
        <v>150.0</v>
      </c>
      <c r="G1311" s="183">
        <v>150.0</v>
      </c>
      <c r="H1311" s="279" t="b">
        <v>1</v>
      </c>
      <c r="I1311" s="143" t="s">
        <v>456</v>
      </c>
      <c r="J1311" s="41" t="s">
        <v>1322</v>
      </c>
      <c r="K1311" s="279" t="b">
        <v>0</v>
      </c>
      <c r="L1311" s="279" t="b">
        <v>1</v>
      </c>
    </row>
    <row r="1312" ht="14.25" hidden="1" customHeight="1" outlineLevel="1">
      <c r="A1312" s="344">
        <v>45962.0</v>
      </c>
      <c r="B1312" s="132">
        <v>45965.0</v>
      </c>
      <c r="C1312" s="327" t="s">
        <v>61</v>
      </c>
      <c r="D1312" s="315">
        <v>1.0</v>
      </c>
      <c r="E1312" s="316">
        <v>150.0</v>
      </c>
      <c r="F1312" s="316">
        <f t="shared" ref="F1312:F1327" si="210">D1312*E1312</f>
        <v>150</v>
      </c>
      <c r="G1312" s="316">
        <f t="shared" ref="G1312:G1314" si="211">F1312</f>
        <v>150</v>
      </c>
      <c r="H1312" s="317" t="b">
        <v>1</v>
      </c>
      <c r="I1312" s="334" t="s">
        <v>236</v>
      </c>
      <c r="J1312" s="321" t="s">
        <v>1198</v>
      </c>
      <c r="K1312" s="317" t="b">
        <v>0</v>
      </c>
      <c r="L1312" s="279" t="b">
        <v>1</v>
      </c>
    </row>
    <row r="1313" ht="14.25" hidden="1" customHeight="1" outlineLevel="1">
      <c r="A1313" s="344">
        <v>45962.0</v>
      </c>
      <c r="B1313" s="132">
        <v>45965.0</v>
      </c>
      <c r="C1313" s="327" t="s">
        <v>61</v>
      </c>
      <c r="D1313" s="315">
        <v>1.0</v>
      </c>
      <c r="E1313" s="316">
        <v>150.0</v>
      </c>
      <c r="F1313" s="316">
        <f t="shared" si="210"/>
        <v>150</v>
      </c>
      <c r="G1313" s="316">
        <f t="shared" si="211"/>
        <v>150</v>
      </c>
      <c r="H1313" s="317" t="b">
        <v>1</v>
      </c>
      <c r="I1313" s="143" t="s">
        <v>456</v>
      </c>
      <c r="J1313" s="321" t="s">
        <v>1199</v>
      </c>
      <c r="K1313" s="317" t="b">
        <v>0</v>
      </c>
      <c r="L1313" s="279" t="b">
        <v>1</v>
      </c>
    </row>
    <row r="1314" ht="14.25" hidden="1" customHeight="1" outlineLevel="1">
      <c r="A1314" s="344">
        <v>45962.0</v>
      </c>
      <c r="B1314" s="132">
        <v>45966.0</v>
      </c>
      <c r="C1314" s="327" t="s">
        <v>61</v>
      </c>
      <c r="D1314" s="315">
        <v>1.0</v>
      </c>
      <c r="E1314" s="316">
        <v>150.0</v>
      </c>
      <c r="F1314" s="316">
        <f t="shared" si="210"/>
        <v>150</v>
      </c>
      <c r="G1314" s="316">
        <f t="shared" si="211"/>
        <v>150</v>
      </c>
      <c r="H1314" s="317" t="b">
        <v>1</v>
      </c>
      <c r="I1314" s="143" t="s">
        <v>1062</v>
      </c>
      <c r="J1314" s="321" t="s">
        <v>1204</v>
      </c>
      <c r="K1314" s="317" t="b">
        <v>0</v>
      </c>
      <c r="L1314" s="279" t="b">
        <v>1</v>
      </c>
    </row>
    <row r="1315" ht="14.25" hidden="1" customHeight="1" outlineLevel="1">
      <c r="A1315" s="344">
        <v>45962.0</v>
      </c>
      <c r="B1315" s="132">
        <v>45966.0</v>
      </c>
      <c r="C1315" s="41" t="s">
        <v>75</v>
      </c>
      <c r="D1315" s="182">
        <v>5.0</v>
      </c>
      <c r="E1315" s="183">
        <v>40.0</v>
      </c>
      <c r="F1315" s="183">
        <f t="shared" si="210"/>
        <v>200</v>
      </c>
      <c r="G1315" s="196">
        <f>SUM(F1315:F1316)</f>
        <v>235</v>
      </c>
      <c r="H1315" s="278" t="b">
        <v>0</v>
      </c>
      <c r="I1315" s="164" t="s">
        <v>76</v>
      </c>
      <c r="J1315" s="41" t="s">
        <v>1606</v>
      </c>
      <c r="K1315" s="278" t="b">
        <v>0</v>
      </c>
      <c r="L1315" s="278" t="b">
        <v>1</v>
      </c>
    </row>
    <row r="1316" ht="14.25" hidden="1" customHeight="1" outlineLevel="1">
      <c r="A1316" s="344">
        <v>45962.0</v>
      </c>
      <c r="B1316" s="132">
        <v>45966.0</v>
      </c>
      <c r="C1316" s="41" t="s">
        <v>75</v>
      </c>
      <c r="D1316" s="182">
        <v>1.0</v>
      </c>
      <c r="E1316" s="183">
        <v>35.0</v>
      </c>
      <c r="F1316" s="183">
        <f t="shared" si="210"/>
        <v>35</v>
      </c>
      <c r="G1316" s="10"/>
      <c r="H1316" s="10"/>
      <c r="I1316" s="74"/>
      <c r="J1316" s="41" t="s">
        <v>1609</v>
      </c>
      <c r="K1316" s="10"/>
      <c r="L1316" s="10"/>
    </row>
    <row r="1317" ht="14.25" hidden="1" customHeight="1" outlineLevel="1">
      <c r="A1317" s="344">
        <v>45962.0</v>
      </c>
      <c r="B1317" s="132">
        <v>45966.0</v>
      </c>
      <c r="C1317" s="41" t="s">
        <v>55</v>
      </c>
      <c r="D1317" s="182">
        <v>3.0</v>
      </c>
      <c r="E1317" s="183">
        <v>7.7</v>
      </c>
      <c r="F1317" s="183">
        <f t="shared" si="210"/>
        <v>23.1</v>
      </c>
      <c r="G1317" s="196">
        <f>SUM(F1317:F1319)</f>
        <v>203.4</v>
      </c>
      <c r="H1317" s="278" t="b">
        <v>0</v>
      </c>
      <c r="I1317" s="164" t="s">
        <v>1610</v>
      </c>
      <c r="J1317" s="41" t="s">
        <v>1611</v>
      </c>
      <c r="K1317" s="278" t="b">
        <v>1</v>
      </c>
      <c r="L1317" s="278" t="b">
        <v>1</v>
      </c>
    </row>
    <row r="1318" ht="14.25" hidden="1" customHeight="1" outlineLevel="1">
      <c r="A1318" s="344">
        <v>45962.0</v>
      </c>
      <c r="B1318" s="132">
        <v>45966.0</v>
      </c>
      <c r="C1318" s="41" t="s">
        <v>55</v>
      </c>
      <c r="D1318" s="182">
        <v>5.0</v>
      </c>
      <c r="E1318" s="183">
        <v>9.6</v>
      </c>
      <c r="F1318" s="183">
        <f t="shared" si="210"/>
        <v>48</v>
      </c>
      <c r="G1318" s="58"/>
      <c r="H1318" s="58"/>
      <c r="I1318" s="194"/>
      <c r="J1318" s="41" t="s">
        <v>1613</v>
      </c>
      <c r="K1318" s="58"/>
      <c r="L1318" s="58"/>
    </row>
    <row r="1319" ht="14.25" hidden="1" customHeight="1" outlineLevel="1">
      <c r="A1319" s="344">
        <v>45962.0</v>
      </c>
      <c r="B1319" s="132">
        <v>45966.0</v>
      </c>
      <c r="C1319" s="41" t="s">
        <v>55</v>
      </c>
      <c r="D1319" s="182">
        <v>7.0</v>
      </c>
      <c r="E1319" s="183">
        <v>18.9</v>
      </c>
      <c r="F1319" s="183">
        <f t="shared" si="210"/>
        <v>132.3</v>
      </c>
      <c r="G1319" s="10"/>
      <c r="H1319" s="10"/>
      <c r="I1319" s="74"/>
      <c r="J1319" s="41" t="s">
        <v>1083</v>
      </c>
      <c r="K1319" s="10"/>
      <c r="L1319" s="10"/>
    </row>
    <row r="1320" ht="14.25" hidden="1" customHeight="1" outlineLevel="1">
      <c r="A1320" s="344">
        <v>45962.0</v>
      </c>
      <c r="B1320" s="132">
        <v>45967.0</v>
      </c>
      <c r="C1320" s="327" t="s">
        <v>61</v>
      </c>
      <c r="D1320" s="315">
        <v>1.0</v>
      </c>
      <c r="E1320" s="316">
        <v>150.0</v>
      </c>
      <c r="F1320" s="316">
        <f t="shared" si="210"/>
        <v>150</v>
      </c>
      <c r="G1320" s="316">
        <f>F1320</f>
        <v>150</v>
      </c>
      <c r="H1320" s="317" t="b">
        <v>1</v>
      </c>
      <c r="I1320" s="143" t="s">
        <v>980</v>
      </c>
      <c r="J1320" s="321" t="s">
        <v>1181</v>
      </c>
      <c r="K1320" s="317" t="b">
        <v>0</v>
      </c>
      <c r="L1320" s="279" t="b">
        <v>1</v>
      </c>
    </row>
    <row r="1321" ht="14.25" hidden="1" customHeight="1" outlineLevel="1">
      <c r="A1321" s="344">
        <v>45962.0</v>
      </c>
      <c r="B1321" s="132">
        <v>45967.0</v>
      </c>
      <c r="C1321" s="41" t="s">
        <v>75</v>
      </c>
      <c r="D1321" s="182">
        <v>1.0</v>
      </c>
      <c r="E1321" s="183">
        <v>27.0</v>
      </c>
      <c r="F1321" s="183">
        <f t="shared" si="210"/>
        <v>27</v>
      </c>
      <c r="G1321" s="407">
        <f>SUM(F1321:F1323)</f>
        <v>179.5</v>
      </c>
      <c r="H1321" s="278" t="b">
        <v>0</v>
      </c>
      <c r="I1321" s="164" t="s">
        <v>332</v>
      </c>
      <c r="J1321" s="41" t="s">
        <v>1617</v>
      </c>
      <c r="K1321" s="278" t="b">
        <v>0</v>
      </c>
      <c r="L1321" s="278" t="b">
        <v>1</v>
      </c>
    </row>
    <row r="1322" ht="14.25" hidden="1" customHeight="1" outlineLevel="1">
      <c r="A1322" s="344">
        <v>45962.0</v>
      </c>
      <c r="B1322" s="132">
        <v>45967.0</v>
      </c>
      <c r="C1322" s="41" t="s">
        <v>75</v>
      </c>
      <c r="D1322" s="182">
        <v>1.0</v>
      </c>
      <c r="E1322" s="183">
        <v>30.0</v>
      </c>
      <c r="F1322" s="183">
        <f t="shared" si="210"/>
        <v>30</v>
      </c>
      <c r="G1322" s="58"/>
      <c r="H1322" s="58"/>
      <c r="I1322" s="194"/>
      <c r="J1322" s="41" t="s">
        <v>1618</v>
      </c>
      <c r="K1322" s="58"/>
      <c r="L1322" s="58"/>
    </row>
    <row r="1323" ht="14.25" hidden="1" customHeight="1" outlineLevel="1">
      <c r="A1323" s="344">
        <v>45962.0</v>
      </c>
      <c r="B1323" s="132">
        <v>45967.0</v>
      </c>
      <c r="C1323" s="41" t="s">
        <v>231</v>
      </c>
      <c r="D1323" s="182">
        <v>7.0</v>
      </c>
      <c r="E1323" s="183">
        <v>17.5</v>
      </c>
      <c r="F1323" s="183">
        <f t="shared" si="210"/>
        <v>122.5</v>
      </c>
      <c r="G1323" s="10"/>
      <c r="H1323" s="10"/>
      <c r="I1323" s="74"/>
      <c r="J1323" s="41" t="s">
        <v>1619</v>
      </c>
      <c r="K1323" s="10"/>
      <c r="L1323" s="10"/>
    </row>
    <row r="1324" ht="14.25" hidden="1" customHeight="1" outlineLevel="1">
      <c r="A1324" s="344">
        <v>45962.0</v>
      </c>
      <c r="B1324" s="132">
        <v>45968.0</v>
      </c>
      <c r="C1324" s="327" t="s">
        <v>61</v>
      </c>
      <c r="D1324" s="315">
        <v>1.0</v>
      </c>
      <c r="E1324" s="316">
        <v>150.0</v>
      </c>
      <c r="F1324" s="316">
        <f t="shared" si="210"/>
        <v>150</v>
      </c>
      <c r="G1324" s="316">
        <f t="shared" ref="G1324:G1325" si="212">F1324</f>
        <v>150</v>
      </c>
      <c r="H1324" s="317" t="b">
        <v>1</v>
      </c>
      <c r="I1324" s="334" t="s">
        <v>236</v>
      </c>
      <c r="J1324" s="321" t="s">
        <v>1184</v>
      </c>
      <c r="K1324" s="317" t="b">
        <v>0</v>
      </c>
      <c r="L1324" s="279" t="b">
        <v>1</v>
      </c>
    </row>
    <row r="1325" ht="14.25" hidden="1" customHeight="1" outlineLevel="1">
      <c r="A1325" s="344">
        <v>45962.0</v>
      </c>
      <c r="B1325" s="132">
        <v>45968.0</v>
      </c>
      <c r="C1325" s="327" t="s">
        <v>61</v>
      </c>
      <c r="D1325" s="315">
        <v>1.0</v>
      </c>
      <c r="E1325" s="316">
        <v>150.0</v>
      </c>
      <c r="F1325" s="316">
        <f t="shared" si="210"/>
        <v>150</v>
      </c>
      <c r="G1325" s="316">
        <f t="shared" si="212"/>
        <v>150</v>
      </c>
      <c r="H1325" s="317" t="b">
        <v>1</v>
      </c>
      <c r="I1325" s="143" t="s">
        <v>1062</v>
      </c>
      <c r="J1325" s="321" t="s">
        <v>1213</v>
      </c>
      <c r="K1325" s="317" t="b">
        <v>0</v>
      </c>
      <c r="L1325" s="279" t="b">
        <v>1</v>
      </c>
    </row>
    <row r="1326" ht="14.25" hidden="1" customHeight="1" outlineLevel="1">
      <c r="A1326" s="344">
        <v>45962.0</v>
      </c>
      <c r="B1326" s="132">
        <v>45968.0</v>
      </c>
      <c r="C1326" s="41" t="s">
        <v>116</v>
      </c>
      <c r="D1326" s="182">
        <v>5.0</v>
      </c>
      <c r="E1326" s="183">
        <v>6.7</v>
      </c>
      <c r="F1326" s="183">
        <f t="shared" si="210"/>
        <v>33.5</v>
      </c>
      <c r="G1326" s="196">
        <f>SUM(F1326:F1327)</f>
        <v>41</v>
      </c>
      <c r="H1326" s="278" t="b">
        <v>0</v>
      </c>
      <c r="I1326" s="164" t="s">
        <v>1621</v>
      </c>
      <c r="J1326" s="41" t="s">
        <v>1622</v>
      </c>
      <c r="K1326" s="278" t="b">
        <v>1</v>
      </c>
      <c r="L1326" s="278" t="b">
        <v>1</v>
      </c>
    </row>
    <row r="1327" ht="14.25" hidden="1" customHeight="1" outlineLevel="1">
      <c r="A1327" s="344">
        <v>45962.0</v>
      </c>
      <c r="B1327" s="132">
        <v>45968.0</v>
      </c>
      <c r="C1327" s="41" t="s">
        <v>231</v>
      </c>
      <c r="D1327" s="182">
        <v>1.0</v>
      </c>
      <c r="E1327" s="183">
        <v>7.5</v>
      </c>
      <c r="F1327" s="183">
        <f t="shared" si="210"/>
        <v>7.5</v>
      </c>
      <c r="G1327" s="58"/>
      <c r="H1327" s="58"/>
      <c r="I1327" s="194"/>
      <c r="J1327" s="41" t="s">
        <v>1624</v>
      </c>
      <c r="K1327" s="58"/>
      <c r="L1327" s="58"/>
    </row>
    <row r="1328" ht="14.25" hidden="1" customHeight="1" outlineLevel="1">
      <c r="A1328" s="344">
        <v>45962.0</v>
      </c>
      <c r="B1328" s="132">
        <v>45970.0</v>
      </c>
      <c r="C1328" s="41" t="s">
        <v>61</v>
      </c>
      <c r="D1328" s="182">
        <v>1.0</v>
      </c>
      <c r="E1328" s="316">
        <v>200.0</v>
      </c>
      <c r="F1328" s="316">
        <v>200.0</v>
      </c>
      <c r="G1328" s="316">
        <v>200.0</v>
      </c>
      <c r="H1328" s="317" t="b">
        <v>1</v>
      </c>
      <c r="I1328" s="318" t="s">
        <v>490</v>
      </c>
      <c r="J1328" s="321" t="s">
        <v>1192</v>
      </c>
      <c r="K1328" s="279" t="b">
        <v>0</v>
      </c>
      <c r="L1328" s="279" t="b">
        <v>1</v>
      </c>
    </row>
    <row r="1329" ht="14.25" hidden="1" customHeight="1" outlineLevel="1">
      <c r="A1329" s="344">
        <v>45962.0</v>
      </c>
      <c r="B1329" s="132">
        <v>45970.0</v>
      </c>
      <c r="C1329" s="41" t="s">
        <v>61</v>
      </c>
      <c r="D1329" s="182">
        <v>1.0</v>
      </c>
      <c r="E1329" s="183">
        <v>200.0</v>
      </c>
      <c r="F1329" s="183">
        <v>200.0</v>
      </c>
      <c r="G1329" s="183">
        <v>200.0</v>
      </c>
      <c r="H1329" s="279" t="b">
        <v>1</v>
      </c>
      <c r="I1329" s="143" t="s">
        <v>720</v>
      </c>
      <c r="J1329" s="41" t="s">
        <v>1193</v>
      </c>
      <c r="K1329" s="279" t="b">
        <v>0</v>
      </c>
      <c r="L1329" s="279" t="b">
        <v>1</v>
      </c>
    </row>
    <row r="1330" ht="14.25" hidden="1" customHeight="1" outlineLevel="1">
      <c r="A1330" s="344">
        <v>45962.0</v>
      </c>
      <c r="B1330" s="132">
        <v>45970.0</v>
      </c>
      <c r="C1330" s="41" t="s">
        <v>61</v>
      </c>
      <c r="D1330" s="182">
        <v>1.0</v>
      </c>
      <c r="E1330" s="183">
        <v>200.0</v>
      </c>
      <c r="F1330" s="183">
        <v>200.0</v>
      </c>
      <c r="G1330" s="183">
        <v>200.0</v>
      </c>
      <c r="H1330" s="279" t="b">
        <v>1</v>
      </c>
      <c r="I1330" s="143" t="s">
        <v>342</v>
      </c>
      <c r="J1330" s="41" t="s">
        <v>1195</v>
      </c>
      <c r="K1330" s="279" t="b">
        <v>0</v>
      </c>
      <c r="L1330" s="279" t="b">
        <v>1</v>
      </c>
    </row>
    <row r="1331" ht="14.25" hidden="1" customHeight="1" outlineLevel="1">
      <c r="A1331" s="344">
        <v>45962.0</v>
      </c>
      <c r="B1331" s="132">
        <v>45971.0</v>
      </c>
      <c r="C1331" s="41" t="s">
        <v>61</v>
      </c>
      <c r="D1331" s="182">
        <v>1.0</v>
      </c>
      <c r="E1331" s="183">
        <v>150.0</v>
      </c>
      <c r="F1331" s="183">
        <v>150.0</v>
      </c>
      <c r="G1331" s="183">
        <v>150.0</v>
      </c>
      <c r="H1331" s="279" t="b">
        <v>1</v>
      </c>
      <c r="I1331" s="143" t="s">
        <v>456</v>
      </c>
      <c r="J1331" s="41" t="s">
        <v>1322</v>
      </c>
      <c r="K1331" s="279" t="b">
        <v>0</v>
      </c>
      <c r="L1331" s="279" t="b">
        <v>1</v>
      </c>
    </row>
    <row r="1332" ht="14.25" hidden="1" customHeight="1" outlineLevel="1">
      <c r="A1332" s="344">
        <v>45962.0</v>
      </c>
      <c r="B1332" s="132">
        <v>45971.0</v>
      </c>
      <c r="C1332" s="41" t="s">
        <v>80</v>
      </c>
      <c r="D1332" s="182">
        <v>2.0</v>
      </c>
      <c r="E1332" s="183">
        <v>15.0</v>
      </c>
      <c r="F1332" s="183">
        <f t="shared" ref="F1332:F1337" si="213">D1332*E1332</f>
        <v>30</v>
      </c>
      <c r="G1332" s="183">
        <f t="shared" ref="G1332:G1337" si="214">F1332</f>
        <v>30</v>
      </c>
      <c r="H1332" s="279" t="b">
        <v>0</v>
      </c>
      <c r="I1332" s="143" t="s">
        <v>481</v>
      </c>
      <c r="J1332" s="41" t="s">
        <v>1483</v>
      </c>
      <c r="K1332" s="279" t="b">
        <v>1</v>
      </c>
      <c r="L1332" s="279" t="b">
        <v>1</v>
      </c>
    </row>
    <row r="1333" ht="14.25" hidden="1" customHeight="1" outlineLevel="1">
      <c r="A1333" s="344">
        <v>45962.0</v>
      </c>
      <c r="B1333" s="132">
        <v>45972.0</v>
      </c>
      <c r="C1333" s="327" t="s">
        <v>61</v>
      </c>
      <c r="D1333" s="315">
        <v>1.0</v>
      </c>
      <c r="E1333" s="316">
        <v>150.0</v>
      </c>
      <c r="F1333" s="316">
        <f t="shared" si="213"/>
        <v>150</v>
      </c>
      <c r="G1333" s="316">
        <f t="shared" si="214"/>
        <v>150</v>
      </c>
      <c r="H1333" s="317" t="b">
        <v>1</v>
      </c>
      <c r="I1333" s="334" t="s">
        <v>236</v>
      </c>
      <c r="J1333" s="321" t="s">
        <v>1198</v>
      </c>
      <c r="K1333" s="317" t="b">
        <v>0</v>
      </c>
      <c r="L1333" s="279" t="b">
        <v>1</v>
      </c>
    </row>
    <row r="1334" ht="14.25" hidden="1" customHeight="1" outlineLevel="1">
      <c r="A1334" s="344">
        <v>45962.0</v>
      </c>
      <c r="B1334" s="132">
        <v>45972.0</v>
      </c>
      <c r="C1334" s="327" t="s">
        <v>61</v>
      </c>
      <c r="D1334" s="315">
        <v>1.0</v>
      </c>
      <c r="E1334" s="316">
        <v>150.0</v>
      </c>
      <c r="F1334" s="316">
        <f t="shared" si="213"/>
        <v>150</v>
      </c>
      <c r="G1334" s="316">
        <f t="shared" si="214"/>
        <v>150</v>
      </c>
      <c r="H1334" s="317" t="b">
        <v>1</v>
      </c>
      <c r="I1334" s="143" t="s">
        <v>456</v>
      </c>
      <c r="J1334" s="321" t="s">
        <v>1199</v>
      </c>
      <c r="K1334" s="317" t="b">
        <v>0</v>
      </c>
      <c r="L1334" s="279" t="b">
        <v>1</v>
      </c>
    </row>
    <row r="1335" ht="14.25" hidden="1" customHeight="1" outlineLevel="1">
      <c r="A1335" s="344">
        <v>45962.0</v>
      </c>
      <c r="B1335" s="132">
        <v>45973.0</v>
      </c>
      <c r="C1335" s="327" t="s">
        <v>61</v>
      </c>
      <c r="D1335" s="315">
        <v>1.0</v>
      </c>
      <c r="E1335" s="316">
        <v>150.0</v>
      </c>
      <c r="F1335" s="316">
        <f t="shared" si="213"/>
        <v>150</v>
      </c>
      <c r="G1335" s="316">
        <f t="shared" si="214"/>
        <v>150</v>
      </c>
      <c r="H1335" s="317" t="b">
        <v>1</v>
      </c>
      <c r="I1335" s="143" t="s">
        <v>1062</v>
      </c>
      <c r="J1335" s="321" t="s">
        <v>1204</v>
      </c>
      <c r="K1335" s="317" t="b">
        <v>0</v>
      </c>
      <c r="L1335" s="279" t="b">
        <v>1</v>
      </c>
    </row>
    <row r="1336" ht="14.25" hidden="1" customHeight="1" outlineLevel="1">
      <c r="A1336" s="344">
        <v>45962.0</v>
      </c>
      <c r="B1336" s="132">
        <v>45975.0</v>
      </c>
      <c r="C1336" s="327" t="s">
        <v>61</v>
      </c>
      <c r="D1336" s="315">
        <v>1.0</v>
      </c>
      <c r="E1336" s="316">
        <v>150.0</v>
      </c>
      <c r="F1336" s="316">
        <f t="shared" si="213"/>
        <v>150</v>
      </c>
      <c r="G1336" s="316">
        <f t="shared" si="214"/>
        <v>150</v>
      </c>
      <c r="H1336" s="317" t="b">
        <v>1</v>
      </c>
      <c r="I1336" s="334" t="s">
        <v>236</v>
      </c>
      <c r="J1336" s="321" t="s">
        <v>1184</v>
      </c>
      <c r="K1336" s="317" t="b">
        <v>0</v>
      </c>
      <c r="L1336" s="279" t="b">
        <v>1</v>
      </c>
    </row>
    <row r="1337" ht="14.25" hidden="1" customHeight="1" outlineLevel="1">
      <c r="A1337" s="344">
        <v>45962.0</v>
      </c>
      <c r="B1337" s="132">
        <v>45975.0</v>
      </c>
      <c r="C1337" s="327" t="s">
        <v>61</v>
      </c>
      <c r="D1337" s="315">
        <v>1.0</v>
      </c>
      <c r="E1337" s="316">
        <v>150.0</v>
      </c>
      <c r="F1337" s="316">
        <f t="shared" si="213"/>
        <v>150</v>
      </c>
      <c r="G1337" s="316">
        <f t="shared" si="214"/>
        <v>150</v>
      </c>
      <c r="H1337" s="317" t="b">
        <v>1</v>
      </c>
      <c r="I1337" s="143" t="s">
        <v>1062</v>
      </c>
      <c r="J1337" s="321" t="s">
        <v>1213</v>
      </c>
      <c r="K1337" s="317" t="b">
        <v>0</v>
      </c>
      <c r="L1337" s="279" t="b">
        <v>1</v>
      </c>
    </row>
    <row r="1338" ht="14.25" hidden="1" customHeight="1" outlineLevel="1">
      <c r="A1338" s="344">
        <v>45962.0</v>
      </c>
      <c r="B1338" s="132">
        <v>45977.0</v>
      </c>
      <c r="C1338" s="41" t="s">
        <v>61</v>
      </c>
      <c r="D1338" s="182">
        <v>1.0</v>
      </c>
      <c r="E1338" s="316">
        <v>200.0</v>
      </c>
      <c r="F1338" s="316">
        <v>200.0</v>
      </c>
      <c r="G1338" s="316">
        <v>200.0</v>
      </c>
      <c r="H1338" s="317" t="b">
        <v>1</v>
      </c>
      <c r="I1338" s="318" t="s">
        <v>490</v>
      </c>
      <c r="J1338" s="321" t="s">
        <v>1192</v>
      </c>
      <c r="K1338" s="279" t="b">
        <v>0</v>
      </c>
      <c r="L1338" s="279" t="b">
        <v>1</v>
      </c>
    </row>
    <row r="1339" ht="14.25" hidden="1" customHeight="1" outlineLevel="1">
      <c r="A1339" s="344">
        <v>45962.0</v>
      </c>
      <c r="B1339" s="132">
        <v>45977.0</v>
      </c>
      <c r="C1339" s="41" t="s">
        <v>61</v>
      </c>
      <c r="D1339" s="182">
        <v>1.0</v>
      </c>
      <c r="E1339" s="183">
        <v>200.0</v>
      </c>
      <c r="F1339" s="183">
        <v>200.0</v>
      </c>
      <c r="G1339" s="183">
        <v>200.0</v>
      </c>
      <c r="H1339" s="279" t="b">
        <v>1</v>
      </c>
      <c r="I1339" s="143" t="s">
        <v>720</v>
      </c>
      <c r="J1339" s="41" t="s">
        <v>1193</v>
      </c>
      <c r="K1339" s="279" t="b">
        <v>0</v>
      </c>
      <c r="L1339" s="279" t="b">
        <v>1</v>
      </c>
    </row>
    <row r="1340" ht="14.25" hidden="1" customHeight="1" outlineLevel="1">
      <c r="A1340" s="344">
        <v>45962.0</v>
      </c>
      <c r="B1340" s="132">
        <v>45977.0</v>
      </c>
      <c r="C1340" s="41" t="s">
        <v>61</v>
      </c>
      <c r="D1340" s="182">
        <v>1.0</v>
      </c>
      <c r="E1340" s="183">
        <v>200.0</v>
      </c>
      <c r="F1340" s="183">
        <v>200.0</v>
      </c>
      <c r="G1340" s="183">
        <v>200.0</v>
      </c>
      <c r="H1340" s="279" t="b">
        <v>1</v>
      </c>
      <c r="I1340" s="143" t="s">
        <v>342</v>
      </c>
      <c r="J1340" s="41" t="s">
        <v>1195</v>
      </c>
      <c r="K1340" s="279" t="b">
        <v>0</v>
      </c>
      <c r="L1340" s="279" t="b">
        <v>1</v>
      </c>
    </row>
    <row r="1341" ht="14.25" hidden="1" customHeight="1" outlineLevel="1">
      <c r="A1341" s="344">
        <v>45962.0</v>
      </c>
      <c r="B1341" s="132">
        <v>45978.0</v>
      </c>
      <c r="C1341" s="41" t="s">
        <v>61</v>
      </c>
      <c r="D1341" s="182">
        <v>1.0</v>
      </c>
      <c r="E1341" s="183">
        <v>150.0</v>
      </c>
      <c r="F1341" s="183">
        <v>150.0</v>
      </c>
      <c r="G1341" s="183">
        <v>150.0</v>
      </c>
      <c r="H1341" s="279" t="b">
        <v>1</v>
      </c>
      <c r="I1341" s="143" t="s">
        <v>456</v>
      </c>
      <c r="J1341" s="41" t="s">
        <v>1322</v>
      </c>
      <c r="K1341" s="279" t="b">
        <v>0</v>
      </c>
      <c r="L1341" s="279" t="b">
        <v>1</v>
      </c>
    </row>
    <row r="1342" ht="14.25" hidden="1" customHeight="1" outlineLevel="1">
      <c r="A1342" s="344">
        <v>45962.0</v>
      </c>
      <c r="B1342" s="132">
        <v>45979.0</v>
      </c>
      <c r="C1342" s="327" t="s">
        <v>61</v>
      </c>
      <c r="D1342" s="315">
        <v>1.0</v>
      </c>
      <c r="E1342" s="316">
        <v>150.0</v>
      </c>
      <c r="F1342" s="316">
        <f t="shared" ref="F1342:F1347" si="215">D1342*E1342</f>
        <v>150</v>
      </c>
      <c r="G1342" s="316">
        <f t="shared" ref="G1342:G1347" si="216">F1342</f>
        <v>150</v>
      </c>
      <c r="H1342" s="317" t="b">
        <v>1</v>
      </c>
      <c r="I1342" s="334" t="s">
        <v>236</v>
      </c>
      <c r="J1342" s="321" t="s">
        <v>1198</v>
      </c>
      <c r="K1342" s="317" t="b">
        <v>0</v>
      </c>
      <c r="L1342" s="279" t="b">
        <v>1</v>
      </c>
    </row>
    <row r="1343" ht="14.25" hidden="1" customHeight="1" outlineLevel="1">
      <c r="A1343" s="344">
        <v>45962.0</v>
      </c>
      <c r="B1343" s="132">
        <v>45979.0</v>
      </c>
      <c r="C1343" s="327" t="s">
        <v>61</v>
      </c>
      <c r="D1343" s="315">
        <v>1.0</v>
      </c>
      <c r="E1343" s="316">
        <v>150.0</v>
      </c>
      <c r="F1343" s="316">
        <f t="shared" si="215"/>
        <v>150</v>
      </c>
      <c r="G1343" s="316">
        <f t="shared" si="216"/>
        <v>150</v>
      </c>
      <c r="H1343" s="317" t="b">
        <v>1</v>
      </c>
      <c r="I1343" s="143" t="s">
        <v>456</v>
      </c>
      <c r="J1343" s="321" t="s">
        <v>1199</v>
      </c>
      <c r="K1343" s="317" t="b">
        <v>0</v>
      </c>
      <c r="L1343" s="279" t="b">
        <v>1</v>
      </c>
    </row>
    <row r="1344" ht="14.25" hidden="1" customHeight="1" outlineLevel="1">
      <c r="A1344" s="344">
        <v>45962.0</v>
      </c>
      <c r="B1344" s="132">
        <v>45980.0</v>
      </c>
      <c r="C1344" s="327" t="s">
        <v>61</v>
      </c>
      <c r="D1344" s="315">
        <v>1.0</v>
      </c>
      <c r="E1344" s="316">
        <v>150.0</v>
      </c>
      <c r="F1344" s="316">
        <f t="shared" si="215"/>
        <v>150</v>
      </c>
      <c r="G1344" s="316">
        <f t="shared" si="216"/>
        <v>150</v>
      </c>
      <c r="H1344" s="317" t="b">
        <v>1</v>
      </c>
      <c r="I1344" s="143" t="s">
        <v>1062</v>
      </c>
      <c r="J1344" s="321" t="s">
        <v>1204</v>
      </c>
      <c r="K1344" s="317" t="b">
        <v>0</v>
      </c>
      <c r="L1344" s="279" t="b">
        <v>1</v>
      </c>
    </row>
    <row r="1345" ht="14.25" hidden="1" customHeight="1" outlineLevel="1">
      <c r="A1345" s="344">
        <v>45962.0</v>
      </c>
      <c r="B1345" s="132">
        <v>45982.0</v>
      </c>
      <c r="C1345" s="327" t="s">
        <v>61</v>
      </c>
      <c r="D1345" s="315">
        <v>1.0</v>
      </c>
      <c r="E1345" s="316">
        <v>150.0</v>
      </c>
      <c r="F1345" s="316">
        <f t="shared" si="215"/>
        <v>150</v>
      </c>
      <c r="G1345" s="316">
        <f t="shared" si="216"/>
        <v>150</v>
      </c>
      <c r="H1345" s="317" t="b">
        <v>1</v>
      </c>
      <c r="I1345" s="334" t="s">
        <v>236</v>
      </c>
      <c r="J1345" s="321" t="s">
        <v>1184</v>
      </c>
      <c r="K1345" s="317" t="b">
        <v>0</v>
      </c>
      <c r="L1345" s="279" t="b">
        <v>1</v>
      </c>
    </row>
    <row r="1346" ht="14.25" hidden="1" customHeight="1" outlineLevel="1">
      <c r="A1346" s="344">
        <v>45962.0</v>
      </c>
      <c r="B1346" s="132">
        <v>45982.0</v>
      </c>
      <c r="C1346" s="327" t="s">
        <v>61</v>
      </c>
      <c r="D1346" s="315">
        <v>1.0</v>
      </c>
      <c r="E1346" s="316">
        <v>150.0</v>
      </c>
      <c r="F1346" s="316">
        <f t="shared" si="215"/>
        <v>150</v>
      </c>
      <c r="G1346" s="316">
        <f t="shared" si="216"/>
        <v>150</v>
      </c>
      <c r="H1346" s="317" t="b">
        <v>1</v>
      </c>
      <c r="I1346" s="143" t="s">
        <v>1062</v>
      </c>
      <c r="J1346" s="321" t="s">
        <v>1213</v>
      </c>
      <c r="K1346" s="317" t="b">
        <v>0</v>
      </c>
      <c r="L1346" s="279" t="b">
        <v>1</v>
      </c>
    </row>
    <row r="1347" ht="14.25" hidden="1" customHeight="1" outlineLevel="1">
      <c r="A1347" s="344">
        <v>45962.0</v>
      </c>
      <c r="B1347" s="132">
        <v>45982.0</v>
      </c>
      <c r="C1347" s="41" t="s">
        <v>55</v>
      </c>
      <c r="D1347" s="182">
        <v>4.0</v>
      </c>
      <c r="E1347" s="183">
        <v>18.9</v>
      </c>
      <c r="F1347" s="183">
        <f t="shared" si="215"/>
        <v>75.6</v>
      </c>
      <c r="G1347" s="295">
        <f t="shared" si="216"/>
        <v>75.6</v>
      </c>
      <c r="H1347" s="279" t="b">
        <v>0</v>
      </c>
      <c r="I1347" s="143" t="s">
        <v>814</v>
      </c>
      <c r="J1347" s="41" t="s">
        <v>1634</v>
      </c>
      <c r="K1347" s="279" t="b">
        <v>1</v>
      </c>
      <c r="L1347" s="279" t="b">
        <v>1</v>
      </c>
    </row>
    <row r="1348" ht="14.25" hidden="1" customHeight="1" outlineLevel="1">
      <c r="A1348" s="344">
        <v>45962.0</v>
      </c>
      <c r="B1348" s="132">
        <v>45984.0</v>
      </c>
      <c r="C1348" s="41" t="s">
        <v>61</v>
      </c>
      <c r="D1348" s="182">
        <v>1.0</v>
      </c>
      <c r="E1348" s="316">
        <v>200.0</v>
      </c>
      <c r="F1348" s="316">
        <v>200.0</v>
      </c>
      <c r="G1348" s="316">
        <v>200.0</v>
      </c>
      <c r="H1348" s="317" t="b">
        <v>1</v>
      </c>
      <c r="I1348" s="318" t="s">
        <v>490</v>
      </c>
      <c r="J1348" s="321" t="s">
        <v>1192</v>
      </c>
      <c r="K1348" s="279" t="b">
        <v>0</v>
      </c>
      <c r="L1348" s="279" t="b">
        <v>1</v>
      </c>
    </row>
    <row r="1349" ht="14.25" hidden="1" customHeight="1" outlineLevel="1">
      <c r="A1349" s="344">
        <v>45962.0</v>
      </c>
      <c r="B1349" s="132">
        <v>45984.0</v>
      </c>
      <c r="C1349" s="41" t="s">
        <v>61</v>
      </c>
      <c r="D1349" s="182">
        <v>1.0</v>
      </c>
      <c r="E1349" s="183">
        <v>200.0</v>
      </c>
      <c r="F1349" s="183">
        <v>200.0</v>
      </c>
      <c r="G1349" s="183">
        <v>200.0</v>
      </c>
      <c r="H1349" s="279" t="b">
        <v>1</v>
      </c>
      <c r="I1349" s="143" t="s">
        <v>720</v>
      </c>
      <c r="J1349" s="41" t="s">
        <v>1193</v>
      </c>
      <c r="K1349" s="279" t="b">
        <v>0</v>
      </c>
      <c r="L1349" s="279" t="b">
        <v>1</v>
      </c>
    </row>
    <row r="1350" ht="14.25" hidden="1" customHeight="1" outlineLevel="1">
      <c r="A1350" s="344">
        <v>45962.0</v>
      </c>
      <c r="B1350" s="132">
        <v>45984.0</v>
      </c>
      <c r="C1350" s="41" t="s">
        <v>61</v>
      </c>
      <c r="D1350" s="182">
        <v>1.0</v>
      </c>
      <c r="E1350" s="183">
        <v>200.0</v>
      </c>
      <c r="F1350" s="183">
        <v>200.0</v>
      </c>
      <c r="G1350" s="183">
        <v>200.0</v>
      </c>
      <c r="H1350" s="279" t="b">
        <v>1</v>
      </c>
      <c r="I1350" s="143" t="s">
        <v>342</v>
      </c>
      <c r="J1350" s="41" t="s">
        <v>1195</v>
      </c>
      <c r="K1350" s="279" t="b">
        <v>0</v>
      </c>
      <c r="L1350" s="279" t="b">
        <v>1</v>
      </c>
    </row>
    <row r="1351" ht="14.25" hidden="1" customHeight="1" outlineLevel="1">
      <c r="A1351" s="344">
        <v>45962.0</v>
      </c>
      <c r="B1351" s="132">
        <v>45985.0</v>
      </c>
      <c r="C1351" s="41" t="s">
        <v>61</v>
      </c>
      <c r="D1351" s="182">
        <v>1.0</v>
      </c>
      <c r="E1351" s="183">
        <v>150.0</v>
      </c>
      <c r="F1351" s="183">
        <v>150.0</v>
      </c>
      <c r="G1351" s="183">
        <v>150.0</v>
      </c>
      <c r="H1351" s="279" t="b">
        <v>1</v>
      </c>
      <c r="I1351" s="143" t="s">
        <v>456</v>
      </c>
      <c r="J1351" s="41" t="s">
        <v>1322</v>
      </c>
      <c r="K1351" s="279" t="b">
        <v>0</v>
      </c>
      <c r="L1351" s="279" t="b">
        <v>1</v>
      </c>
    </row>
    <row r="1352" ht="14.25" hidden="1" customHeight="1" outlineLevel="1">
      <c r="A1352" s="344">
        <v>45962.0</v>
      </c>
      <c r="B1352" s="132">
        <v>45985.0</v>
      </c>
      <c r="C1352" s="41" t="s">
        <v>80</v>
      </c>
      <c r="D1352" s="182">
        <v>2.0</v>
      </c>
      <c r="E1352" s="183">
        <v>15.0</v>
      </c>
      <c r="F1352" s="183">
        <f t="shared" ref="F1352:F1353" si="217">D1352*E1352</f>
        <v>30</v>
      </c>
      <c r="G1352" s="183">
        <f t="shared" ref="G1352:G1353" si="218">F1352</f>
        <v>30</v>
      </c>
      <c r="H1352" s="279" t="b">
        <v>0</v>
      </c>
      <c r="I1352" s="143" t="s">
        <v>481</v>
      </c>
      <c r="J1352" s="41" t="s">
        <v>1013</v>
      </c>
      <c r="K1352" s="279" t="b">
        <v>1</v>
      </c>
      <c r="L1352" s="279" t="b">
        <v>1</v>
      </c>
    </row>
    <row r="1353" ht="14.25" hidden="1" customHeight="1" outlineLevel="1">
      <c r="A1353" s="344">
        <v>45962.0</v>
      </c>
      <c r="B1353" s="132">
        <v>45986.0</v>
      </c>
      <c r="C1353" s="327" t="s">
        <v>61</v>
      </c>
      <c r="D1353" s="315">
        <v>1.0</v>
      </c>
      <c r="E1353" s="316">
        <v>150.0</v>
      </c>
      <c r="F1353" s="316">
        <f t="shared" si="217"/>
        <v>150</v>
      </c>
      <c r="G1353" s="316">
        <f t="shared" si="218"/>
        <v>150</v>
      </c>
      <c r="H1353" s="317" t="b">
        <v>1</v>
      </c>
      <c r="I1353" s="334" t="s">
        <v>236</v>
      </c>
      <c r="J1353" s="321" t="s">
        <v>1198</v>
      </c>
      <c r="K1353" s="317" t="b">
        <v>0</v>
      </c>
      <c r="L1353" s="279" t="b">
        <v>1</v>
      </c>
    </row>
    <row r="1354" ht="14.25" hidden="1" customHeight="1" outlineLevel="1">
      <c r="A1354" s="344">
        <v>45962.0</v>
      </c>
      <c r="B1354" s="132">
        <v>45986.0</v>
      </c>
      <c r="C1354" s="327" t="s">
        <v>61</v>
      </c>
      <c r="D1354" s="315">
        <v>1.0</v>
      </c>
      <c r="E1354" s="337">
        <v>0.0</v>
      </c>
      <c r="F1354" s="337">
        <v>0.0</v>
      </c>
      <c r="G1354" s="337">
        <v>0.0</v>
      </c>
      <c r="H1354" s="317" t="b">
        <v>1</v>
      </c>
      <c r="I1354" s="143" t="s">
        <v>1327</v>
      </c>
      <c r="J1354" s="321" t="s">
        <v>1199</v>
      </c>
      <c r="K1354" s="317" t="b">
        <v>0</v>
      </c>
      <c r="L1354" s="279" t="b">
        <v>1</v>
      </c>
    </row>
    <row r="1355" ht="14.25" hidden="1" customHeight="1" outlineLevel="1">
      <c r="A1355" s="344">
        <v>45962.0</v>
      </c>
      <c r="B1355" s="132">
        <v>45986.0</v>
      </c>
      <c r="C1355" s="41" t="s">
        <v>75</v>
      </c>
      <c r="D1355" s="182">
        <v>5.0</v>
      </c>
      <c r="E1355" s="183">
        <v>40.0</v>
      </c>
      <c r="F1355" s="183">
        <f t="shared" ref="F1355:F1358" si="219">D1355*E1355</f>
        <v>200</v>
      </c>
      <c r="G1355" s="196">
        <f>SUM(F1355:F1356)</f>
        <v>235</v>
      </c>
      <c r="H1355" s="278" t="b">
        <v>0</v>
      </c>
      <c r="I1355" s="164" t="s">
        <v>76</v>
      </c>
      <c r="J1355" s="41" t="s">
        <v>1265</v>
      </c>
      <c r="K1355" s="279" t="b">
        <v>0</v>
      </c>
      <c r="L1355" s="279" t="b">
        <v>1</v>
      </c>
    </row>
    <row r="1356" ht="14.25" hidden="1" customHeight="1" outlineLevel="1">
      <c r="A1356" s="344">
        <v>45962.0</v>
      </c>
      <c r="B1356" s="132">
        <v>45986.0</v>
      </c>
      <c r="C1356" s="41" t="s">
        <v>75</v>
      </c>
      <c r="D1356" s="182">
        <v>1.0</v>
      </c>
      <c r="E1356" s="183">
        <v>35.0</v>
      </c>
      <c r="F1356" s="183">
        <f t="shared" si="219"/>
        <v>35</v>
      </c>
      <c r="G1356" s="10"/>
      <c r="H1356" s="10"/>
      <c r="I1356" s="74"/>
      <c r="J1356" s="41" t="s">
        <v>1637</v>
      </c>
      <c r="K1356" s="279" t="b">
        <v>0</v>
      </c>
      <c r="L1356" s="279" t="b">
        <v>1</v>
      </c>
    </row>
    <row r="1357" ht="14.25" hidden="1" customHeight="1" outlineLevel="1">
      <c r="A1357" s="344">
        <v>45962.0</v>
      </c>
      <c r="B1357" s="132">
        <v>45986.0</v>
      </c>
      <c r="C1357" s="41" t="s">
        <v>93</v>
      </c>
      <c r="D1357" s="182">
        <v>1.0</v>
      </c>
      <c r="E1357" s="183">
        <v>141.0</v>
      </c>
      <c r="F1357" s="183">
        <f t="shared" si="219"/>
        <v>141</v>
      </c>
      <c r="G1357" s="183">
        <f t="shared" ref="G1357:G1358" si="220">F1357</f>
        <v>141</v>
      </c>
      <c r="H1357" s="279" t="b">
        <v>0</v>
      </c>
      <c r="I1357" s="143" t="s">
        <v>1556</v>
      </c>
      <c r="J1357" s="41" t="s">
        <v>1639</v>
      </c>
      <c r="K1357" s="279" t="b">
        <v>1</v>
      </c>
      <c r="L1357" s="279" t="b">
        <v>1</v>
      </c>
    </row>
    <row r="1358" ht="14.25" hidden="1" customHeight="1" outlineLevel="1">
      <c r="A1358" s="344">
        <v>45962.0</v>
      </c>
      <c r="B1358" s="132">
        <v>45987.0</v>
      </c>
      <c r="C1358" s="327" t="s">
        <v>61</v>
      </c>
      <c r="D1358" s="315">
        <v>1.0</v>
      </c>
      <c r="E1358" s="316">
        <v>150.0</v>
      </c>
      <c r="F1358" s="316">
        <f t="shared" si="219"/>
        <v>150</v>
      </c>
      <c r="G1358" s="316">
        <f t="shared" si="220"/>
        <v>150</v>
      </c>
      <c r="H1358" s="317" t="b">
        <v>1</v>
      </c>
      <c r="I1358" s="143" t="s">
        <v>1062</v>
      </c>
      <c r="J1358" s="321" t="s">
        <v>1204</v>
      </c>
      <c r="K1358" s="317" t="b">
        <v>0</v>
      </c>
      <c r="L1358" s="279" t="b">
        <v>1</v>
      </c>
    </row>
    <row r="1359" ht="14.25" hidden="1" customHeight="1" outlineLevel="1">
      <c r="A1359" s="344">
        <v>45962.0</v>
      </c>
      <c r="B1359" s="132">
        <v>45987.0</v>
      </c>
      <c r="C1359" s="41" t="s">
        <v>61</v>
      </c>
      <c r="D1359" s="182">
        <v>1.0</v>
      </c>
      <c r="E1359" s="183">
        <v>3900.0</v>
      </c>
      <c r="F1359" s="183">
        <v>3900.0</v>
      </c>
      <c r="G1359" s="183">
        <v>3900.0</v>
      </c>
      <c r="H1359" s="279" t="b">
        <v>1</v>
      </c>
      <c r="I1359" s="143" t="s">
        <v>119</v>
      </c>
      <c r="J1359" s="41" t="s">
        <v>1640</v>
      </c>
      <c r="K1359" s="279" t="b">
        <v>0</v>
      </c>
      <c r="L1359" s="279" t="b">
        <v>1</v>
      </c>
    </row>
    <row r="1360" ht="14.25" hidden="1" customHeight="1" outlineLevel="1">
      <c r="A1360" s="344">
        <v>45962.0</v>
      </c>
      <c r="B1360" s="132">
        <v>45988.0</v>
      </c>
      <c r="C1360" s="327" t="s">
        <v>61</v>
      </c>
      <c r="D1360" s="315">
        <v>1.0</v>
      </c>
      <c r="E1360" s="316">
        <v>150.0</v>
      </c>
      <c r="F1360" s="316">
        <f t="shared" ref="F1360:F1362" si="221">D1360*E1360</f>
        <v>150</v>
      </c>
      <c r="G1360" s="316">
        <f t="shared" ref="G1360:G1362" si="222">F1360</f>
        <v>150</v>
      </c>
      <c r="H1360" s="317" t="b">
        <v>1</v>
      </c>
      <c r="I1360" s="143" t="s">
        <v>980</v>
      </c>
      <c r="J1360" s="321" t="s">
        <v>1181</v>
      </c>
      <c r="K1360" s="317" t="b">
        <v>0</v>
      </c>
      <c r="L1360" s="279" t="b">
        <v>1</v>
      </c>
    </row>
    <row r="1361" ht="14.25" hidden="1" customHeight="1" outlineLevel="1">
      <c r="A1361" s="344">
        <v>45962.0</v>
      </c>
      <c r="B1361" s="132">
        <v>45989.0</v>
      </c>
      <c r="C1361" s="327" t="s">
        <v>61</v>
      </c>
      <c r="D1361" s="315">
        <v>1.0</v>
      </c>
      <c r="E1361" s="316">
        <v>150.0</v>
      </c>
      <c r="F1361" s="316">
        <f t="shared" si="221"/>
        <v>150</v>
      </c>
      <c r="G1361" s="316">
        <f t="shared" si="222"/>
        <v>150</v>
      </c>
      <c r="H1361" s="317" t="b">
        <v>1</v>
      </c>
      <c r="I1361" s="334" t="s">
        <v>236</v>
      </c>
      <c r="J1361" s="321" t="s">
        <v>1184</v>
      </c>
      <c r="K1361" s="317" t="b">
        <v>0</v>
      </c>
      <c r="L1361" s="279" t="b">
        <v>1</v>
      </c>
    </row>
    <row r="1362" ht="14.25" hidden="1" customHeight="1" outlineLevel="1">
      <c r="A1362" s="344">
        <v>45962.0</v>
      </c>
      <c r="B1362" s="132">
        <v>45989.0</v>
      </c>
      <c r="C1362" s="327" t="s">
        <v>61</v>
      </c>
      <c r="D1362" s="315">
        <v>1.0</v>
      </c>
      <c r="E1362" s="316">
        <v>150.0</v>
      </c>
      <c r="F1362" s="316">
        <f t="shared" si="221"/>
        <v>150</v>
      </c>
      <c r="G1362" s="316">
        <f t="shared" si="222"/>
        <v>150</v>
      </c>
      <c r="H1362" s="317" t="b">
        <v>1</v>
      </c>
      <c r="I1362" s="143" t="s">
        <v>1062</v>
      </c>
      <c r="J1362" s="321" t="s">
        <v>1213</v>
      </c>
      <c r="K1362" s="317" t="b">
        <v>0</v>
      </c>
      <c r="L1362" s="279" t="b">
        <v>1</v>
      </c>
    </row>
    <row r="1363" ht="14.25" hidden="1" customHeight="1" outlineLevel="1">
      <c r="A1363" s="344">
        <v>45962.0</v>
      </c>
      <c r="B1363" s="132">
        <v>45991.0</v>
      </c>
      <c r="C1363" s="41" t="s">
        <v>61</v>
      </c>
      <c r="D1363" s="182">
        <v>1.0</v>
      </c>
      <c r="E1363" s="316">
        <v>200.0</v>
      </c>
      <c r="F1363" s="316">
        <v>200.0</v>
      </c>
      <c r="G1363" s="316">
        <v>200.0</v>
      </c>
      <c r="H1363" s="317" t="b">
        <v>1</v>
      </c>
      <c r="I1363" s="318" t="s">
        <v>490</v>
      </c>
      <c r="J1363" s="321" t="s">
        <v>1192</v>
      </c>
      <c r="K1363" s="279" t="b">
        <v>0</v>
      </c>
      <c r="L1363" s="279" t="b">
        <v>1</v>
      </c>
    </row>
    <row r="1364" ht="14.25" hidden="1" customHeight="1" outlineLevel="1">
      <c r="A1364" s="344">
        <v>45962.0</v>
      </c>
      <c r="B1364" s="132">
        <v>45991.0</v>
      </c>
      <c r="C1364" s="41" t="s">
        <v>61</v>
      </c>
      <c r="D1364" s="182">
        <v>1.0</v>
      </c>
      <c r="E1364" s="183">
        <v>200.0</v>
      </c>
      <c r="F1364" s="183">
        <v>200.0</v>
      </c>
      <c r="G1364" s="183">
        <v>200.0</v>
      </c>
      <c r="H1364" s="279" t="b">
        <v>1</v>
      </c>
      <c r="I1364" s="143" t="s">
        <v>720</v>
      </c>
      <c r="J1364" s="41" t="s">
        <v>1193</v>
      </c>
      <c r="K1364" s="279" t="b">
        <v>0</v>
      </c>
      <c r="L1364" s="279" t="b">
        <v>1</v>
      </c>
    </row>
    <row r="1365" ht="14.25" hidden="1" customHeight="1" outlineLevel="1">
      <c r="A1365" s="344">
        <v>45962.0</v>
      </c>
      <c r="B1365" s="132">
        <v>45991.0</v>
      </c>
      <c r="C1365" s="41" t="s">
        <v>61</v>
      </c>
      <c r="D1365" s="182">
        <v>1.0</v>
      </c>
      <c r="E1365" s="183">
        <v>200.0</v>
      </c>
      <c r="F1365" s="183">
        <v>200.0</v>
      </c>
      <c r="G1365" s="183">
        <v>200.0</v>
      </c>
      <c r="H1365" s="279" t="b">
        <v>1</v>
      </c>
      <c r="I1365" s="143" t="s">
        <v>342</v>
      </c>
      <c r="J1365" s="41" t="s">
        <v>1195</v>
      </c>
      <c r="K1365" s="279" t="b">
        <v>0</v>
      </c>
      <c r="L1365" s="279" t="b">
        <v>1</v>
      </c>
    </row>
    <row r="1366" ht="14.25" hidden="1" customHeight="1" outlineLevel="1">
      <c r="A1366" s="344">
        <v>45962.0</v>
      </c>
      <c r="B1366" s="132">
        <v>45962.0</v>
      </c>
      <c r="C1366" s="327"/>
      <c r="D1366" s="182"/>
      <c r="E1366" s="183"/>
      <c r="F1366" s="183"/>
      <c r="G1366" s="183"/>
      <c r="H1366" s="279" t="b">
        <v>0</v>
      </c>
      <c r="I1366" s="143"/>
      <c r="J1366" s="41"/>
      <c r="K1366" s="279" t="b">
        <v>0</v>
      </c>
      <c r="L1366" s="279" t="b">
        <v>0</v>
      </c>
    </row>
    <row r="1367" ht="14.25" hidden="1" customHeight="1" outlineLevel="1">
      <c r="A1367" s="344">
        <v>45962.0</v>
      </c>
      <c r="B1367" s="132">
        <v>45962.0</v>
      </c>
      <c r="C1367" s="327"/>
      <c r="D1367" s="182"/>
      <c r="E1367" s="183"/>
      <c r="F1367" s="183"/>
      <c r="G1367" s="183"/>
      <c r="H1367" s="279" t="b">
        <v>0</v>
      </c>
      <c r="I1367" s="143"/>
      <c r="J1367" s="41"/>
      <c r="K1367" s="279" t="b">
        <v>0</v>
      </c>
      <c r="L1367" s="279" t="b">
        <v>0</v>
      </c>
    </row>
    <row r="1368" ht="14.25" hidden="1" customHeight="1" outlineLevel="1">
      <c r="A1368" s="344">
        <v>45962.0</v>
      </c>
      <c r="B1368" s="132">
        <v>45962.0</v>
      </c>
      <c r="C1368" s="327"/>
      <c r="D1368" s="182"/>
      <c r="E1368" s="183"/>
      <c r="F1368" s="183"/>
      <c r="G1368" s="183"/>
      <c r="H1368" s="279" t="b">
        <v>0</v>
      </c>
      <c r="I1368" s="143"/>
      <c r="J1368" s="41"/>
      <c r="K1368" s="279" t="b">
        <v>0</v>
      </c>
      <c r="L1368" s="279" t="b">
        <v>0</v>
      </c>
    </row>
    <row r="1369" ht="14.25" hidden="1" customHeight="1" outlineLevel="1">
      <c r="A1369" s="344">
        <v>45962.0</v>
      </c>
      <c r="B1369" s="132">
        <v>45962.0</v>
      </c>
      <c r="C1369" s="327"/>
      <c r="D1369" s="182"/>
      <c r="E1369" s="183"/>
      <c r="F1369" s="183"/>
      <c r="G1369" s="183"/>
      <c r="H1369" s="279" t="b">
        <v>0</v>
      </c>
      <c r="I1369" s="143"/>
      <c r="J1369" s="41"/>
      <c r="K1369" s="279" t="b">
        <v>0</v>
      </c>
      <c r="L1369" s="279" t="b">
        <v>0</v>
      </c>
    </row>
    <row r="1370" ht="14.25" customHeight="1">
      <c r="A1370" s="180" t="s">
        <v>192</v>
      </c>
      <c r="B1370" s="27"/>
      <c r="C1370" s="27"/>
      <c r="D1370" s="27"/>
      <c r="E1370" s="28"/>
      <c r="F1370" s="181">
        <f t="shared" ref="F1370:G1370" si="223">SUM(F1308:F1369)</f>
        <v>11820.5</v>
      </c>
      <c r="G1370" s="181">
        <f t="shared" si="223"/>
        <v>11820.5</v>
      </c>
    </row>
    <row r="1371" ht="14.25" customHeight="1" collapsed="1">
      <c r="A1371" s="245" t="s">
        <v>1343</v>
      </c>
      <c r="B1371" s="246"/>
      <c r="C1371" s="246"/>
      <c r="D1371" s="246"/>
      <c r="E1371" s="246"/>
      <c r="F1371" s="246"/>
      <c r="G1371" s="246"/>
      <c r="H1371" s="246"/>
      <c r="I1371" s="246"/>
      <c r="J1371" s="247"/>
    </row>
    <row r="1372" ht="14.25" hidden="1" customHeight="1" outlineLevel="1">
      <c r="A1372" s="344">
        <v>45992.0</v>
      </c>
      <c r="B1372" s="132">
        <v>45992.0</v>
      </c>
      <c r="C1372" s="41" t="s">
        <v>61</v>
      </c>
      <c r="D1372" s="182">
        <v>1.0</v>
      </c>
      <c r="E1372" s="183">
        <v>150.0</v>
      </c>
      <c r="F1372" s="183">
        <v>150.0</v>
      </c>
      <c r="G1372" s="183">
        <v>150.0</v>
      </c>
      <c r="H1372" s="279" t="b">
        <v>1</v>
      </c>
      <c r="I1372" s="143" t="s">
        <v>456</v>
      </c>
      <c r="J1372" s="41" t="s">
        <v>1322</v>
      </c>
      <c r="K1372" s="279" t="b">
        <v>0</v>
      </c>
      <c r="L1372" s="279" t="b">
        <v>1</v>
      </c>
    </row>
    <row r="1373" ht="14.25" hidden="1" customHeight="1" outlineLevel="1">
      <c r="A1373" s="344">
        <v>45992.0</v>
      </c>
      <c r="B1373" s="132">
        <v>45993.0</v>
      </c>
      <c r="C1373" s="327" t="s">
        <v>61</v>
      </c>
      <c r="D1373" s="315">
        <v>1.0</v>
      </c>
      <c r="E1373" s="316">
        <v>150.0</v>
      </c>
      <c r="F1373" s="316">
        <f t="shared" ref="F1373:F1376" si="224">D1373*E1373</f>
        <v>150</v>
      </c>
      <c r="G1373" s="316">
        <f t="shared" ref="G1373:G1376" si="225">F1373</f>
        <v>150</v>
      </c>
      <c r="H1373" s="317" t="b">
        <v>1</v>
      </c>
      <c r="I1373" s="334" t="s">
        <v>236</v>
      </c>
      <c r="J1373" s="321" t="s">
        <v>1198</v>
      </c>
      <c r="K1373" s="317" t="b">
        <v>0</v>
      </c>
      <c r="L1373" s="279" t="b">
        <v>1</v>
      </c>
    </row>
    <row r="1374" ht="14.25" hidden="1" customHeight="1" outlineLevel="1">
      <c r="A1374" s="344">
        <v>45992.0</v>
      </c>
      <c r="B1374" s="132">
        <v>45993.0</v>
      </c>
      <c r="C1374" s="327" t="s">
        <v>61</v>
      </c>
      <c r="D1374" s="315">
        <v>1.0</v>
      </c>
      <c r="E1374" s="316">
        <v>150.0</v>
      </c>
      <c r="F1374" s="316">
        <f t="shared" si="224"/>
        <v>150</v>
      </c>
      <c r="G1374" s="316">
        <f t="shared" si="225"/>
        <v>150</v>
      </c>
      <c r="H1374" s="317" t="b">
        <v>1</v>
      </c>
      <c r="I1374" s="143" t="s">
        <v>456</v>
      </c>
      <c r="J1374" s="321" t="s">
        <v>1199</v>
      </c>
      <c r="K1374" s="317" t="b">
        <v>0</v>
      </c>
      <c r="L1374" s="279" t="b">
        <v>1</v>
      </c>
    </row>
    <row r="1375" ht="14.25" hidden="1" customHeight="1" outlineLevel="1">
      <c r="A1375" s="344">
        <v>45992.0</v>
      </c>
      <c r="B1375" s="132">
        <v>45994.0</v>
      </c>
      <c r="C1375" s="327" t="s">
        <v>61</v>
      </c>
      <c r="D1375" s="315">
        <v>1.0</v>
      </c>
      <c r="E1375" s="316">
        <v>150.0</v>
      </c>
      <c r="F1375" s="316">
        <f t="shared" si="224"/>
        <v>150</v>
      </c>
      <c r="G1375" s="316">
        <f t="shared" si="225"/>
        <v>150</v>
      </c>
      <c r="H1375" s="317" t="b">
        <v>1</v>
      </c>
      <c r="I1375" s="143" t="s">
        <v>1062</v>
      </c>
      <c r="J1375" s="321" t="s">
        <v>1204</v>
      </c>
      <c r="K1375" s="317" t="b">
        <v>0</v>
      </c>
      <c r="L1375" s="279" t="b">
        <v>1</v>
      </c>
    </row>
    <row r="1376" ht="14.25" hidden="1" customHeight="1" outlineLevel="1">
      <c r="A1376" s="344">
        <v>45992.0</v>
      </c>
      <c r="B1376" s="132">
        <v>45994.0</v>
      </c>
      <c r="C1376" s="41" t="s">
        <v>231</v>
      </c>
      <c r="D1376" s="182">
        <v>1.0</v>
      </c>
      <c r="E1376" s="183">
        <v>1188.0</v>
      </c>
      <c r="F1376" s="183">
        <f t="shared" si="224"/>
        <v>1188</v>
      </c>
      <c r="G1376" s="183">
        <f t="shared" si="225"/>
        <v>1188</v>
      </c>
      <c r="H1376" s="279" t="b">
        <v>0</v>
      </c>
      <c r="I1376" s="143" t="s">
        <v>538</v>
      </c>
      <c r="J1376" s="41" t="s">
        <v>1646</v>
      </c>
      <c r="K1376" s="279" t="b">
        <v>0</v>
      </c>
      <c r="L1376" s="279" t="b">
        <v>0</v>
      </c>
    </row>
    <row r="1377" ht="14.25" hidden="1" customHeight="1" outlineLevel="1">
      <c r="A1377" s="344">
        <v>45992.0</v>
      </c>
      <c r="B1377" s="132">
        <v>45994.0</v>
      </c>
      <c r="C1377" s="41" t="s">
        <v>152</v>
      </c>
      <c r="D1377" s="182">
        <v>1.0</v>
      </c>
      <c r="E1377" s="183">
        <v>48.0</v>
      </c>
      <c r="F1377" s="183">
        <v>48.0</v>
      </c>
      <c r="G1377" s="183">
        <v>48.0</v>
      </c>
      <c r="H1377" s="279" t="b">
        <v>0</v>
      </c>
      <c r="I1377" s="143" t="s">
        <v>332</v>
      </c>
      <c r="J1377" s="41" t="s">
        <v>1647</v>
      </c>
      <c r="K1377" s="279" t="b">
        <v>1</v>
      </c>
      <c r="L1377" s="279" t="b">
        <v>1</v>
      </c>
    </row>
    <row r="1378" ht="14.25" hidden="1" customHeight="1" outlineLevel="1">
      <c r="A1378" s="344">
        <v>45992.0</v>
      </c>
      <c r="B1378" s="132">
        <v>45995.0</v>
      </c>
      <c r="C1378" s="327" t="s">
        <v>61</v>
      </c>
      <c r="D1378" s="315">
        <v>1.0</v>
      </c>
      <c r="E1378" s="316">
        <v>150.0</v>
      </c>
      <c r="F1378" s="316">
        <f>D1378*E1378</f>
        <v>150</v>
      </c>
      <c r="G1378" s="316">
        <f>F1378</f>
        <v>150</v>
      </c>
      <c r="H1378" s="317" t="b">
        <v>1</v>
      </c>
      <c r="I1378" s="143" t="s">
        <v>980</v>
      </c>
      <c r="J1378" s="321" t="s">
        <v>1181</v>
      </c>
      <c r="K1378" s="317" t="b">
        <v>0</v>
      </c>
      <c r="L1378" s="279" t="b">
        <v>1</v>
      </c>
    </row>
    <row r="1379" ht="14.25" hidden="1" customHeight="1" outlineLevel="1">
      <c r="A1379" s="344">
        <v>45992.0</v>
      </c>
      <c r="B1379" s="132">
        <v>45995.0</v>
      </c>
      <c r="C1379" s="41" t="s">
        <v>231</v>
      </c>
      <c r="D1379" s="182">
        <v>1.0</v>
      </c>
      <c r="E1379" s="183">
        <v>291.9</v>
      </c>
      <c r="F1379" s="183">
        <v>291.9</v>
      </c>
      <c r="G1379" s="183">
        <v>291.9</v>
      </c>
      <c r="H1379" s="279" t="b">
        <v>0</v>
      </c>
      <c r="I1379" s="143" t="s">
        <v>1323</v>
      </c>
      <c r="J1379" s="41" t="s">
        <v>1648</v>
      </c>
      <c r="K1379" s="279" t="b">
        <v>1</v>
      </c>
      <c r="L1379" s="279" t="b">
        <v>1</v>
      </c>
    </row>
    <row r="1380" ht="14.25" hidden="1" customHeight="1" outlineLevel="1">
      <c r="A1380" s="344">
        <v>45992.0</v>
      </c>
      <c r="B1380" s="132">
        <v>45995.0</v>
      </c>
      <c r="C1380" s="41" t="s">
        <v>231</v>
      </c>
      <c r="D1380" s="182">
        <v>1.0</v>
      </c>
      <c r="E1380" s="183">
        <v>134.14</v>
      </c>
      <c r="F1380" s="183">
        <v>134.14</v>
      </c>
      <c r="G1380" s="183">
        <v>134.14</v>
      </c>
      <c r="H1380" s="279" t="b">
        <v>0</v>
      </c>
      <c r="I1380" s="143"/>
      <c r="J1380" s="41" t="s">
        <v>1650</v>
      </c>
      <c r="K1380" s="279" t="b">
        <v>1</v>
      </c>
      <c r="L1380" s="279" t="b">
        <v>1</v>
      </c>
    </row>
    <row r="1381" ht="14.25" hidden="1" customHeight="1" outlineLevel="1">
      <c r="A1381" s="344">
        <v>45992.0</v>
      </c>
      <c r="B1381" s="132">
        <v>45996.0</v>
      </c>
      <c r="C1381" s="327" t="s">
        <v>61</v>
      </c>
      <c r="D1381" s="315">
        <v>1.0</v>
      </c>
      <c r="E1381" s="316">
        <v>150.0</v>
      </c>
      <c r="F1381" s="316">
        <f t="shared" ref="F1381:F1382" si="226">D1381*E1381</f>
        <v>150</v>
      </c>
      <c r="G1381" s="316">
        <f t="shared" ref="G1381:G1382" si="227">F1381</f>
        <v>150</v>
      </c>
      <c r="H1381" s="317" t="b">
        <v>1</v>
      </c>
      <c r="I1381" s="334" t="s">
        <v>236</v>
      </c>
      <c r="J1381" s="321" t="s">
        <v>1184</v>
      </c>
      <c r="K1381" s="317" t="b">
        <v>0</v>
      </c>
      <c r="L1381" s="279" t="b">
        <v>1</v>
      </c>
    </row>
    <row r="1382" ht="14.25" hidden="1" customHeight="1" outlineLevel="1">
      <c r="A1382" s="344">
        <v>45992.0</v>
      </c>
      <c r="B1382" s="132">
        <v>45996.0</v>
      </c>
      <c r="C1382" s="327" t="s">
        <v>61</v>
      </c>
      <c r="D1382" s="315">
        <v>1.0</v>
      </c>
      <c r="E1382" s="316">
        <v>150.0</v>
      </c>
      <c r="F1382" s="316">
        <f t="shared" si="226"/>
        <v>150</v>
      </c>
      <c r="G1382" s="316">
        <f t="shared" si="227"/>
        <v>150</v>
      </c>
      <c r="H1382" s="317" t="b">
        <v>1</v>
      </c>
      <c r="I1382" s="143" t="s">
        <v>1062</v>
      </c>
      <c r="J1382" s="321" t="s">
        <v>1213</v>
      </c>
      <c r="K1382" s="317" t="b">
        <v>0</v>
      </c>
      <c r="L1382" s="279" t="b">
        <v>1</v>
      </c>
    </row>
    <row r="1383" ht="14.25" hidden="1" customHeight="1" outlineLevel="1">
      <c r="A1383" s="344">
        <v>45992.0</v>
      </c>
      <c r="B1383" s="132">
        <v>45998.0</v>
      </c>
      <c r="C1383" s="41" t="s">
        <v>61</v>
      </c>
      <c r="D1383" s="182">
        <v>1.0</v>
      </c>
      <c r="E1383" s="316">
        <v>200.0</v>
      </c>
      <c r="F1383" s="316">
        <v>200.0</v>
      </c>
      <c r="G1383" s="316">
        <v>200.0</v>
      </c>
      <c r="H1383" s="317" t="b">
        <v>1</v>
      </c>
      <c r="I1383" s="318" t="s">
        <v>1353</v>
      </c>
      <c r="J1383" s="321" t="s">
        <v>1192</v>
      </c>
      <c r="K1383" s="279" t="b">
        <v>0</v>
      </c>
      <c r="L1383" s="279" t="b">
        <v>1</v>
      </c>
    </row>
    <row r="1384" ht="14.25" hidden="1" customHeight="1" outlineLevel="1">
      <c r="A1384" s="344">
        <v>45992.0</v>
      </c>
      <c r="B1384" s="132">
        <v>45998.0</v>
      </c>
      <c r="C1384" s="41" t="s">
        <v>61</v>
      </c>
      <c r="D1384" s="182">
        <v>1.0</v>
      </c>
      <c r="E1384" s="183">
        <v>200.0</v>
      </c>
      <c r="F1384" s="183">
        <v>200.0</v>
      </c>
      <c r="G1384" s="183">
        <v>200.0</v>
      </c>
      <c r="H1384" s="279" t="b">
        <v>1</v>
      </c>
      <c r="I1384" s="143" t="s">
        <v>1251</v>
      </c>
      <c r="J1384" s="41" t="s">
        <v>1193</v>
      </c>
      <c r="K1384" s="279" t="b">
        <v>0</v>
      </c>
      <c r="L1384" s="279" t="b">
        <v>1</v>
      </c>
    </row>
    <row r="1385" ht="14.25" hidden="1" customHeight="1" outlineLevel="1">
      <c r="A1385" s="344">
        <v>45992.0</v>
      </c>
      <c r="B1385" s="132">
        <v>45998.0</v>
      </c>
      <c r="C1385" s="41" t="s">
        <v>61</v>
      </c>
      <c r="D1385" s="182">
        <v>1.0</v>
      </c>
      <c r="E1385" s="183">
        <v>200.0</v>
      </c>
      <c r="F1385" s="183">
        <v>200.0</v>
      </c>
      <c r="G1385" s="183">
        <v>200.0</v>
      </c>
      <c r="H1385" s="279" t="b">
        <v>1</v>
      </c>
      <c r="I1385" s="143" t="s">
        <v>1357</v>
      </c>
      <c r="J1385" s="41" t="s">
        <v>1195</v>
      </c>
      <c r="K1385" s="279" t="b">
        <v>0</v>
      </c>
      <c r="L1385" s="279" t="b">
        <v>1</v>
      </c>
    </row>
    <row r="1386" ht="14.25" hidden="1" customHeight="1" outlineLevel="1">
      <c r="A1386" s="344">
        <v>45992.0</v>
      </c>
      <c r="B1386" s="132">
        <v>45999.0</v>
      </c>
      <c r="C1386" s="41" t="s">
        <v>80</v>
      </c>
      <c r="D1386" s="182">
        <v>2.0</v>
      </c>
      <c r="E1386" s="183">
        <v>15.0</v>
      </c>
      <c r="F1386" s="183">
        <f t="shared" ref="F1386:F1394" si="228">D1386*E1386</f>
        <v>30</v>
      </c>
      <c r="G1386" s="183">
        <f t="shared" ref="G1386:G1394" si="229">F1386</f>
        <v>30</v>
      </c>
      <c r="H1386" s="279" t="b">
        <v>0</v>
      </c>
      <c r="I1386" s="143" t="s">
        <v>481</v>
      </c>
      <c r="J1386" s="41" t="s">
        <v>1013</v>
      </c>
      <c r="K1386" s="279" t="b">
        <v>1</v>
      </c>
      <c r="L1386" s="279" t="b">
        <v>1</v>
      </c>
    </row>
    <row r="1387" ht="14.25" hidden="1" customHeight="1" outlineLevel="1">
      <c r="A1387" s="344">
        <v>45992.0</v>
      </c>
      <c r="B1387" s="132">
        <v>46000.0</v>
      </c>
      <c r="C1387" s="327" t="s">
        <v>61</v>
      </c>
      <c r="D1387" s="315">
        <v>1.0</v>
      </c>
      <c r="E1387" s="316">
        <v>150.0</v>
      </c>
      <c r="F1387" s="316">
        <f t="shared" si="228"/>
        <v>150</v>
      </c>
      <c r="G1387" s="316">
        <f t="shared" si="229"/>
        <v>150</v>
      </c>
      <c r="H1387" s="317" t="b">
        <v>1</v>
      </c>
      <c r="I1387" s="334" t="s">
        <v>236</v>
      </c>
      <c r="J1387" s="321" t="s">
        <v>1198</v>
      </c>
      <c r="K1387" s="317" t="b">
        <v>0</v>
      </c>
      <c r="L1387" s="279" t="b">
        <v>1</v>
      </c>
    </row>
    <row r="1388" ht="14.25" hidden="1" customHeight="1" outlineLevel="1">
      <c r="A1388" s="344">
        <v>45992.0</v>
      </c>
      <c r="B1388" s="132">
        <v>46000.0</v>
      </c>
      <c r="C1388" s="327" t="s">
        <v>61</v>
      </c>
      <c r="D1388" s="315">
        <v>1.0</v>
      </c>
      <c r="E1388" s="316">
        <v>150.0</v>
      </c>
      <c r="F1388" s="316">
        <f t="shared" si="228"/>
        <v>150</v>
      </c>
      <c r="G1388" s="316">
        <f t="shared" si="229"/>
        <v>150</v>
      </c>
      <c r="H1388" s="317" t="b">
        <v>1</v>
      </c>
      <c r="I1388" s="143" t="s">
        <v>456</v>
      </c>
      <c r="J1388" s="321" t="s">
        <v>1199</v>
      </c>
      <c r="K1388" s="317" t="b">
        <v>0</v>
      </c>
      <c r="L1388" s="279" t="b">
        <v>1</v>
      </c>
    </row>
    <row r="1389" ht="14.25" hidden="1" customHeight="1" outlineLevel="1">
      <c r="A1389" s="344">
        <v>45992.0</v>
      </c>
      <c r="B1389" s="132">
        <v>46001.0</v>
      </c>
      <c r="C1389" s="327" t="s">
        <v>61</v>
      </c>
      <c r="D1389" s="315">
        <v>1.0</v>
      </c>
      <c r="E1389" s="316">
        <v>150.0</v>
      </c>
      <c r="F1389" s="316">
        <f t="shared" si="228"/>
        <v>150</v>
      </c>
      <c r="G1389" s="316">
        <f t="shared" si="229"/>
        <v>150</v>
      </c>
      <c r="H1389" s="317" t="b">
        <v>1</v>
      </c>
      <c r="I1389" s="143" t="s">
        <v>1062</v>
      </c>
      <c r="J1389" s="321" t="s">
        <v>1204</v>
      </c>
      <c r="K1389" s="317" t="b">
        <v>0</v>
      </c>
      <c r="L1389" s="279" t="b">
        <v>1</v>
      </c>
    </row>
    <row r="1390" ht="14.25" hidden="1" customHeight="1" outlineLevel="1">
      <c r="A1390" s="344">
        <v>45992.0</v>
      </c>
      <c r="B1390" s="132">
        <v>46001.0</v>
      </c>
      <c r="C1390" s="327" t="s">
        <v>61</v>
      </c>
      <c r="D1390" s="315">
        <v>1.0</v>
      </c>
      <c r="E1390" s="316">
        <v>150.0</v>
      </c>
      <c r="F1390" s="316">
        <f t="shared" si="228"/>
        <v>150</v>
      </c>
      <c r="G1390" s="316">
        <f t="shared" si="229"/>
        <v>150</v>
      </c>
      <c r="H1390" s="317" t="b">
        <v>1</v>
      </c>
      <c r="I1390" s="143" t="s">
        <v>1185</v>
      </c>
      <c r="J1390" s="321" t="s">
        <v>1652</v>
      </c>
      <c r="K1390" s="317" t="b">
        <v>0</v>
      </c>
      <c r="L1390" s="279" t="b">
        <v>1</v>
      </c>
    </row>
    <row r="1391" ht="14.25" hidden="1" customHeight="1" outlineLevel="1">
      <c r="A1391" s="344">
        <v>45992.0</v>
      </c>
      <c r="B1391" s="132">
        <v>46002.0</v>
      </c>
      <c r="C1391" s="327" t="s">
        <v>61</v>
      </c>
      <c r="D1391" s="315">
        <v>1.0</v>
      </c>
      <c r="E1391" s="316">
        <v>150.0</v>
      </c>
      <c r="F1391" s="316">
        <f t="shared" si="228"/>
        <v>150</v>
      </c>
      <c r="G1391" s="316">
        <f t="shared" si="229"/>
        <v>150</v>
      </c>
      <c r="H1391" s="317" t="b">
        <v>1</v>
      </c>
      <c r="I1391" s="143" t="s">
        <v>980</v>
      </c>
      <c r="J1391" s="321" t="s">
        <v>1181</v>
      </c>
      <c r="K1391" s="317" t="b">
        <v>0</v>
      </c>
      <c r="L1391" s="279" t="b">
        <v>1</v>
      </c>
    </row>
    <row r="1392" ht="14.25" hidden="1" customHeight="1" outlineLevel="1">
      <c r="A1392" s="344">
        <v>45992.0</v>
      </c>
      <c r="B1392" s="132">
        <v>46003.0</v>
      </c>
      <c r="C1392" s="327" t="s">
        <v>61</v>
      </c>
      <c r="D1392" s="315">
        <v>1.0</v>
      </c>
      <c r="E1392" s="316">
        <v>150.0</v>
      </c>
      <c r="F1392" s="316">
        <f t="shared" si="228"/>
        <v>150</v>
      </c>
      <c r="G1392" s="316">
        <f t="shared" si="229"/>
        <v>150</v>
      </c>
      <c r="H1392" s="317" t="b">
        <v>1</v>
      </c>
      <c r="I1392" s="334" t="s">
        <v>236</v>
      </c>
      <c r="J1392" s="321" t="s">
        <v>1184</v>
      </c>
      <c r="K1392" s="317" t="b">
        <v>0</v>
      </c>
      <c r="L1392" s="279" t="b">
        <v>1</v>
      </c>
    </row>
    <row r="1393" ht="14.25" hidden="1" customHeight="1" outlineLevel="1">
      <c r="A1393" s="344">
        <v>45992.0</v>
      </c>
      <c r="B1393" s="132">
        <v>46003.0</v>
      </c>
      <c r="C1393" s="327" t="s">
        <v>61</v>
      </c>
      <c r="D1393" s="315">
        <v>1.0</v>
      </c>
      <c r="E1393" s="316">
        <v>150.0</v>
      </c>
      <c r="F1393" s="316">
        <f t="shared" si="228"/>
        <v>150</v>
      </c>
      <c r="G1393" s="316">
        <f t="shared" si="229"/>
        <v>150</v>
      </c>
      <c r="H1393" s="317" t="b">
        <v>1</v>
      </c>
      <c r="I1393" s="143" t="s">
        <v>1062</v>
      </c>
      <c r="J1393" s="321" t="s">
        <v>1213</v>
      </c>
      <c r="K1393" s="317" t="b">
        <v>0</v>
      </c>
      <c r="L1393" s="279" t="b">
        <v>1</v>
      </c>
    </row>
    <row r="1394" ht="14.25" hidden="1" customHeight="1" outlineLevel="1">
      <c r="A1394" s="344">
        <v>45992.0</v>
      </c>
      <c r="B1394" s="132">
        <v>46004.0</v>
      </c>
      <c r="C1394" s="327" t="s">
        <v>61</v>
      </c>
      <c r="D1394" s="315">
        <v>1.0</v>
      </c>
      <c r="E1394" s="316">
        <v>150.0</v>
      </c>
      <c r="F1394" s="316">
        <f t="shared" si="228"/>
        <v>150</v>
      </c>
      <c r="G1394" s="316">
        <f t="shared" si="229"/>
        <v>150</v>
      </c>
      <c r="H1394" s="317" t="b">
        <v>1</v>
      </c>
      <c r="I1394" s="143" t="s">
        <v>490</v>
      </c>
      <c r="J1394" s="321" t="s">
        <v>1653</v>
      </c>
      <c r="K1394" s="317" t="b">
        <v>0</v>
      </c>
      <c r="L1394" s="279" t="b">
        <v>1</v>
      </c>
    </row>
    <row r="1395" ht="14.25" hidden="1" customHeight="1" outlineLevel="1">
      <c r="A1395" s="344">
        <v>45992.0</v>
      </c>
      <c r="B1395" s="132">
        <v>46005.0</v>
      </c>
      <c r="C1395" s="41" t="s">
        <v>61</v>
      </c>
      <c r="D1395" s="182">
        <v>1.0</v>
      </c>
      <c r="E1395" s="316">
        <v>200.0</v>
      </c>
      <c r="F1395" s="316">
        <v>200.0</v>
      </c>
      <c r="G1395" s="316">
        <v>200.0</v>
      </c>
      <c r="H1395" s="317" t="b">
        <v>1</v>
      </c>
      <c r="I1395" s="318" t="s">
        <v>1353</v>
      </c>
      <c r="J1395" s="321" t="s">
        <v>1192</v>
      </c>
      <c r="K1395" s="279" t="b">
        <v>0</v>
      </c>
      <c r="L1395" s="279" t="b">
        <v>1</v>
      </c>
    </row>
    <row r="1396" ht="14.25" hidden="1" customHeight="1" outlineLevel="1">
      <c r="A1396" s="344">
        <v>45992.0</v>
      </c>
      <c r="B1396" s="132">
        <v>46005.0</v>
      </c>
      <c r="C1396" s="41" t="s">
        <v>61</v>
      </c>
      <c r="D1396" s="182">
        <v>1.0</v>
      </c>
      <c r="E1396" s="183">
        <v>200.0</v>
      </c>
      <c r="F1396" s="183">
        <v>200.0</v>
      </c>
      <c r="G1396" s="183">
        <v>200.0</v>
      </c>
      <c r="H1396" s="279" t="b">
        <v>1</v>
      </c>
      <c r="I1396" s="143" t="s">
        <v>1251</v>
      </c>
      <c r="J1396" s="41" t="s">
        <v>1193</v>
      </c>
      <c r="K1396" s="279" t="b">
        <v>0</v>
      </c>
      <c r="L1396" s="279" t="b">
        <v>1</v>
      </c>
    </row>
    <row r="1397" ht="14.25" hidden="1" customHeight="1" outlineLevel="1">
      <c r="A1397" s="344">
        <v>45992.0</v>
      </c>
      <c r="B1397" s="132">
        <v>46005.0</v>
      </c>
      <c r="C1397" s="41" t="s">
        <v>61</v>
      </c>
      <c r="D1397" s="182">
        <v>1.0</v>
      </c>
      <c r="E1397" s="183">
        <v>200.0</v>
      </c>
      <c r="F1397" s="183">
        <v>200.0</v>
      </c>
      <c r="G1397" s="183">
        <v>200.0</v>
      </c>
      <c r="H1397" s="279" t="b">
        <v>1</v>
      </c>
      <c r="I1397" s="143" t="s">
        <v>1357</v>
      </c>
      <c r="J1397" s="41" t="s">
        <v>1195</v>
      </c>
      <c r="K1397" s="279" t="b">
        <v>0</v>
      </c>
      <c r="L1397" s="279" t="b">
        <v>1</v>
      </c>
    </row>
    <row r="1398" ht="14.25" hidden="1" customHeight="1" outlineLevel="1">
      <c r="A1398" s="344">
        <v>45992.0</v>
      </c>
      <c r="B1398" s="132">
        <v>46006.0</v>
      </c>
      <c r="C1398" s="41" t="s">
        <v>61</v>
      </c>
      <c r="D1398" s="182">
        <v>1.0</v>
      </c>
      <c r="E1398" s="183">
        <v>150.0</v>
      </c>
      <c r="F1398" s="183">
        <v>150.0</v>
      </c>
      <c r="G1398" s="183">
        <v>150.0</v>
      </c>
      <c r="H1398" s="279" t="b">
        <v>1</v>
      </c>
      <c r="I1398" s="143" t="s">
        <v>456</v>
      </c>
      <c r="J1398" s="41" t="s">
        <v>1322</v>
      </c>
      <c r="K1398" s="279" t="b">
        <v>0</v>
      </c>
      <c r="L1398" s="279" t="b">
        <v>1</v>
      </c>
    </row>
    <row r="1399" ht="14.25" hidden="1" customHeight="1" outlineLevel="1">
      <c r="A1399" s="344">
        <v>45992.0</v>
      </c>
      <c r="B1399" s="132">
        <v>46007.0</v>
      </c>
      <c r="C1399" s="327" t="s">
        <v>61</v>
      </c>
      <c r="D1399" s="315">
        <v>1.0</v>
      </c>
      <c r="E1399" s="316">
        <v>150.0</v>
      </c>
      <c r="F1399" s="316">
        <f t="shared" ref="F1399:F1402" si="230">D1399*E1399</f>
        <v>150</v>
      </c>
      <c r="G1399" s="316">
        <f t="shared" ref="G1399:G1402" si="231">F1399</f>
        <v>150</v>
      </c>
      <c r="H1399" s="317" t="b">
        <v>1</v>
      </c>
      <c r="I1399" s="334" t="s">
        <v>236</v>
      </c>
      <c r="J1399" s="321" t="s">
        <v>1198</v>
      </c>
      <c r="K1399" s="317" t="b">
        <v>0</v>
      </c>
      <c r="L1399" s="279" t="b">
        <v>1</v>
      </c>
    </row>
    <row r="1400" ht="14.25" hidden="1" customHeight="1" outlineLevel="1">
      <c r="A1400" s="344">
        <v>45992.0</v>
      </c>
      <c r="B1400" s="132">
        <v>46007.0</v>
      </c>
      <c r="C1400" s="327" t="s">
        <v>61</v>
      </c>
      <c r="D1400" s="315">
        <v>1.0</v>
      </c>
      <c r="E1400" s="316">
        <v>150.0</v>
      </c>
      <c r="F1400" s="316">
        <f t="shared" si="230"/>
        <v>150</v>
      </c>
      <c r="G1400" s="316">
        <f t="shared" si="231"/>
        <v>150</v>
      </c>
      <c r="H1400" s="317" t="b">
        <v>1</v>
      </c>
      <c r="I1400" s="143" t="s">
        <v>456</v>
      </c>
      <c r="J1400" s="321" t="s">
        <v>1199</v>
      </c>
      <c r="K1400" s="317" t="b">
        <v>0</v>
      </c>
      <c r="L1400" s="279" t="b">
        <v>1</v>
      </c>
    </row>
    <row r="1401" ht="14.25" hidden="1" customHeight="1" outlineLevel="1">
      <c r="A1401" s="344">
        <v>45992.0</v>
      </c>
      <c r="B1401" s="132">
        <v>46007.0</v>
      </c>
      <c r="C1401" s="41" t="s">
        <v>75</v>
      </c>
      <c r="D1401" s="182">
        <v>2.0</v>
      </c>
      <c r="E1401" s="183">
        <v>33.2</v>
      </c>
      <c r="F1401" s="183">
        <f t="shared" si="230"/>
        <v>66.4</v>
      </c>
      <c r="G1401" s="183">
        <f t="shared" si="231"/>
        <v>66.4</v>
      </c>
      <c r="H1401" s="279" t="b">
        <v>0</v>
      </c>
      <c r="I1401" s="143" t="s">
        <v>225</v>
      </c>
      <c r="J1401" s="41" t="s">
        <v>1442</v>
      </c>
      <c r="K1401" s="279" t="b">
        <v>1</v>
      </c>
      <c r="L1401" s="279" t="b">
        <v>1</v>
      </c>
    </row>
    <row r="1402" ht="14.25" hidden="1" customHeight="1" outlineLevel="1">
      <c r="A1402" s="344">
        <v>45992.0</v>
      </c>
      <c r="B1402" s="132">
        <v>46008.0</v>
      </c>
      <c r="C1402" s="327" t="s">
        <v>61</v>
      </c>
      <c r="D1402" s="315">
        <v>1.0</v>
      </c>
      <c r="E1402" s="316">
        <v>150.0</v>
      </c>
      <c r="F1402" s="316">
        <f t="shared" si="230"/>
        <v>150</v>
      </c>
      <c r="G1402" s="316">
        <f t="shared" si="231"/>
        <v>150</v>
      </c>
      <c r="H1402" s="317" t="b">
        <v>1</v>
      </c>
      <c r="I1402" s="143" t="s">
        <v>1062</v>
      </c>
      <c r="J1402" s="321" t="s">
        <v>1204</v>
      </c>
      <c r="K1402" s="317" t="b">
        <v>0</v>
      </c>
      <c r="L1402" s="279" t="b">
        <v>1</v>
      </c>
    </row>
    <row r="1403" ht="14.25" hidden="1" customHeight="1" outlineLevel="1">
      <c r="A1403" s="344">
        <v>45992.0</v>
      </c>
      <c r="B1403" s="132">
        <v>46008.0</v>
      </c>
      <c r="C1403" s="41" t="s">
        <v>55</v>
      </c>
      <c r="D1403" s="182">
        <v>1.0</v>
      </c>
      <c r="E1403" s="183">
        <v>96.1</v>
      </c>
      <c r="F1403" s="183">
        <v>96.1</v>
      </c>
      <c r="G1403" s="183">
        <v>96.1</v>
      </c>
      <c r="H1403" s="279" t="b">
        <v>0</v>
      </c>
      <c r="I1403" s="143" t="s">
        <v>1610</v>
      </c>
      <c r="J1403" s="41" t="s">
        <v>1654</v>
      </c>
      <c r="K1403" s="279" t="b">
        <v>1</v>
      </c>
      <c r="L1403" s="279" t="b">
        <v>1</v>
      </c>
    </row>
    <row r="1404" ht="14.25" hidden="1" customHeight="1" outlineLevel="1">
      <c r="A1404" s="344">
        <v>45992.0</v>
      </c>
      <c r="B1404" s="132">
        <v>46008.0</v>
      </c>
      <c r="C1404" s="41" t="s">
        <v>75</v>
      </c>
      <c r="D1404" s="182">
        <v>5.0</v>
      </c>
      <c r="E1404" s="183">
        <v>40.0</v>
      </c>
      <c r="F1404" s="183">
        <f t="shared" ref="F1404:F1410" si="232">D1404*E1404</f>
        <v>200</v>
      </c>
      <c r="G1404" s="183">
        <f t="shared" ref="G1404:G1410" si="233">F1404</f>
        <v>200</v>
      </c>
      <c r="H1404" s="279" t="b">
        <v>0</v>
      </c>
      <c r="I1404" s="164" t="s">
        <v>76</v>
      </c>
      <c r="J1404" s="41" t="s">
        <v>1655</v>
      </c>
      <c r="K1404" s="279" t="b">
        <v>0</v>
      </c>
      <c r="L1404" s="279" t="b">
        <v>0</v>
      </c>
    </row>
    <row r="1405" ht="14.25" hidden="1" customHeight="1" outlineLevel="1">
      <c r="A1405" s="344">
        <v>45992.0</v>
      </c>
      <c r="B1405" s="132">
        <v>46008.0</v>
      </c>
      <c r="C1405" s="41" t="s">
        <v>97</v>
      </c>
      <c r="D1405" s="182">
        <v>160.0</v>
      </c>
      <c r="E1405" s="183">
        <v>5.0</v>
      </c>
      <c r="F1405" s="183">
        <f t="shared" si="232"/>
        <v>800</v>
      </c>
      <c r="G1405" s="183">
        <f t="shared" si="233"/>
        <v>800</v>
      </c>
      <c r="H1405" s="279" t="b">
        <v>0</v>
      </c>
      <c r="I1405" s="143" t="s">
        <v>98</v>
      </c>
      <c r="J1405" s="41" t="s">
        <v>1656</v>
      </c>
      <c r="K1405" s="279" t="b">
        <v>0</v>
      </c>
      <c r="L1405" s="279" t="b">
        <v>0</v>
      </c>
    </row>
    <row r="1406" ht="14.25" hidden="1" customHeight="1" outlineLevel="1">
      <c r="A1406" s="344">
        <v>45992.0</v>
      </c>
      <c r="B1406" s="132">
        <v>46009.0</v>
      </c>
      <c r="C1406" s="327" t="s">
        <v>61</v>
      </c>
      <c r="D1406" s="315">
        <v>1.0</v>
      </c>
      <c r="E1406" s="316">
        <v>150.0</v>
      </c>
      <c r="F1406" s="316">
        <f t="shared" si="232"/>
        <v>150</v>
      </c>
      <c r="G1406" s="316">
        <f t="shared" si="233"/>
        <v>150</v>
      </c>
      <c r="H1406" s="317" t="b">
        <v>1</v>
      </c>
      <c r="I1406" s="143" t="s">
        <v>980</v>
      </c>
      <c r="J1406" s="321" t="s">
        <v>1181</v>
      </c>
      <c r="K1406" s="317" t="b">
        <v>0</v>
      </c>
      <c r="L1406" s="279" t="b">
        <v>1</v>
      </c>
    </row>
    <row r="1407" ht="14.25" hidden="1" customHeight="1" outlineLevel="1">
      <c r="A1407" s="344">
        <v>45992.0</v>
      </c>
      <c r="B1407" s="132">
        <v>46009.0</v>
      </c>
      <c r="C1407" s="41" t="s">
        <v>248</v>
      </c>
      <c r="D1407" s="182">
        <v>1.0</v>
      </c>
      <c r="E1407" s="183">
        <v>869.0</v>
      </c>
      <c r="F1407" s="183">
        <f t="shared" si="232"/>
        <v>869</v>
      </c>
      <c r="G1407" s="183">
        <f t="shared" si="233"/>
        <v>869</v>
      </c>
      <c r="H1407" s="279" t="b">
        <v>0</v>
      </c>
      <c r="I1407" s="143" t="s">
        <v>1658</v>
      </c>
      <c r="J1407" s="41" t="s">
        <v>1659</v>
      </c>
      <c r="K1407" s="279" t="b">
        <v>0</v>
      </c>
      <c r="L1407" s="279" t="b">
        <v>0</v>
      </c>
    </row>
    <row r="1408" ht="14.25" hidden="1" customHeight="1" outlineLevel="1">
      <c r="A1408" s="344">
        <v>45992.0</v>
      </c>
      <c r="B1408" s="132">
        <v>46010.0</v>
      </c>
      <c r="C1408" s="327" t="s">
        <v>61</v>
      </c>
      <c r="D1408" s="315">
        <v>1.0</v>
      </c>
      <c r="E1408" s="316">
        <v>150.0</v>
      </c>
      <c r="F1408" s="316">
        <f t="shared" si="232"/>
        <v>150</v>
      </c>
      <c r="G1408" s="316">
        <f t="shared" si="233"/>
        <v>150</v>
      </c>
      <c r="H1408" s="317" t="b">
        <v>1</v>
      </c>
      <c r="I1408" s="334" t="s">
        <v>236</v>
      </c>
      <c r="J1408" s="321" t="s">
        <v>1184</v>
      </c>
      <c r="K1408" s="317" t="b">
        <v>0</v>
      </c>
      <c r="L1408" s="279" t="b">
        <v>1</v>
      </c>
    </row>
    <row r="1409" ht="14.25" hidden="1" customHeight="1" outlineLevel="1">
      <c r="A1409" s="344">
        <v>45992.0</v>
      </c>
      <c r="B1409" s="132">
        <v>46010.0</v>
      </c>
      <c r="C1409" s="327" t="s">
        <v>61</v>
      </c>
      <c r="D1409" s="315">
        <v>1.0</v>
      </c>
      <c r="E1409" s="316">
        <v>150.0</v>
      </c>
      <c r="F1409" s="316">
        <f t="shared" si="232"/>
        <v>150</v>
      </c>
      <c r="G1409" s="316">
        <f t="shared" si="233"/>
        <v>150</v>
      </c>
      <c r="H1409" s="317" t="b">
        <v>1</v>
      </c>
      <c r="I1409" s="143" t="s">
        <v>1062</v>
      </c>
      <c r="J1409" s="321" t="s">
        <v>1213</v>
      </c>
      <c r="K1409" s="317" t="b">
        <v>0</v>
      </c>
      <c r="L1409" s="279" t="b">
        <v>1</v>
      </c>
    </row>
    <row r="1410" ht="14.25" hidden="1" customHeight="1" outlineLevel="1">
      <c r="A1410" s="344">
        <v>45992.0</v>
      </c>
      <c r="B1410" s="132">
        <v>46010.0</v>
      </c>
      <c r="C1410" s="41" t="s">
        <v>315</v>
      </c>
      <c r="D1410" s="182">
        <v>3.0</v>
      </c>
      <c r="E1410" s="183">
        <v>49.99</v>
      </c>
      <c r="F1410" s="183">
        <f t="shared" si="232"/>
        <v>149.97</v>
      </c>
      <c r="G1410" s="183">
        <f t="shared" si="233"/>
        <v>149.97</v>
      </c>
      <c r="H1410" s="279" t="b">
        <v>0</v>
      </c>
      <c r="I1410" s="143" t="s">
        <v>407</v>
      </c>
      <c r="J1410" s="41" t="s">
        <v>333</v>
      </c>
      <c r="K1410" s="279" t="b">
        <v>0</v>
      </c>
      <c r="L1410" s="279" t="b">
        <v>0</v>
      </c>
    </row>
    <row r="1411" ht="14.25" hidden="1" customHeight="1" outlineLevel="1">
      <c r="A1411" s="344">
        <v>45992.0</v>
      </c>
      <c r="B1411" s="132">
        <v>46012.0</v>
      </c>
      <c r="C1411" s="41" t="s">
        <v>61</v>
      </c>
      <c r="D1411" s="182">
        <v>1.0</v>
      </c>
      <c r="E1411" s="316">
        <v>200.0</v>
      </c>
      <c r="F1411" s="316">
        <v>200.0</v>
      </c>
      <c r="G1411" s="316">
        <v>200.0</v>
      </c>
      <c r="H1411" s="317" t="b">
        <v>1</v>
      </c>
      <c r="I1411" s="318" t="s">
        <v>1353</v>
      </c>
      <c r="J1411" s="321" t="s">
        <v>1192</v>
      </c>
      <c r="K1411" s="279" t="b">
        <v>0</v>
      </c>
      <c r="L1411" s="279" t="b">
        <v>1</v>
      </c>
    </row>
    <row r="1412" ht="14.25" hidden="1" customHeight="1" outlineLevel="1">
      <c r="A1412" s="344">
        <v>45992.0</v>
      </c>
      <c r="B1412" s="132">
        <v>46012.0</v>
      </c>
      <c r="C1412" s="41" t="s">
        <v>61</v>
      </c>
      <c r="D1412" s="182">
        <v>1.0</v>
      </c>
      <c r="E1412" s="183">
        <v>200.0</v>
      </c>
      <c r="F1412" s="183">
        <v>200.0</v>
      </c>
      <c r="G1412" s="183">
        <v>200.0</v>
      </c>
      <c r="H1412" s="279" t="b">
        <v>1</v>
      </c>
      <c r="I1412" s="143" t="s">
        <v>1251</v>
      </c>
      <c r="J1412" s="41" t="s">
        <v>1193</v>
      </c>
      <c r="K1412" s="279" t="b">
        <v>0</v>
      </c>
      <c r="L1412" s="279" t="b">
        <v>1</v>
      </c>
    </row>
    <row r="1413" ht="14.25" hidden="1" customHeight="1" outlineLevel="1">
      <c r="A1413" s="344">
        <v>45992.0</v>
      </c>
      <c r="B1413" s="132">
        <v>46012.0</v>
      </c>
      <c r="C1413" s="41" t="s">
        <v>61</v>
      </c>
      <c r="D1413" s="182">
        <v>1.0</v>
      </c>
      <c r="E1413" s="183">
        <v>200.0</v>
      </c>
      <c r="F1413" s="183">
        <v>200.0</v>
      </c>
      <c r="G1413" s="183">
        <v>200.0</v>
      </c>
      <c r="H1413" s="279" t="b">
        <v>1</v>
      </c>
      <c r="I1413" s="143" t="s">
        <v>1357</v>
      </c>
      <c r="J1413" s="41" t="s">
        <v>1195</v>
      </c>
      <c r="K1413" s="279" t="b">
        <v>0</v>
      </c>
      <c r="L1413" s="279" t="b">
        <v>1</v>
      </c>
    </row>
    <row r="1414" ht="14.25" hidden="1" customHeight="1" outlineLevel="1">
      <c r="A1414" s="344">
        <v>45992.0</v>
      </c>
      <c r="B1414" s="132">
        <v>46012.0</v>
      </c>
      <c r="C1414" s="41" t="s">
        <v>231</v>
      </c>
      <c r="D1414" s="182">
        <v>2.0</v>
      </c>
      <c r="E1414" s="183">
        <v>17.9</v>
      </c>
      <c r="F1414" s="183">
        <f t="shared" ref="F1414:F1415" si="234">D1414*E1414</f>
        <v>35.8</v>
      </c>
      <c r="G1414" s="183">
        <f t="shared" ref="G1414:G1415" si="235">F1414</f>
        <v>35.8</v>
      </c>
      <c r="H1414" s="279" t="b">
        <v>0</v>
      </c>
      <c r="I1414" s="143" t="s">
        <v>1663</v>
      </c>
      <c r="J1414" s="41" t="s">
        <v>1664</v>
      </c>
      <c r="K1414" s="279" t="b">
        <v>1</v>
      </c>
      <c r="L1414" s="279" t="b">
        <v>1</v>
      </c>
    </row>
    <row r="1415" ht="14.25" hidden="1" customHeight="1" outlineLevel="1">
      <c r="A1415" s="344">
        <v>45992.0</v>
      </c>
      <c r="B1415" s="132">
        <v>46012.0</v>
      </c>
      <c r="C1415" s="41" t="s">
        <v>231</v>
      </c>
      <c r="D1415" s="182">
        <v>1.0</v>
      </c>
      <c r="E1415" s="183">
        <v>17.9</v>
      </c>
      <c r="F1415" s="183">
        <f t="shared" si="234"/>
        <v>17.9</v>
      </c>
      <c r="G1415" s="183">
        <f t="shared" si="235"/>
        <v>17.9</v>
      </c>
      <c r="H1415" s="279" t="b">
        <v>0</v>
      </c>
      <c r="I1415" s="143" t="s">
        <v>1663</v>
      </c>
      <c r="J1415" s="41" t="s">
        <v>1664</v>
      </c>
      <c r="K1415" s="279" t="b">
        <v>1</v>
      </c>
      <c r="L1415" s="279" t="b">
        <v>1</v>
      </c>
    </row>
    <row r="1416" ht="14.25" hidden="1" customHeight="1" outlineLevel="1">
      <c r="A1416" s="344">
        <v>45992.0</v>
      </c>
      <c r="B1416" s="132">
        <v>46013.0</v>
      </c>
      <c r="C1416" s="41" t="s">
        <v>61</v>
      </c>
      <c r="D1416" s="182">
        <v>1.0</v>
      </c>
      <c r="E1416" s="183">
        <v>150.0</v>
      </c>
      <c r="F1416" s="183">
        <v>150.0</v>
      </c>
      <c r="G1416" s="183">
        <v>150.0</v>
      </c>
      <c r="H1416" s="279" t="b">
        <v>1</v>
      </c>
      <c r="I1416" s="143" t="s">
        <v>456</v>
      </c>
      <c r="J1416" s="41" t="s">
        <v>1322</v>
      </c>
      <c r="K1416" s="279" t="b">
        <v>0</v>
      </c>
      <c r="L1416" s="279" t="b">
        <v>1</v>
      </c>
    </row>
    <row r="1417" ht="14.25" hidden="1" customHeight="1" outlineLevel="1">
      <c r="A1417" s="344">
        <v>45992.0</v>
      </c>
      <c r="B1417" s="132">
        <v>46014.0</v>
      </c>
      <c r="C1417" s="327" t="s">
        <v>61</v>
      </c>
      <c r="D1417" s="315">
        <v>1.0</v>
      </c>
      <c r="E1417" s="316">
        <v>150.0</v>
      </c>
      <c r="F1417" s="316">
        <f t="shared" ref="F1417:F1418" si="236">D1417*E1417</f>
        <v>150</v>
      </c>
      <c r="G1417" s="316">
        <f t="shared" ref="G1417:G1418" si="237">F1417</f>
        <v>150</v>
      </c>
      <c r="H1417" s="317" t="b">
        <v>1</v>
      </c>
      <c r="I1417" s="334" t="s">
        <v>236</v>
      </c>
      <c r="J1417" s="321" t="s">
        <v>1198</v>
      </c>
      <c r="K1417" s="317" t="b">
        <v>0</v>
      </c>
      <c r="L1417" s="279" t="b">
        <v>1</v>
      </c>
    </row>
    <row r="1418" ht="14.25" hidden="1" customHeight="1" outlineLevel="1">
      <c r="A1418" s="344">
        <v>45992.0</v>
      </c>
      <c r="B1418" s="132">
        <v>46014.0</v>
      </c>
      <c r="C1418" s="327" t="s">
        <v>61</v>
      </c>
      <c r="D1418" s="315">
        <v>1.0</v>
      </c>
      <c r="E1418" s="316">
        <v>150.0</v>
      </c>
      <c r="F1418" s="316">
        <f t="shared" si="236"/>
        <v>150</v>
      </c>
      <c r="G1418" s="316">
        <f t="shared" si="237"/>
        <v>150</v>
      </c>
      <c r="H1418" s="317" t="b">
        <v>1</v>
      </c>
      <c r="I1418" s="143" t="s">
        <v>456</v>
      </c>
      <c r="J1418" s="321" t="s">
        <v>1199</v>
      </c>
      <c r="K1418" s="317" t="b">
        <v>0</v>
      </c>
      <c r="L1418" s="279" t="b">
        <v>1</v>
      </c>
    </row>
    <row r="1419" ht="14.25" hidden="1" customHeight="1" outlineLevel="1">
      <c r="A1419" s="344">
        <v>45992.0</v>
      </c>
      <c r="B1419" s="132">
        <v>46014.0</v>
      </c>
      <c r="C1419" s="41" t="s">
        <v>61</v>
      </c>
      <c r="D1419" s="182">
        <v>1.0</v>
      </c>
      <c r="E1419" s="183">
        <v>3750.0</v>
      </c>
      <c r="F1419" s="183">
        <v>3750.0</v>
      </c>
      <c r="G1419" s="183">
        <v>3750.0</v>
      </c>
      <c r="H1419" s="279" t="b">
        <v>1</v>
      </c>
      <c r="I1419" s="143" t="s">
        <v>119</v>
      </c>
      <c r="J1419" s="41" t="s">
        <v>1666</v>
      </c>
      <c r="K1419" s="279" t="b">
        <v>0</v>
      </c>
      <c r="L1419" s="279" t="b">
        <v>1</v>
      </c>
    </row>
    <row r="1420" ht="14.25" hidden="1" customHeight="1" outlineLevel="1">
      <c r="A1420" s="344">
        <v>45992.0</v>
      </c>
      <c r="B1420" s="132">
        <v>46015.0</v>
      </c>
      <c r="C1420" s="327" t="s">
        <v>61</v>
      </c>
      <c r="D1420" s="315">
        <v>1.0</v>
      </c>
      <c r="E1420" s="337">
        <v>200.0</v>
      </c>
      <c r="F1420" s="316">
        <f>D1420*E1420</f>
        <v>200</v>
      </c>
      <c r="G1420" s="316">
        <f>F1420</f>
        <v>200</v>
      </c>
      <c r="H1420" s="317" t="b">
        <v>1</v>
      </c>
      <c r="I1420" s="143" t="s">
        <v>490</v>
      </c>
      <c r="J1420" s="321" t="s">
        <v>1667</v>
      </c>
      <c r="K1420" s="317" t="b">
        <v>0</v>
      </c>
      <c r="L1420" s="279" t="b">
        <v>1</v>
      </c>
    </row>
    <row r="1421" ht="14.25" hidden="1" customHeight="1" outlineLevel="1">
      <c r="A1421" s="344">
        <v>45992.0</v>
      </c>
      <c r="B1421" s="132">
        <v>46015.0</v>
      </c>
      <c r="C1421" s="41" t="s">
        <v>188</v>
      </c>
      <c r="D1421" s="182">
        <v>1.0</v>
      </c>
      <c r="E1421" s="183">
        <v>650.0</v>
      </c>
      <c r="F1421" s="183">
        <v>650.0</v>
      </c>
      <c r="G1421" s="183">
        <v>650.0</v>
      </c>
      <c r="H1421" s="279" t="b">
        <v>0</v>
      </c>
      <c r="I1421" s="143" t="s">
        <v>1668</v>
      </c>
      <c r="J1421" s="41" t="s">
        <v>1670</v>
      </c>
      <c r="K1421" s="279" t="b">
        <v>0</v>
      </c>
      <c r="L1421" s="279" t="b">
        <v>1</v>
      </c>
    </row>
    <row r="1422" ht="14.25" hidden="1" customHeight="1" outlineLevel="1">
      <c r="A1422" s="344">
        <v>45992.0</v>
      </c>
      <c r="B1422" s="132">
        <v>46016.0</v>
      </c>
      <c r="C1422" s="327" t="s">
        <v>61</v>
      </c>
      <c r="D1422" s="315">
        <v>1.0</v>
      </c>
      <c r="E1422" s="337">
        <v>200.0</v>
      </c>
      <c r="F1422" s="316">
        <f t="shared" ref="F1422:F1427" si="238">D1422*E1422</f>
        <v>200</v>
      </c>
      <c r="G1422" s="316">
        <f t="shared" ref="G1422:G1424" si="239">F1422</f>
        <v>200</v>
      </c>
      <c r="H1422" s="317" t="b">
        <v>1</v>
      </c>
      <c r="I1422" s="143" t="s">
        <v>490</v>
      </c>
      <c r="J1422" s="321" t="s">
        <v>1673</v>
      </c>
      <c r="K1422" s="317" t="b">
        <v>0</v>
      </c>
      <c r="L1422" s="279" t="b">
        <v>1</v>
      </c>
    </row>
    <row r="1423" ht="14.25" hidden="1" customHeight="1" outlineLevel="1">
      <c r="A1423" s="344">
        <v>45992.0</v>
      </c>
      <c r="B1423" s="132">
        <v>46017.0</v>
      </c>
      <c r="C1423" s="327" t="s">
        <v>61</v>
      </c>
      <c r="D1423" s="315">
        <v>1.0</v>
      </c>
      <c r="E1423" s="316">
        <v>150.0</v>
      </c>
      <c r="F1423" s="316">
        <f t="shared" si="238"/>
        <v>150</v>
      </c>
      <c r="G1423" s="316">
        <f t="shared" si="239"/>
        <v>150</v>
      </c>
      <c r="H1423" s="317" t="b">
        <v>1</v>
      </c>
      <c r="I1423" s="334" t="s">
        <v>236</v>
      </c>
      <c r="J1423" s="321" t="s">
        <v>1184</v>
      </c>
      <c r="K1423" s="317" t="b">
        <v>0</v>
      </c>
      <c r="L1423" s="279" t="b">
        <v>1</v>
      </c>
    </row>
    <row r="1424" ht="14.25" hidden="1" customHeight="1" outlineLevel="1">
      <c r="A1424" s="344">
        <v>45992.0</v>
      </c>
      <c r="B1424" s="132">
        <v>46017.0</v>
      </c>
      <c r="C1424" s="327" t="s">
        <v>61</v>
      </c>
      <c r="D1424" s="315">
        <v>1.0</v>
      </c>
      <c r="E1424" s="316">
        <v>150.0</v>
      </c>
      <c r="F1424" s="316">
        <f t="shared" si="238"/>
        <v>150</v>
      </c>
      <c r="G1424" s="316">
        <f t="shared" si="239"/>
        <v>150</v>
      </c>
      <c r="H1424" s="317" t="b">
        <v>1</v>
      </c>
      <c r="I1424" s="143" t="s">
        <v>1062</v>
      </c>
      <c r="J1424" s="321" t="s">
        <v>1213</v>
      </c>
      <c r="K1424" s="317" t="b">
        <v>0</v>
      </c>
      <c r="L1424" s="279" t="b">
        <v>1</v>
      </c>
    </row>
    <row r="1425" ht="14.25" hidden="1" customHeight="1" outlineLevel="1">
      <c r="A1425" s="344">
        <v>45992.0</v>
      </c>
      <c r="B1425" s="132">
        <v>46017.0</v>
      </c>
      <c r="C1425" s="41" t="s">
        <v>97</v>
      </c>
      <c r="D1425" s="182">
        <v>1.0</v>
      </c>
      <c r="E1425" s="183">
        <v>3.3</v>
      </c>
      <c r="F1425" s="183">
        <f t="shared" si="238"/>
        <v>3.3</v>
      </c>
      <c r="G1425" s="196">
        <f>SUM(F1425:F1427)</f>
        <v>48.8</v>
      </c>
      <c r="H1425" s="278" t="b">
        <v>0</v>
      </c>
      <c r="I1425" s="164" t="s">
        <v>1274</v>
      </c>
      <c r="J1425" s="41" t="s">
        <v>1677</v>
      </c>
      <c r="K1425" s="278" t="b">
        <v>1</v>
      </c>
      <c r="L1425" s="278" t="b">
        <v>1</v>
      </c>
    </row>
    <row r="1426" ht="14.25" hidden="1" customHeight="1" outlineLevel="1">
      <c r="A1426" s="344">
        <v>45992.0</v>
      </c>
      <c r="B1426" s="132">
        <v>46017.0</v>
      </c>
      <c r="C1426" s="41" t="s">
        <v>97</v>
      </c>
      <c r="D1426" s="182">
        <v>3.0</v>
      </c>
      <c r="E1426" s="183">
        <v>7.5</v>
      </c>
      <c r="F1426" s="183">
        <f t="shared" si="238"/>
        <v>22.5</v>
      </c>
      <c r="G1426" s="58"/>
      <c r="H1426" s="58"/>
      <c r="I1426" s="194"/>
      <c r="J1426" s="41" t="s">
        <v>1664</v>
      </c>
      <c r="K1426" s="58"/>
      <c r="L1426" s="58"/>
    </row>
    <row r="1427" ht="14.25" hidden="1" customHeight="1" outlineLevel="1">
      <c r="A1427" s="344">
        <v>45992.0</v>
      </c>
      <c r="B1427" s="132">
        <v>46017.0</v>
      </c>
      <c r="C1427" s="41" t="s">
        <v>97</v>
      </c>
      <c r="D1427" s="182">
        <v>2.0</v>
      </c>
      <c r="E1427" s="183">
        <v>11.5</v>
      </c>
      <c r="F1427" s="183">
        <f t="shared" si="238"/>
        <v>23</v>
      </c>
      <c r="G1427" s="10"/>
      <c r="H1427" s="10"/>
      <c r="I1427" s="74"/>
      <c r="J1427" s="41" t="s">
        <v>1679</v>
      </c>
      <c r="K1427" s="10"/>
      <c r="L1427" s="10"/>
    </row>
    <row r="1428" ht="14.25" hidden="1" customHeight="1" outlineLevel="1">
      <c r="A1428" s="344">
        <v>45992.0</v>
      </c>
      <c r="B1428" s="132">
        <v>46019.0</v>
      </c>
      <c r="C1428" s="41" t="s">
        <v>61</v>
      </c>
      <c r="D1428" s="182">
        <v>1.0</v>
      </c>
      <c r="E1428" s="316">
        <v>200.0</v>
      </c>
      <c r="F1428" s="316">
        <v>200.0</v>
      </c>
      <c r="G1428" s="316">
        <v>200.0</v>
      </c>
      <c r="H1428" s="317" t="b">
        <v>1</v>
      </c>
      <c r="I1428" s="318" t="s">
        <v>1353</v>
      </c>
      <c r="J1428" s="321" t="s">
        <v>1192</v>
      </c>
      <c r="K1428" s="279" t="b">
        <v>0</v>
      </c>
      <c r="L1428" s="279" t="b">
        <v>1</v>
      </c>
    </row>
    <row r="1429" ht="14.25" hidden="1" customHeight="1" outlineLevel="1">
      <c r="A1429" s="344">
        <v>45992.0</v>
      </c>
      <c r="B1429" s="132">
        <v>46019.0</v>
      </c>
      <c r="C1429" s="41" t="s">
        <v>61</v>
      </c>
      <c r="D1429" s="182">
        <v>1.0</v>
      </c>
      <c r="E1429" s="183">
        <v>200.0</v>
      </c>
      <c r="F1429" s="183">
        <v>200.0</v>
      </c>
      <c r="G1429" s="183">
        <v>200.0</v>
      </c>
      <c r="H1429" s="279" t="b">
        <v>1</v>
      </c>
      <c r="I1429" s="143" t="s">
        <v>1251</v>
      </c>
      <c r="J1429" s="41" t="s">
        <v>1193</v>
      </c>
      <c r="K1429" s="279" t="b">
        <v>0</v>
      </c>
      <c r="L1429" s="279" t="b">
        <v>1</v>
      </c>
    </row>
    <row r="1430" ht="14.25" hidden="1" customHeight="1" outlineLevel="1">
      <c r="A1430" s="344">
        <v>45992.0</v>
      </c>
      <c r="B1430" s="132">
        <v>46019.0</v>
      </c>
      <c r="C1430" s="41" t="s">
        <v>61</v>
      </c>
      <c r="D1430" s="182">
        <v>1.0</v>
      </c>
      <c r="E1430" s="183">
        <v>200.0</v>
      </c>
      <c r="F1430" s="183">
        <v>200.0</v>
      </c>
      <c r="G1430" s="183">
        <v>200.0</v>
      </c>
      <c r="H1430" s="279" t="b">
        <v>1</v>
      </c>
      <c r="I1430" s="143" t="s">
        <v>1357</v>
      </c>
      <c r="J1430" s="41" t="s">
        <v>1195</v>
      </c>
      <c r="K1430" s="279" t="b">
        <v>0</v>
      </c>
      <c r="L1430" s="279" t="b">
        <v>1</v>
      </c>
    </row>
    <row r="1431" ht="14.25" hidden="1" customHeight="1" outlineLevel="1">
      <c r="A1431" s="344">
        <v>45992.0</v>
      </c>
      <c r="B1431" s="132">
        <v>46020.0</v>
      </c>
      <c r="C1431" s="41" t="s">
        <v>61</v>
      </c>
      <c r="D1431" s="182">
        <v>1.0</v>
      </c>
      <c r="E1431" s="183">
        <v>150.0</v>
      </c>
      <c r="F1431" s="183">
        <v>150.0</v>
      </c>
      <c r="G1431" s="183">
        <v>150.0</v>
      </c>
      <c r="H1431" s="279" t="b">
        <v>1</v>
      </c>
      <c r="I1431" s="143" t="s">
        <v>456</v>
      </c>
      <c r="J1431" s="41" t="s">
        <v>1322</v>
      </c>
      <c r="K1431" s="279" t="b">
        <v>0</v>
      </c>
      <c r="L1431" s="279" t="b">
        <v>1</v>
      </c>
    </row>
    <row r="1432" ht="14.25" hidden="1" customHeight="1" outlineLevel="1">
      <c r="A1432" s="344">
        <v>45992.0</v>
      </c>
      <c r="B1432" s="132">
        <v>46021.0</v>
      </c>
      <c r="C1432" s="327" t="s">
        <v>61</v>
      </c>
      <c r="D1432" s="315">
        <v>1.0</v>
      </c>
      <c r="E1432" s="316">
        <v>150.0</v>
      </c>
      <c r="F1432" s="316">
        <f t="shared" ref="F1432:F1433" si="240">D1432*E1432</f>
        <v>150</v>
      </c>
      <c r="G1432" s="316">
        <f t="shared" ref="G1432:G1433" si="241">F1432</f>
        <v>150</v>
      </c>
      <c r="H1432" s="317" t="b">
        <v>1</v>
      </c>
      <c r="I1432" s="334" t="s">
        <v>236</v>
      </c>
      <c r="J1432" s="321" t="s">
        <v>1198</v>
      </c>
      <c r="K1432" s="317" t="b">
        <v>0</v>
      </c>
      <c r="L1432" s="279" t="b">
        <v>1</v>
      </c>
    </row>
    <row r="1433" ht="14.25" hidden="1" customHeight="1" outlineLevel="1">
      <c r="A1433" s="344">
        <v>45992.0</v>
      </c>
      <c r="B1433" s="132">
        <v>46021.0</v>
      </c>
      <c r="C1433" s="327" t="s">
        <v>61</v>
      </c>
      <c r="D1433" s="315">
        <v>1.0</v>
      </c>
      <c r="E1433" s="316">
        <v>150.0</v>
      </c>
      <c r="F1433" s="316">
        <f t="shared" si="240"/>
        <v>150</v>
      </c>
      <c r="G1433" s="316">
        <f t="shared" si="241"/>
        <v>150</v>
      </c>
      <c r="H1433" s="317" t="b">
        <v>1</v>
      </c>
      <c r="I1433" s="143" t="s">
        <v>1064</v>
      </c>
      <c r="J1433" s="321" t="s">
        <v>1199</v>
      </c>
      <c r="K1433" s="317" t="b">
        <v>0</v>
      </c>
      <c r="L1433" s="279" t="b">
        <v>1</v>
      </c>
    </row>
    <row r="1434" ht="14.25" customHeight="1">
      <c r="A1434" s="180" t="s">
        <v>192</v>
      </c>
      <c r="B1434" s="27"/>
      <c r="C1434" s="27"/>
      <c r="D1434" s="27"/>
      <c r="E1434" s="28"/>
      <c r="F1434" s="181">
        <f t="shared" ref="F1434:G1434" si="242">SUM(F1372:F1433)</f>
        <v>15676.01</v>
      </c>
      <c r="G1434" s="181">
        <f t="shared" si="242"/>
        <v>15676.01</v>
      </c>
    </row>
    <row r="1435" ht="14.25" customHeight="1" collapsed="1">
      <c r="A1435" s="245" t="s">
        <v>1390</v>
      </c>
      <c r="B1435" s="246"/>
      <c r="C1435" s="246"/>
      <c r="D1435" s="246"/>
      <c r="E1435" s="246"/>
      <c r="F1435" s="246"/>
      <c r="G1435" s="246"/>
      <c r="H1435" s="246"/>
      <c r="I1435" s="246"/>
      <c r="J1435" s="247"/>
    </row>
    <row r="1436" ht="14.25" hidden="1" customHeight="1" outlineLevel="1">
      <c r="A1436" s="344">
        <v>46023.0</v>
      </c>
      <c r="B1436" s="132">
        <v>46023.0</v>
      </c>
      <c r="C1436" s="41" t="s">
        <v>61</v>
      </c>
      <c r="D1436" s="182">
        <v>1.0</v>
      </c>
      <c r="E1436" s="183">
        <v>200.0</v>
      </c>
      <c r="F1436" s="183">
        <v>200.0</v>
      </c>
      <c r="G1436" s="183">
        <v>200.0</v>
      </c>
      <c r="H1436" s="279" t="b">
        <v>1</v>
      </c>
      <c r="I1436" s="143" t="s">
        <v>1682</v>
      </c>
      <c r="J1436" s="41" t="s">
        <v>1683</v>
      </c>
      <c r="K1436" s="279" t="b">
        <v>0</v>
      </c>
      <c r="L1436" s="279" t="b">
        <v>1</v>
      </c>
    </row>
    <row r="1437" ht="14.25" hidden="1" customHeight="1" outlineLevel="1">
      <c r="A1437" s="344">
        <v>46023.0</v>
      </c>
      <c r="B1437" s="132">
        <v>46024.0</v>
      </c>
      <c r="C1437" s="327" t="s">
        <v>61</v>
      </c>
      <c r="D1437" s="315">
        <v>1.0</v>
      </c>
      <c r="E1437" s="316">
        <v>150.0</v>
      </c>
      <c r="F1437" s="316">
        <f t="shared" ref="F1437:F1438" si="243">D1437*E1437</f>
        <v>150</v>
      </c>
      <c r="G1437" s="316">
        <f t="shared" ref="G1437:G1438" si="244">F1437</f>
        <v>150</v>
      </c>
      <c r="H1437" s="317" t="b">
        <v>1</v>
      </c>
      <c r="I1437" s="334" t="s">
        <v>236</v>
      </c>
      <c r="J1437" s="321" t="s">
        <v>1184</v>
      </c>
      <c r="K1437" s="317" t="b">
        <v>0</v>
      </c>
      <c r="L1437" s="279" t="b">
        <v>1</v>
      </c>
    </row>
    <row r="1438" ht="14.25" hidden="1" customHeight="1" outlineLevel="1">
      <c r="A1438" s="344">
        <v>46023.0</v>
      </c>
      <c r="B1438" s="132">
        <v>46024.0</v>
      </c>
      <c r="C1438" s="327" t="s">
        <v>61</v>
      </c>
      <c r="D1438" s="315">
        <v>1.0</v>
      </c>
      <c r="E1438" s="316">
        <v>150.0</v>
      </c>
      <c r="F1438" s="316">
        <f t="shared" si="243"/>
        <v>150</v>
      </c>
      <c r="G1438" s="316">
        <f t="shared" si="244"/>
        <v>150</v>
      </c>
      <c r="H1438" s="317" t="b">
        <v>1</v>
      </c>
      <c r="I1438" s="143" t="s">
        <v>1062</v>
      </c>
      <c r="J1438" s="321" t="s">
        <v>1213</v>
      </c>
      <c r="K1438" s="317" t="b">
        <v>0</v>
      </c>
      <c r="L1438" s="279" t="b">
        <v>1</v>
      </c>
    </row>
    <row r="1439" ht="14.25" hidden="1" customHeight="1" outlineLevel="1">
      <c r="A1439" s="344">
        <v>46023.0</v>
      </c>
      <c r="B1439" s="132">
        <v>46025.0</v>
      </c>
      <c r="C1439" s="41" t="s">
        <v>61</v>
      </c>
      <c r="D1439" s="182">
        <v>1.0</v>
      </c>
      <c r="E1439" s="183">
        <v>200.0</v>
      </c>
      <c r="F1439" s="183">
        <v>200.0</v>
      </c>
      <c r="G1439" s="183">
        <v>200.0</v>
      </c>
      <c r="H1439" s="279" t="b">
        <v>1</v>
      </c>
      <c r="I1439" s="143" t="s">
        <v>974</v>
      </c>
      <c r="J1439" s="41" t="s">
        <v>1687</v>
      </c>
      <c r="K1439" s="279" t="b">
        <v>0</v>
      </c>
      <c r="L1439" s="279" t="b">
        <v>1</v>
      </c>
    </row>
    <row r="1440" ht="14.25" hidden="1" customHeight="1" outlineLevel="1">
      <c r="A1440" s="344">
        <v>46023.0</v>
      </c>
      <c r="B1440" s="132">
        <v>46026.0</v>
      </c>
      <c r="C1440" s="41" t="s">
        <v>61</v>
      </c>
      <c r="D1440" s="182">
        <v>1.0</v>
      </c>
      <c r="E1440" s="316">
        <v>200.0</v>
      </c>
      <c r="F1440" s="316">
        <v>200.0</v>
      </c>
      <c r="G1440" s="316">
        <v>200.0</v>
      </c>
      <c r="H1440" s="317" t="b">
        <v>1</v>
      </c>
      <c r="I1440" s="318" t="s">
        <v>490</v>
      </c>
      <c r="J1440" s="321" t="s">
        <v>1192</v>
      </c>
      <c r="K1440" s="279" t="b">
        <v>0</v>
      </c>
      <c r="L1440" s="279" t="b">
        <v>1</v>
      </c>
    </row>
    <row r="1441" ht="14.25" hidden="1" customHeight="1" outlineLevel="1">
      <c r="A1441" s="344">
        <v>46023.0</v>
      </c>
      <c r="B1441" s="132">
        <v>46026.0</v>
      </c>
      <c r="C1441" s="41" t="s">
        <v>61</v>
      </c>
      <c r="D1441" s="182">
        <v>1.0</v>
      </c>
      <c r="E1441" s="183">
        <v>200.0</v>
      </c>
      <c r="F1441" s="183">
        <v>200.0</v>
      </c>
      <c r="G1441" s="183">
        <v>200.0</v>
      </c>
      <c r="H1441" s="279" t="b">
        <v>1</v>
      </c>
      <c r="I1441" s="143" t="s">
        <v>1251</v>
      </c>
      <c r="J1441" s="41" t="s">
        <v>1193</v>
      </c>
      <c r="K1441" s="279" t="b">
        <v>0</v>
      </c>
      <c r="L1441" s="279" t="b">
        <v>1</v>
      </c>
    </row>
    <row r="1442" ht="14.25" hidden="1" customHeight="1" outlineLevel="1">
      <c r="A1442" s="344">
        <v>46023.0</v>
      </c>
      <c r="B1442" s="132">
        <v>46026.0</v>
      </c>
      <c r="C1442" s="41" t="s">
        <v>61</v>
      </c>
      <c r="D1442" s="182">
        <v>1.0</v>
      </c>
      <c r="E1442" s="183">
        <v>200.0</v>
      </c>
      <c r="F1442" s="183">
        <v>200.0</v>
      </c>
      <c r="G1442" s="183">
        <v>200.0</v>
      </c>
      <c r="H1442" s="279" t="b">
        <v>1</v>
      </c>
      <c r="I1442" s="143" t="s">
        <v>1165</v>
      </c>
      <c r="J1442" s="41" t="s">
        <v>1195</v>
      </c>
      <c r="K1442" s="279" t="b">
        <v>0</v>
      </c>
      <c r="L1442" s="279" t="b">
        <v>1</v>
      </c>
    </row>
    <row r="1443" ht="14.25" hidden="1" customHeight="1" outlineLevel="1">
      <c r="A1443" s="344">
        <v>46023.0</v>
      </c>
      <c r="B1443" s="132">
        <v>46027.0</v>
      </c>
      <c r="C1443" s="41" t="s">
        <v>61</v>
      </c>
      <c r="D1443" s="182">
        <v>1.0</v>
      </c>
      <c r="E1443" s="183">
        <v>150.0</v>
      </c>
      <c r="F1443" s="183">
        <v>150.0</v>
      </c>
      <c r="G1443" s="183">
        <v>150.0</v>
      </c>
      <c r="H1443" s="279" t="b">
        <v>1</v>
      </c>
      <c r="I1443" s="143" t="s">
        <v>1327</v>
      </c>
      <c r="J1443" s="41" t="s">
        <v>1691</v>
      </c>
      <c r="K1443" s="279" t="b">
        <v>0</v>
      </c>
      <c r="L1443" s="279" t="b">
        <v>1</v>
      </c>
    </row>
    <row r="1444" ht="14.25" hidden="1" customHeight="1" outlineLevel="1">
      <c r="A1444" s="344">
        <v>46023.0</v>
      </c>
      <c r="B1444" s="132">
        <v>46027.0</v>
      </c>
      <c r="C1444" s="41" t="s">
        <v>61</v>
      </c>
      <c r="D1444" s="182">
        <v>1.0</v>
      </c>
      <c r="E1444" s="183">
        <v>150.0</v>
      </c>
      <c r="F1444" s="183">
        <v>150.0</v>
      </c>
      <c r="G1444" s="183">
        <v>150.0</v>
      </c>
      <c r="H1444" s="279" t="b">
        <v>1</v>
      </c>
      <c r="I1444" s="143" t="s">
        <v>456</v>
      </c>
      <c r="J1444" s="41" t="s">
        <v>1322</v>
      </c>
      <c r="K1444" s="279" t="b">
        <v>0</v>
      </c>
      <c r="L1444" s="279" t="b">
        <v>1</v>
      </c>
    </row>
    <row r="1445" ht="14.25" hidden="1" customHeight="1" outlineLevel="1">
      <c r="A1445" s="344">
        <v>46023.0</v>
      </c>
      <c r="B1445" s="132">
        <v>46028.0</v>
      </c>
      <c r="C1445" s="327" t="s">
        <v>61</v>
      </c>
      <c r="D1445" s="315">
        <v>1.0</v>
      </c>
      <c r="E1445" s="316">
        <v>150.0</v>
      </c>
      <c r="F1445" s="316">
        <f t="shared" ref="F1445:F1454" si="245">D1445*E1445</f>
        <v>150</v>
      </c>
      <c r="G1445" s="316">
        <f t="shared" ref="G1445:G1447" si="246">F1445</f>
        <v>150</v>
      </c>
      <c r="H1445" s="317" t="b">
        <v>1</v>
      </c>
      <c r="I1445" s="334" t="s">
        <v>236</v>
      </c>
      <c r="J1445" s="321" t="s">
        <v>1198</v>
      </c>
      <c r="K1445" s="317" t="b">
        <v>0</v>
      </c>
      <c r="L1445" s="279" t="b">
        <v>1</v>
      </c>
    </row>
    <row r="1446" ht="14.25" hidden="1" customHeight="1" outlineLevel="1">
      <c r="A1446" s="344">
        <v>46023.0</v>
      </c>
      <c r="B1446" s="132">
        <v>46028.0</v>
      </c>
      <c r="C1446" s="327" t="s">
        <v>61</v>
      </c>
      <c r="D1446" s="315">
        <v>1.0</v>
      </c>
      <c r="E1446" s="316">
        <v>150.0</v>
      </c>
      <c r="F1446" s="316">
        <f t="shared" si="245"/>
        <v>150</v>
      </c>
      <c r="G1446" s="316">
        <f t="shared" si="246"/>
        <v>150</v>
      </c>
      <c r="H1446" s="317" t="b">
        <v>1</v>
      </c>
      <c r="I1446" s="143" t="s">
        <v>456</v>
      </c>
      <c r="J1446" s="321" t="s">
        <v>1199</v>
      </c>
      <c r="K1446" s="317" t="b">
        <v>0</v>
      </c>
      <c r="L1446" s="279" t="b">
        <v>1</v>
      </c>
    </row>
    <row r="1447" ht="14.25" hidden="1" customHeight="1" outlineLevel="1">
      <c r="A1447" s="344">
        <v>46023.0</v>
      </c>
      <c r="B1447" s="132">
        <v>46028.0</v>
      </c>
      <c r="C1447" s="41" t="s">
        <v>75</v>
      </c>
      <c r="D1447" s="182">
        <v>1.0</v>
      </c>
      <c r="E1447" s="183">
        <v>43.3</v>
      </c>
      <c r="F1447" s="183">
        <f t="shared" si="245"/>
        <v>43.3</v>
      </c>
      <c r="G1447" s="183">
        <f t="shared" si="246"/>
        <v>43.3</v>
      </c>
      <c r="H1447" s="279" t="b">
        <v>0</v>
      </c>
      <c r="I1447" s="143" t="s">
        <v>225</v>
      </c>
      <c r="J1447" s="41" t="s">
        <v>1692</v>
      </c>
      <c r="K1447" s="279" t="b">
        <v>1</v>
      </c>
      <c r="L1447" s="279" t="b">
        <v>1</v>
      </c>
    </row>
    <row r="1448" ht="14.25" hidden="1" customHeight="1" outlineLevel="1">
      <c r="A1448" s="344">
        <v>46023.0</v>
      </c>
      <c r="B1448" s="132">
        <v>46029.0</v>
      </c>
      <c r="C1448" s="327" t="s">
        <v>61</v>
      </c>
      <c r="D1448" s="315">
        <v>1.0</v>
      </c>
      <c r="E1448" s="337">
        <v>150.0</v>
      </c>
      <c r="F1448" s="316">
        <f t="shared" si="245"/>
        <v>150</v>
      </c>
      <c r="G1448" s="337">
        <v>150.0</v>
      </c>
      <c r="H1448" s="317" t="b">
        <v>1</v>
      </c>
      <c r="I1448" s="143" t="s">
        <v>1062</v>
      </c>
      <c r="J1448" s="321" t="s">
        <v>1204</v>
      </c>
      <c r="K1448" s="317" t="b">
        <v>0</v>
      </c>
      <c r="L1448" s="279" t="b">
        <v>1</v>
      </c>
    </row>
    <row r="1449" ht="14.25" hidden="1" customHeight="1" outlineLevel="1">
      <c r="A1449" s="344">
        <v>46023.0</v>
      </c>
      <c r="B1449" s="132">
        <v>46030.0</v>
      </c>
      <c r="C1449" s="327" t="s">
        <v>61</v>
      </c>
      <c r="D1449" s="315">
        <v>1.0</v>
      </c>
      <c r="E1449" s="316">
        <v>150.0</v>
      </c>
      <c r="F1449" s="316">
        <f t="shared" si="245"/>
        <v>150</v>
      </c>
      <c r="G1449" s="316">
        <f>F1449</f>
        <v>150</v>
      </c>
      <c r="H1449" s="317" t="b">
        <v>1</v>
      </c>
      <c r="I1449" s="143" t="s">
        <v>980</v>
      </c>
      <c r="J1449" s="321" t="s">
        <v>1181</v>
      </c>
      <c r="K1449" s="317" t="b">
        <v>0</v>
      </c>
      <c r="L1449" s="279" t="b">
        <v>1</v>
      </c>
    </row>
    <row r="1450" ht="14.25" hidden="1" customHeight="1" outlineLevel="1">
      <c r="A1450" s="344">
        <v>46023.0</v>
      </c>
      <c r="B1450" s="132">
        <v>46030.0</v>
      </c>
      <c r="C1450" s="41" t="s">
        <v>75</v>
      </c>
      <c r="D1450" s="182">
        <v>8.0</v>
      </c>
      <c r="E1450" s="183">
        <v>40.0</v>
      </c>
      <c r="F1450" s="183">
        <f t="shared" si="245"/>
        <v>320</v>
      </c>
      <c r="G1450" s="196">
        <f>SUM(F1450:F1451)</f>
        <v>400</v>
      </c>
      <c r="H1450" s="278" t="b">
        <v>0</v>
      </c>
      <c r="I1450" s="164" t="s">
        <v>76</v>
      </c>
      <c r="J1450" s="41" t="s">
        <v>1692</v>
      </c>
      <c r="K1450" s="278" t="b">
        <v>0</v>
      </c>
      <c r="L1450" s="278" t="b">
        <v>1</v>
      </c>
    </row>
    <row r="1451" ht="14.25" hidden="1" customHeight="1" outlineLevel="1">
      <c r="A1451" s="344">
        <v>46023.0</v>
      </c>
      <c r="B1451" s="132">
        <v>46030.0</v>
      </c>
      <c r="C1451" s="41" t="s">
        <v>75</v>
      </c>
      <c r="D1451" s="182">
        <v>2.0</v>
      </c>
      <c r="E1451" s="183">
        <v>40.0</v>
      </c>
      <c r="F1451" s="183">
        <f t="shared" si="245"/>
        <v>80</v>
      </c>
      <c r="G1451" s="10"/>
      <c r="H1451" s="10"/>
      <c r="I1451" s="74"/>
      <c r="J1451" s="41" t="s">
        <v>1695</v>
      </c>
      <c r="K1451" s="10"/>
      <c r="L1451" s="10"/>
    </row>
    <row r="1452" ht="14.25" hidden="1" customHeight="1" outlineLevel="1">
      <c r="A1452" s="344">
        <v>46023.0</v>
      </c>
      <c r="B1452" s="132">
        <v>46031.0</v>
      </c>
      <c r="C1452" s="327" t="s">
        <v>61</v>
      </c>
      <c r="D1452" s="315">
        <v>1.0</v>
      </c>
      <c r="E1452" s="316">
        <v>150.0</v>
      </c>
      <c r="F1452" s="316">
        <f t="shared" si="245"/>
        <v>150</v>
      </c>
      <c r="G1452" s="316">
        <f t="shared" ref="G1452:G1454" si="247">F1452</f>
        <v>150</v>
      </c>
      <c r="H1452" s="317" t="b">
        <v>1</v>
      </c>
      <c r="I1452" s="334" t="s">
        <v>236</v>
      </c>
      <c r="J1452" s="321" t="s">
        <v>1184</v>
      </c>
      <c r="K1452" s="317" t="b">
        <v>0</v>
      </c>
      <c r="L1452" s="279" t="b">
        <v>1</v>
      </c>
    </row>
    <row r="1453" ht="14.25" hidden="1" customHeight="1" outlineLevel="1">
      <c r="A1453" s="344">
        <v>46023.0</v>
      </c>
      <c r="B1453" s="132">
        <v>46031.0</v>
      </c>
      <c r="C1453" s="327" t="s">
        <v>61</v>
      </c>
      <c r="D1453" s="315">
        <v>1.0</v>
      </c>
      <c r="E1453" s="316">
        <v>150.0</v>
      </c>
      <c r="F1453" s="316">
        <f t="shared" si="245"/>
        <v>150</v>
      </c>
      <c r="G1453" s="316">
        <f t="shared" si="247"/>
        <v>150</v>
      </c>
      <c r="H1453" s="317" t="b">
        <v>1</v>
      </c>
      <c r="I1453" s="143" t="s">
        <v>1062</v>
      </c>
      <c r="J1453" s="321" t="s">
        <v>1213</v>
      </c>
      <c r="K1453" s="317" t="b">
        <v>0</v>
      </c>
      <c r="L1453" s="279" t="b">
        <v>1</v>
      </c>
    </row>
    <row r="1454" ht="14.25" hidden="1" customHeight="1" outlineLevel="1">
      <c r="A1454" s="344">
        <v>46023.0</v>
      </c>
      <c r="B1454" s="132">
        <v>46031.0</v>
      </c>
      <c r="C1454" s="41" t="s">
        <v>80</v>
      </c>
      <c r="D1454" s="182">
        <v>2.0</v>
      </c>
      <c r="E1454" s="183">
        <v>15.0</v>
      </c>
      <c r="F1454" s="183">
        <f t="shared" si="245"/>
        <v>30</v>
      </c>
      <c r="G1454" s="183">
        <f t="shared" si="247"/>
        <v>30</v>
      </c>
      <c r="H1454" s="279" t="b">
        <v>0</v>
      </c>
      <c r="I1454" s="143" t="s">
        <v>481</v>
      </c>
      <c r="J1454" s="41" t="s">
        <v>1013</v>
      </c>
      <c r="K1454" s="279" t="b">
        <v>1</v>
      </c>
      <c r="L1454" s="279" t="b">
        <v>1</v>
      </c>
    </row>
    <row r="1455" ht="14.25" hidden="1" customHeight="1" outlineLevel="1">
      <c r="A1455" s="344">
        <v>46023.0</v>
      </c>
      <c r="B1455" s="132">
        <v>46033.0</v>
      </c>
      <c r="C1455" s="41" t="s">
        <v>61</v>
      </c>
      <c r="D1455" s="182">
        <v>1.0</v>
      </c>
      <c r="E1455" s="316">
        <v>200.0</v>
      </c>
      <c r="F1455" s="316">
        <v>200.0</v>
      </c>
      <c r="G1455" s="316">
        <v>200.0</v>
      </c>
      <c r="H1455" s="317" t="b">
        <v>1</v>
      </c>
      <c r="I1455" s="318" t="s">
        <v>490</v>
      </c>
      <c r="J1455" s="321" t="s">
        <v>1192</v>
      </c>
      <c r="K1455" s="279" t="b">
        <v>0</v>
      </c>
      <c r="L1455" s="279" t="b">
        <v>1</v>
      </c>
    </row>
    <row r="1456" ht="14.25" hidden="1" customHeight="1" outlineLevel="1">
      <c r="A1456" s="344">
        <v>46023.0</v>
      </c>
      <c r="B1456" s="132">
        <v>46033.0</v>
      </c>
      <c r="C1456" s="41" t="s">
        <v>61</v>
      </c>
      <c r="D1456" s="182">
        <v>1.0</v>
      </c>
      <c r="E1456" s="183">
        <v>200.0</v>
      </c>
      <c r="F1456" s="183">
        <v>200.0</v>
      </c>
      <c r="G1456" s="183">
        <v>200.0</v>
      </c>
      <c r="H1456" s="279" t="b">
        <v>1</v>
      </c>
      <c r="I1456" s="143" t="s">
        <v>980</v>
      </c>
      <c r="J1456" s="41" t="s">
        <v>1193</v>
      </c>
      <c r="K1456" s="279" t="b">
        <v>0</v>
      </c>
      <c r="L1456" s="279" t="b">
        <v>1</v>
      </c>
    </row>
    <row r="1457" ht="14.25" hidden="1" customHeight="1" outlineLevel="1">
      <c r="A1457" s="344">
        <v>46023.0</v>
      </c>
      <c r="B1457" s="132">
        <v>46033.0</v>
      </c>
      <c r="C1457" s="41" t="s">
        <v>61</v>
      </c>
      <c r="D1457" s="182">
        <v>1.0</v>
      </c>
      <c r="E1457" s="183">
        <v>200.0</v>
      </c>
      <c r="F1457" s="183">
        <v>200.0</v>
      </c>
      <c r="G1457" s="183">
        <v>200.0</v>
      </c>
      <c r="H1457" s="279" t="b">
        <v>1</v>
      </c>
      <c r="I1457" s="143" t="s">
        <v>342</v>
      </c>
      <c r="J1457" s="41" t="s">
        <v>1195</v>
      </c>
      <c r="K1457" s="279" t="b">
        <v>0</v>
      </c>
      <c r="L1457" s="279" t="b">
        <v>1</v>
      </c>
    </row>
    <row r="1458" ht="14.25" hidden="1" customHeight="1" outlineLevel="1">
      <c r="A1458" s="344">
        <v>46023.0</v>
      </c>
      <c r="B1458" s="132">
        <v>46034.0</v>
      </c>
      <c r="C1458" s="41" t="s">
        <v>61</v>
      </c>
      <c r="D1458" s="182">
        <v>1.0</v>
      </c>
      <c r="E1458" s="183">
        <v>150.0</v>
      </c>
      <c r="F1458" s="183">
        <v>150.0</v>
      </c>
      <c r="G1458" s="183">
        <v>150.0</v>
      </c>
      <c r="H1458" s="279" t="b">
        <v>1</v>
      </c>
      <c r="I1458" s="143" t="s">
        <v>1327</v>
      </c>
      <c r="J1458" s="41" t="s">
        <v>1691</v>
      </c>
      <c r="K1458" s="279" t="b">
        <v>0</v>
      </c>
      <c r="L1458" s="279" t="b">
        <v>1</v>
      </c>
    </row>
    <row r="1459" ht="14.25" hidden="1" customHeight="1" outlineLevel="1">
      <c r="A1459" s="344">
        <v>46023.0</v>
      </c>
      <c r="B1459" s="132">
        <v>46034.0</v>
      </c>
      <c r="C1459" s="41" t="s">
        <v>61</v>
      </c>
      <c r="D1459" s="182">
        <v>1.0</v>
      </c>
      <c r="E1459" s="183">
        <v>150.0</v>
      </c>
      <c r="F1459" s="183">
        <v>150.0</v>
      </c>
      <c r="G1459" s="183">
        <v>150.0</v>
      </c>
      <c r="H1459" s="279" t="b">
        <v>1</v>
      </c>
      <c r="I1459" s="143" t="s">
        <v>456</v>
      </c>
      <c r="J1459" s="41" t="s">
        <v>1322</v>
      </c>
      <c r="K1459" s="279" t="b">
        <v>0</v>
      </c>
      <c r="L1459" s="279" t="b">
        <v>1</v>
      </c>
    </row>
    <row r="1460" ht="14.25" hidden="1" customHeight="1" outlineLevel="1">
      <c r="A1460" s="344">
        <v>46023.0</v>
      </c>
      <c r="B1460" s="132">
        <v>46035.0</v>
      </c>
      <c r="C1460" s="327" t="s">
        <v>61</v>
      </c>
      <c r="D1460" s="315">
        <v>1.0</v>
      </c>
      <c r="E1460" s="316">
        <v>150.0</v>
      </c>
      <c r="F1460" s="316">
        <f t="shared" ref="F1460:F1467" si="248">D1460*E1460</f>
        <v>150</v>
      </c>
      <c r="G1460" s="316">
        <f t="shared" ref="G1460:G1461" si="249">F1460</f>
        <v>150</v>
      </c>
      <c r="H1460" s="317" t="b">
        <v>1</v>
      </c>
      <c r="I1460" s="334" t="s">
        <v>236</v>
      </c>
      <c r="J1460" s="321" t="s">
        <v>1198</v>
      </c>
      <c r="K1460" s="317" t="b">
        <v>0</v>
      </c>
      <c r="L1460" s="279" t="b">
        <v>1</v>
      </c>
    </row>
    <row r="1461" ht="14.25" hidden="1" customHeight="1" outlineLevel="1">
      <c r="A1461" s="344">
        <v>46023.0</v>
      </c>
      <c r="B1461" s="132">
        <v>46035.0</v>
      </c>
      <c r="C1461" s="327" t="s">
        <v>61</v>
      </c>
      <c r="D1461" s="315">
        <v>1.0</v>
      </c>
      <c r="E1461" s="316">
        <v>150.0</v>
      </c>
      <c r="F1461" s="316">
        <f t="shared" si="248"/>
        <v>150</v>
      </c>
      <c r="G1461" s="316">
        <f t="shared" si="249"/>
        <v>150</v>
      </c>
      <c r="H1461" s="317" t="b">
        <v>1</v>
      </c>
      <c r="I1461" s="143" t="s">
        <v>456</v>
      </c>
      <c r="J1461" s="321" t="s">
        <v>1199</v>
      </c>
      <c r="K1461" s="317" t="b">
        <v>0</v>
      </c>
      <c r="L1461" s="279" t="b">
        <v>1</v>
      </c>
    </row>
    <row r="1462" ht="14.25" hidden="1" customHeight="1" outlineLevel="1">
      <c r="A1462" s="344">
        <v>46023.0</v>
      </c>
      <c r="B1462" s="132">
        <v>46035.0</v>
      </c>
      <c r="C1462" s="41" t="s">
        <v>112</v>
      </c>
      <c r="D1462" s="182">
        <v>2.0</v>
      </c>
      <c r="E1462" s="183">
        <v>12.99</v>
      </c>
      <c r="F1462" s="183">
        <f t="shared" si="248"/>
        <v>25.98</v>
      </c>
      <c r="G1462" s="196">
        <f>SUM(F1462:F1463)</f>
        <v>59.96</v>
      </c>
      <c r="H1462" s="278" t="b">
        <v>0</v>
      </c>
      <c r="I1462" s="164" t="s">
        <v>117</v>
      </c>
      <c r="J1462" s="41" t="s">
        <v>1700</v>
      </c>
      <c r="K1462" s="278" t="b">
        <v>1</v>
      </c>
      <c r="L1462" s="278" t="b">
        <v>1</v>
      </c>
    </row>
    <row r="1463" ht="14.25" hidden="1" customHeight="1" outlineLevel="1">
      <c r="A1463" s="344">
        <v>46023.0</v>
      </c>
      <c r="B1463" s="132">
        <v>46035.0</v>
      </c>
      <c r="C1463" s="41" t="s">
        <v>69</v>
      </c>
      <c r="D1463" s="182">
        <v>2.0</v>
      </c>
      <c r="E1463" s="183">
        <v>16.99</v>
      </c>
      <c r="F1463" s="183">
        <f t="shared" si="248"/>
        <v>33.98</v>
      </c>
      <c r="G1463" s="10"/>
      <c r="H1463" s="10"/>
      <c r="I1463" s="74"/>
      <c r="J1463" s="41" t="s">
        <v>69</v>
      </c>
      <c r="K1463" s="10"/>
      <c r="L1463" s="10"/>
    </row>
    <row r="1464" ht="14.25" hidden="1" customHeight="1" outlineLevel="1">
      <c r="A1464" s="344">
        <v>46023.0</v>
      </c>
      <c r="B1464" s="132">
        <v>46036.0</v>
      </c>
      <c r="C1464" s="327" t="s">
        <v>61</v>
      </c>
      <c r="D1464" s="315">
        <v>1.0</v>
      </c>
      <c r="E1464" s="316">
        <v>150.0</v>
      </c>
      <c r="F1464" s="316">
        <f t="shared" si="248"/>
        <v>150</v>
      </c>
      <c r="G1464" s="337">
        <v>150.0</v>
      </c>
      <c r="H1464" s="317" t="b">
        <v>1</v>
      </c>
      <c r="I1464" s="143" t="s">
        <v>1062</v>
      </c>
      <c r="J1464" s="321" t="s">
        <v>1204</v>
      </c>
      <c r="K1464" s="317" t="b">
        <v>0</v>
      </c>
      <c r="L1464" s="279" t="b">
        <v>1</v>
      </c>
    </row>
    <row r="1465" ht="14.25" hidden="1" customHeight="1" outlineLevel="1">
      <c r="A1465" s="344">
        <v>46023.0</v>
      </c>
      <c r="B1465" s="132">
        <v>46037.0</v>
      </c>
      <c r="C1465" s="327" t="s">
        <v>61</v>
      </c>
      <c r="D1465" s="315">
        <v>1.0</v>
      </c>
      <c r="E1465" s="316">
        <v>150.0</v>
      </c>
      <c r="F1465" s="316">
        <f t="shared" si="248"/>
        <v>150</v>
      </c>
      <c r="G1465" s="316">
        <f t="shared" ref="G1465:G1467" si="250">F1465</f>
        <v>150</v>
      </c>
      <c r="H1465" s="317" t="b">
        <v>1</v>
      </c>
      <c r="I1465" s="143" t="s">
        <v>980</v>
      </c>
      <c r="J1465" s="321" t="s">
        <v>1181</v>
      </c>
      <c r="K1465" s="317" t="b">
        <v>0</v>
      </c>
      <c r="L1465" s="279" t="b">
        <v>1</v>
      </c>
    </row>
    <row r="1466" ht="14.25" hidden="1" customHeight="1" outlineLevel="1">
      <c r="A1466" s="344">
        <v>46023.0</v>
      </c>
      <c r="B1466" s="132">
        <v>46038.0</v>
      </c>
      <c r="C1466" s="327" t="s">
        <v>61</v>
      </c>
      <c r="D1466" s="315">
        <v>1.0</v>
      </c>
      <c r="E1466" s="316">
        <v>150.0</v>
      </c>
      <c r="F1466" s="316">
        <f t="shared" si="248"/>
        <v>150</v>
      </c>
      <c r="G1466" s="316">
        <f t="shared" si="250"/>
        <v>150</v>
      </c>
      <c r="H1466" s="317" t="b">
        <v>1</v>
      </c>
      <c r="I1466" s="334" t="s">
        <v>236</v>
      </c>
      <c r="J1466" s="321" t="s">
        <v>1184</v>
      </c>
      <c r="K1466" s="317" t="b">
        <v>0</v>
      </c>
      <c r="L1466" s="279" t="b">
        <v>1</v>
      </c>
    </row>
    <row r="1467" ht="14.25" hidden="1" customHeight="1" outlineLevel="1">
      <c r="A1467" s="344">
        <v>46023.0</v>
      </c>
      <c r="B1467" s="132">
        <v>46038.0</v>
      </c>
      <c r="C1467" s="327" t="s">
        <v>61</v>
      </c>
      <c r="D1467" s="315">
        <v>1.0</v>
      </c>
      <c r="E1467" s="316">
        <v>150.0</v>
      </c>
      <c r="F1467" s="316">
        <f t="shared" si="248"/>
        <v>150</v>
      </c>
      <c r="G1467" s="316">
        <f t="shared" si="250"/>
        <v>150</v>
      </c>
      <c r="H1467" s="317" t="b">
        <v>1</v>
      </c>
      <c r="I1467" s="143" t="s">
        <v>1062</v>
      </c>
      <c r="J1467" s="321" t="s">
        <v>1213</v>
      </c>
      <c r="K1467" s="317" t="b">
        <v>0</v>
      </c>
      <c r="L1467" s="279" t="b">
        <v>1</v>
      </c>
    </row>
    <row r="1468" ht="14.25" hidden="1" customHeight="1" outlineLevel="1">
      <c r="A1468" s="344">
        <v>46023.0</v>
      </c>
      <c r="B1468" s="132">
        <v>46040.0</v>
      </c>
      <c r="C1468" s="41" t="s">
        <v>61</v>
      </c>
      <c r="D1468" s="182">
        <v>1.0</v>
      </c>
      <c r="E1468" s="316">
        <v>200.0</v>
      </c>
      <c r="F1468" s="316">
        <v>200.0</v>
      </c>
      <c r="G1468" s="316">
        <v>200.0</v>
      </c>
      <c r="H1468" s="317" t="b">
        <v>1</v>
      </c>
      <c r="I1468" s="318" t="s">
        <v>490</v>
      </c>
      <c r="J1468" s="321" t="s">
        <v>1192</v>
      </c>
      <c r="K1468" s="279" t="b">
        <v>0</v>
      </c>
      <c r="L1468" s="279" t="b">
        <v>1</v>
      </c>
    </row>
    <row r="1469" ht="14.25" hidden="1" customHeight="1" outlineLevel="1">
      <c r="A1469" s="344">
        <v>46023.0</v>
      </c>
      <c r="B1469" s="132">
        <v>46040.0</v>
      </c>
      <c r="C1469" s="41" t="s">
        <v>61</v>
      </c>
      <c r="D1469" s="182">
        <v>1.0</v>
      </c>
      <c r="E1469" s="183">
        <v>200.0</v>
      </c>
      <c r="F1469" s="183">
        <v>200.0</v>
      </c>
      <c r="G1469" s="183">
        <v>200.0</v>
      </c>
      <c r="H1469" s="279" t="b">
        <v>1</v>
      </c>
      <c r="I1469" s="143" t="s">
        <v>980</v>
      </c>
      <c r="J1469" s="41" t="s">
        <v>1193</v>
      </c>
      <c r="K1469" s="279" t="b">
        <v>0</v>
      </c>
      <c r="L1469" s="279" t="b">
        <v>1</v>
      </c>
    </row>
    <row r="1470" ht="14.25" hidden="1" customHeight="1" outlineLevel="1">
      <c r="A1470" s="344">
        <v>46023.0</v>
      </c>
      <c r="B1470" s="132">
        <v>46040.0</v>
      </c>
      <c r="C1470" s="41" t="s">
        <v>61</v>
      </c>
      <c r="D1470" s="182">
        <v>1.0</v>
      </c>
      <c r="E1470" s="183">
        <v>200.0</v>
      </c>
      <c r="F1470" s="183">
        <v>200.0</v>
      </c>
      <c r="G1470" s="183">
        <v>200.0</v>
      </c>
      <c r="H1470" s="279" t="b">
        <v>1</v>
      </c>
      <c r="I1470" s="143" t="s">
        <v>342</v>
      </c>
      <c r="J1470" s="41" t="s">
        <v>1195</v>
      </c>
      <c r="K1470" s="279" t="b">
        <v>0</v>
      </c>
      <c r="L1470" s="279" t="b">
        <v>1</v>
      </c>
    </row>
    <row r="1471" ht="14.25" hidden="1" customHeight="1" outlineLevel="1">
      <c r="A1471" s="344">
        <v>46023.0</v>
      </c>
      <c r="B1471" s="132">
        <v>46040.0</v>
      </c>
      <c r="C1471" s="41" t="s">
        <v>315</v>
      </c>
      <c r="D1471" s="182">
        <v>1.0</v>
      </c>
      <c r="E1471" s="183">
        <v>49.99</v>
      </c>
      <c r="F1471" s="183">
        <f>D1471*E1471</f>
        <v>49.99</v>
      </c>
      <c r="G1471" s="183">
        <f>F1471</f>
        <v>49.99</v>
      </c>
      <c r="H1471" s="279" t="b">
        <v>0</v>
      </c>
      <c r="I1471" s="143" t="s">
        <v>1416</v>
      </c>
      <c r="J1471" s="41" t="s">
        <v>315</v>
      </c>
      <c r="K1471" s="279" t="b">
        <v>1</v>
      </c>
      <c r="L1471" s="279" t="b">
        <v>1</v>
      </c>
    </row>
    <row r="1472" ht="14.25" hidden="1" customHeight="1" outlineLevel="1">
      <c r="A1472" s="344">
        <v>46023.0</v>
      </c>
      <c r="B1472" s="132">
        <v>46041.0</v>
      </c>
      <c r="C1472" s="41" t="s">
        <v>61</v>
      </c>
      <c r="D1472" s="182">
        <v>1.0</v>
      </c>
      <c r="E1472" s="183">
        <v>150.0</v>
      </c>
      <c r="F1472" s="183">
        <v>150.0</v>
      </c>
      <c r="G1472" s="183">
        <v>150.0</v>
      </c>
      <c r="H1472" s="279" t="b">
        <v>1</v>
      </c>
      <c r="I1472" s="143" t="s">
        <v>1327</v>
      </c>
      <c r="J1472" s="41" t="s">
        <v>1691</v>
      </c>
      <c r="K1472" s="279" t="b">
        <v>0</v>
      </c>
      <c r="L1472" s="279" t="b">
        <v>1</v>
      </c>
    </row>
    <row r="1473" ht="14.25" hidden="1" customHeight="1" outlineLevel="1">
      <c r="A1473" s="344">
        <v>46023.0</v>
      </c>
      <c r="B1473" s="132">
        <v>46041.0</v>
      </c>
      <c r="C1473" s="41" t="s">
        <v>61</v>
      </c>
      <c r="D1473" s="182">
        <v>1.0</v>
      </c>
      <c r="E1473" s="183">
        <v>150.0</v>
      </c>
      <c r="F1473" s="183">
        <v>150.0</v>
      </c>
      <c r="G1473" s="183">
        <v>150.0</v>
      </c>
      <c r="H1473" s="279" t="b">
        <v>1</v>
      </c>
      <c r="I1473" s="143" t="s">
        <v>456</v>
      </c>
      <c r="J1473" s="41" t="s">
        <v>1322</v>
      </c>
      <c r="K1473" s="279" t="b">
        <v>0</v>
      </c>
      <c r="L1473" s="279" t="b">
        <v>1</v>
      </c>
    </row>
    <row r="1474" ht="14.25" hidden="1" customHeight="1" outlineLevel="1">
      <c r="A1474" s="344">
        <v>46023.0</v>
      </c>
      <c r="B1474" s="132">
        <v>46042.0</v>
      </c>
      <c r="C1474" s="327" t="s">
        <v>61</v>
      </c>
      <c r="D1474" s="315">
        <v>1.0</v>
      </c>
      <c r="E1474" s="316">
        <v>150.0</v>
      </c>
      <c r="F1474" s="316">
        <f t="shared" ref="F1474:F1482" si="251">D1474*E1474</f>
        <v>150</v>
      </c>
      <c r="G1474" s="316">
        <f t="shared" ref="G1474:G1482" si="252">F1474</f>
        <v>150</v>
      </c>
      <c r="H1474" s="317" t="b">
        <v>1</v>
      </c>
      <c r="I1474" s="334" t="s">
        <v>236</v>
      </c>
      <c r="J1474" s="321" t="s">
        <v>1198</v>
      </c>
      <c r="K1474" s="317" t="b">
        <v>0</v>
      </c>
      <c r="L1474" s="279" t="b">
        <v>1</v>
      </c>
    </row>
    <row r="1475" ht="14.25" hidden="1" customHeight="1" outlineLevel="1">
      <c r="A1475" s="344">
        <v>46023.0</v>
      </c>
      <c r="B1475" s="132">
        <v>46042.0</v>
      </c>
      <c r="C1475" s="327" t="s">
        <v>61</v>
      </c>
      <c r="D1475" s="315">
        <v>1.0</v>
      </c>
      <c r="E1475" s="316">
        <v>150.0</v>
      </c>
      <c r="F1475" s="316">
        <f t="shared" si="251"/>
        <v>150</v>
      </c>
      <c r="G1475" s="316">
        <f t="shared" si="252"/>
        <v>150</v>
      </c>
      <c r="H1475" s="317" t="b">
        <v>1</v>
      </c>
      <c r="I1475" s="143" t="s">
        <v>456</v>
      </c>
      <c r="J1475" s="321" t="s">
        <v>1199</v>
      </c>
      <c r="K1475" s="317" t="b">
        <v>0</v>
      </c>
      <c r="L1475" s="279" t="b">
        <v>1</v>
      </c>
    </row>
    <row r="1476" ht="14.25" hidden="1" customHeight="1" outlineLevel="1">
      <c r="A1476" s="344">
        <v>46023.0</v>
      </c>
      <c r="B1476" s="132">
        <v>46042.0</v>
      </c>
      <c r="C1476" s="41" t="s">
        <v>231</v>
      </c>
      <c r="D1476" s="182">
        <v>1.0</v>
      </c>
      <c r="E1476" s="183">
        <v>38.0</v>
      </c>
      <c r="F1476" s="183">
        <f t="shared" si="251"/>
        <v>38</v>
      </c>
      <c r="G1476" s="183">
        <f t="shared" si="252"/>
        <v>38</v>
      </c>
      <c r="H1476" s="279" t="b">
        <v>0</v>
      </c>
      <c r="I1476" s="143" t="s">
        <v>1711</v>
      </c>
      <c r="J1476" s="41" t="s">
        <v>1712</v>
      </c>
      <c r="K1476" s="279" t="b">
        <v>1</v>
      </c>
      <c r="L1476" s="279" t="b">
        <v>1</v>
      </c>
    </row>
    <row r="1477" ht="14.25" hidden="1" customHeight="1" outlineLevel="1">
      <c r="A1477" s="344">
        <v>46023.0</v>
      </c>
      <c r="B1477" s="132">
        <v>46043.0</v>
      </c>
      <c r="C1477" s="41" t="s">
        <v>680</v>
      </c>
      <c r="D1477" s="182">
        <v>1.0</v>
      </c>
      <c r="E1477" s="183">
        <v>21.99</v>
      </c>
      <c r="F1477" s="183">
        <f t="shared" si="251"/>
        <v>21.99</v>
      </c>
      <c r="G1477" s="183">
        <f t="shared" si="252"/>
        <v>21.99</v>
      </c>
      <c r="H1477" s="279" t="b">
        <v>0</v>
      </c>
      <c r="I1477" s="143" t="s">
        <v>1713</v>
      </c>
      <c r="J1477" s="41" t="s">
        <v>1714</v>
      </c>
      <c r="K1477" s="279" t="b">
        <v>1</v>
      </c>
      <c r="L1477" s="279" t="b">
        <v>1</v>
      </c>
    </row>
    <row r="1478" ht="14.25" hidden="1" customHeight="1" outlineLevel="1">
      <c r="A1478" s="344">
        <v>46023.0</v>
      </c>
      <c r="B1478" s="132">
        <v>46043.0</v>
      </c>
      <c r="C1478" s="327" t="s">
        <v>61</v>
      </c>
      <c r="D1478" s="315">
        <v>1.0</v>
      </c>
      <c r="E1478" s="316">
        <v>150.0</v>
      </c>
      <c r="F1478" s="316">
        <f t="shared" si="251"/>
        <v>150</v>
      </c>
      <c r="G1478" s="316">
        <f t="shared" si="252"/>
        <v>150</v>
      </c>
      <c r="H1478" s="317" t="b">
        <v>1</v>
      </c>
      <c r="I1478" s="143" t="s">
        <v>1062</v>
      </c>
      <c r="J1478" s="321" t="s">
        <v>1204</v>
      </c>
      <c r="K1478" s="317" t="b">
        <v>0</v>
      </c>
      <c r="L1478" s="279" t="b">
        <v>1</v>
      </c>
    </row>
    <row r="1479" ht="14.25" hidden="1" customHeight="1" outlineLevel="1">
      <c r="A1479" s="344">
        <v>46023.0</v>
      </c>
      <c r="B1479" s="132">
        <v>46044.0</v>
      </c>
      <c r="C1479" s="327" t="s">
        <v>61</v>
      </c>
      <c r="D1479" s="315">
        <v>1.0</v>
      </c>
      <c r="E1479" s="316">
        <v>150.0</v>
      </c>
      <c r="F1479" s="316">
        <f t="shared" si="251"/>
        <v>150</v>
      </c>
      <c r="G1479" s="316">
        <f t="shared" si="252"/>
        <v>150</v>
      </c>
      <c r="H1479" s="317" t="b">
        <v>1</v>
      </c>
      <c r="I1479" s="143" t="s">
        <v>980</v>
      </c>
      <c r="J1479" s="321" t="s">
        <v>1181</v>
      </c>
      <c r="K1479" s="317" t="b">
        <v>0</v>
      </c>
      <c r="L1479" s="279" t="b">
        <v>1</v>
      </c>
    </row>
    <row r="1480" ht="14.25" hidden="1" customHeight="1" outlineLevel="1">
      <c r="A1480" s="344">
        <v>46023.0</v>
      </c>
      <c r="B1480" s="132">
        <v>46045.0</v>
      </c>
      <c r="C1480" s="327" t="s">
        <v>61</v>
      </c>
      <c r="D1480" s="315">
        <v>1.0</v>
      </c>
      <c r="E1480" s="316">
        <v>150.0</v>
      </c>
      <c r="F1480" s="316">
        <f t="shared" si="251"/>
        <v>150</v>
      </c>
      <c r="G1480" s="316">
        <f t="shared" si="252"/>
        <v>150</v>
      </c>
      <c r="H1480" s="317" t="b">
        <v>1</v>
      </c>
      <c r="I1480" s="334" t="s">
        <v>236</v>
      </c>
      <c r="J1480" s="321" t="s">
        <v>1184</v>
      </c>
      <c r="K1480" s="317" t="b">
        <v>0</v>
      </c>
      <c r="L1480" s="279" t="b">
        <v>1</v>
      </c>
    </row>
    <row r="1481" ht="14.25" hidden="1" customHeight="1" outlineLevel="1">
      <c r="A1481" s="344">
        <v>46023.0</v>
      </c>
      <c r="B1481" s="132">
        <v>46045.0</v>
      </c>
      <c r="C1481" s="327" t="s">
        <v>61</v>
      </c>
      <c r="D1481" s="315">
        <v>1.0</v>
      </c>
      <c r="E1481" s="316">
        <v>150.0</v>
      </c>
      <c r="F1481" s="316">
        <f t="shared" si="251"/>
        <v>150</v>
      </c>
      <c r="G1481" s="316">
        <f t="shared" si="252"/>
        <v>150</v>
      </c>
      <c r="H1481" s="317" t="b">
        <v>1</v>
      </c>
      <c r="I1481" s="143" t="s">
        <v>1062</v>
      </c>
      <c r="J1481" s="321" t="s">
        <v>1213</v>
      </c>
      <c r="K1481" s="317" t="b">
        <v>0</v>
      </c>
      <c r="L1481" s="279" t="b">
        <v>1</v>
      </c>
    </row>
    <row r="1482" ht="14.25" hidden="1" customHeight="1" outlineLevel="1">
      <c r="A1482" s="344">
        <v>46023.0</v>
      </c>
      <c r="B1482" s="132">
        <v>46045.0</v>
      </c>
      <c r="C1482" s="41" t="s">
        <v>80</v>
      </c>
      <c r="D1482" s="182">
        <v>2.0</v>
      </c>
      <c r="E1482" s="183">
        <v>15.0</v>
      </c>
      <c r="F1482" s="183">
        <f t="shared" si="251"/>
        <v>30</v>
      </c>
      <c r="G1482" s="183">
        <f t="shared" si="252"/>
        <v>30</v>
      </c>
      <c r="H1482" s="279" t="b">
        <v>0</v>
      </c>
      <c r="I1482" s="143" t="s">
        <v>481</v>
      </c>
      <c r="J1482" s="41" t="s">
        <v>1013</v>
      </c>
      <c r="K1482" s="279" t="b">
        <v>1</v>
      </c>
      <c r="L1482" s="279" t="b">
        <v>1</v>
      </c>
    </row>
    <row r="1483" ht="14.25" hidden="1" customHeight="1" outlineLevel="1">
      <c r="A1483" s="344">
        <v>46023.0</v>
      </c>
      <c r="B1483" s="132">
        <v>46047.0</v>
      </c>
      <c r="C1483" s="41" t="s">
        <v>61</v>
      </c>
      <c r="D1483" s="182">
        <v>1.0</v>
      </c>
      <c r="E1483" s="316">
        <v>200.0</v>
      </c>
      <c r="F1483" s="316">
        <v>200.0</v>
      </c>
      <c r="G1483" s="316">
        <v>200.0</v>
      </c>
      <c r="H1483" s="317" t="b">
        <v>1</v>
      </c>
      <c r="I1483" s="318" t="s">
        <v>490</v>
      </c>
      <c r="J1483" s="321" t="s">
        <v>1192</v>
      </c>
      <c r="K1483" s="279" t="b">
        <v>0</v>
      </c>
      <c r="L1483" s="279" t="b">
        <v>1</v>
      </c>
    </row>
    <row r="1484" ht="14.25" hidden="1" customHeight="1" outlineLevel="1">
      <c r="A1484" s="344">
        <v>46023.0</v>
      </c>
      <c r="B1484" s="132">
        <v>46047.0</v>
      </c>
      <c r="C1484" s="41" t="s">
        <v>61</v>
      </c>
      <c r="D1484" s="182">
        <v>1.0</v>
      </c>
      <c r="E1484" s="183">
        <v>200.0</v>
      </c>
      <c r="F1484" s="183">
        <v>200.0</v>
      </c>
      <c r="G1484" s="183">
        <v>200.0</v>
      </c>
      <c r="H1484" s="279" t="b">
        <v>1</v>
      </c>
      <c r="I1484" s="143" t="s">
        <v>980</v>
      </c>
      <c r="J1484" s="41" t="s">
        <v>1193</v>
      </c>
      <c r="K1484" s="279" t="b">
        <v>0</v>
      </c>
      <c r="L1484" s="279" t="b">
        <v>1</v>
      </c>
    </row>
    <row r="1485" ht="14.25" hidden="1" customHeight="1" outlineLevel="1">
      <c r="A1485" s="344">
        <v>46023.0</v>
      </c>
      <c r="B1485" s="132">
        <v>46047.0</v>
      </c>
      <c r="C1485" s="41" t="s">
        <v>61</v>
      </c>
      <c r="D1485" s="182">
        <v>1.0</v>
      </c>
      <c r="E1485" s="183">
        <v>200.0</v>
      </c>
      <c r="F1485" s="183">
        <v>200.0</v>
      </c>
      <c r="G1485" s="183">
        <v>200.0</v>
      </c>
      <c r="H1485" s="279" t="b">
        <v>1</v>
      </c>
      <c r="I1485" s="143" t="s">
        <v>296</v>
      </c>
      <c r="J1485" s="41" t="s">
        <v>1195</v>
      </c>
      <c r="K1485" s="279" t="b">
        <v>0</v>
      </c>
      <c r="L1485" s="279" t="b">
        <v>1</v>
      </c>
    </row>
    <row r="1486" ht="14.25" hidden="1" customHeight="1" outlineLevel="1">
      <c r="A1486" s="344">
        <v>46023.0</v>
      </c>
      <c r="B1486" s="132">
        <v>46047.0</v>
      </c>
      <c r="C1486" s="41" t="s">
        <v>84</v>
      </c>
      <c r="D1486" s="182">
        <v>5.0</v>
      </c>
      <c r="E1486" s="183">
        <v>8.49</v>
      </c>
      <c r="F1486" s="183">
        <f>D1486*E1486</f>
        <v>42.45</v>
      </c>
      <c r="G1486" s="183">
        <f>F1486</f>
        <v>42.45</v>
      </c>
      <c r="H1486" s="279" t="b">
        <v>0</v>
      </c>
      <c r="I1486" s="143" t="s">
        <v>86</v>
      </c>
      <c r="J1486" s="41" t="s">
        <v>1717</v>
      </c>
      <c r="K1486" s="279" t="b">
        <v>1</v>
      </c>
      <c r="L1486" s="279" t="b">
        <v>1</v>
      </c>
    </row>
    <row r="1487" ht="14.25" hidden="1" customHeight="1" outlineLevel="1">
      <c r="A1487" s="344">
        <v>46023.0</v>
      </c>
      <c r="B1487" s="132">
        <v>46048.0</v>
      </c>
      <c r="C1487" s="41" t="s">
        <v>61</v>
      </c>
      <c r="D1487" s="182">
        <v>1.0</v>
      </c>
      <c r="E1487" s="183">
        <v>150.0</v>
      </c>
      <c r="F1487" s="183">
        <v>150.0</v>
      </c>
      <c r="G1487" s="183">
        <v>150.0</v>
      </c>
      <c r="H1487" s="279" t="b">
        <v>1</v>
      </c>
      <c r="I1487" s="143" t="s">
        <v>1327</v>
      </c>
      <c r="J1487" s="41" t="s">
        <v>1691</v>
      </c>
      <c r="K1487" s="279" t="b">
        <v>0</v>
      </c>
      <c r="L1487" s="279" t="b">
        <v>1</v>
      </c>
    </row>
    <row r="1488" ht="14.25" hidden="1" customHeight="1" outlineLevel="1">
      <c r="A1488" s="344">
        <v>46023.0</v>
      </c>
      <c r="B1488" s="132">
        <v>46048.0</v>
      </c>
      <c r="C1488" s="41" t="s">
        <v>61</v>
      </c>
      <c r="D1488" s="182">
        <v>1.0</v>
      </c>
      <c r="E1488" s="183">
        <v>150.0</v>
      </c>
      <c r="F1488" s="183">
        <v>150.0</v>
      </c>
      <c r="G1488" s="183">
        <v>150.0</v>
      </c>
      <c r="H1488" s="279" t="b">
        <v>1</v>
      </c>
      <c r="I1488" s="143" t="s">
        <v>456</v>
      </c>
      <c r="J1488" s="41" t="s">
        <v>1322</v>
      </c>
      <c r="K1488" s="279" t="b">
        <v>0</v>
      </c>
      <c r="L1488" s="279" t="b">
        <v>1</v>
      </c>
    </row>
    <row r="1489" ht="14.25" hidden="1" customHeight="1" outlineLevel="1">
      <c r="A1489" s="344">
        <v>46023.0</v>
      </c>
      <c r="B1489" s="132">
        <v>46048.0</v>
      </c>
      <c r="C1489" s="41" t="s">
        <v>231</v>
      </c>
      <c r="D1489" s="182">
        <v>4.0</v>
      </c>
      <c r="E1489" s="183">
        <v>22.0</v>
      </c>
      <c r="F1489" s="183">
        <f t="shared" ref="F1489:F1492" si="253">D1489*E1489</f>
        <v>88</v>
      </c>
      <c r="G1489" s="183">
        <f t="shared" ref="G1489:G1492" si="254">F1489</f>
        <v>88</v>
      </c>
      <c r="H1489" s="279" t="b">
        <v>0</v>
      </c>
      <c r="I1489" s="143" t="s">
        <v>225</v>
      </c>
      <c r="J1489" s="42" t="s">
        <v>1720</v>
      </c>
      <c r="K1489" s="279" t="b">
        <v>1</v>
      </c>
      <c r="L1489" s="279" t="b">
        <v>1</v>
      </c>
    </row>
    <row r="1490" ht="14.25" hidden="1" customHeight="1" outlineLevel="1">
      <c r="A1490" s="344">
        <v>46023.0</v>
      </c>
      <c r="B1490" s="132">
        <v>46049.0</v>
      </c>
      <c r="C1490" s="327" t="s">
        <v>61</v>
      </c>
      <c r="D1490" s="315">
        <v>1.0</v>
      </c>
      <c r="E1490" s="316">
        <v>150.0</v>
      </c>
      <c r="F1490" s="316">
        <f t="shared" si="253"/>
        <v>150</v>
      </c>
      <c r="G1490" s="316">
        <f t="shared" si="254"/>
        <v>150</v>
      </c>
      <c r="H1490" s="317" t="b">
        <v>1</v>
      </c>
      <c r="I1490" s="334" t="s">
        <v>236</v>
      </c>
      <c r="J1490" s="321" t="s">
        <v>1198</v>
      </c>
      <c r="K1490" s="317" t="b">
        <v>0</v>
      </c>
      <c r="L1490" s="279" t="b">
        <v>1</v>
      </c>
    </row>
    <row r="1491" ht="14.25" hidden="1" customHeight="1" outlineLevel="1">
      <c r="A1491" s="344">
        <v>46023.0</v>
      </c>
      <c r="B1491" s="132">
        <v>46049.0</v>
      </c>
      <c r="C1491" s="327" t="s">
        <v>61</v>
      </c>
      <c r="D1491" s="315">
        <v>1.0</v>
      </c>
      <c r="E1491" s="316">
        <v>150.0</v>
      </c>
      <c r="F1491" s="316">
        <f t="shared" si="253"/>
        <v>150</v>
      </c>
      <c r="G1491" s="316">
        <f t="shared" si="254"/>
        <v>150</v>
      </c>
      <c r="H1491" s="317" t="b">
        <v>1</v>
      </c>
      <c r="I1491" s="143" t="s">
        <v>456</v>
      </c>
      <c r="J1491" s="321" t="s">
        <v>1199</v>
      </c>
      <c r="K1491" s="317" t="b">
        <v>0</v>
      </c>
      <c r="L1491" s="279" t="b">
        <v>1</v>
      </c>
    </row>
    <row r="1492" ht="14.25" hidden="1" customHeight="1" outlineLevel="1">
      <c r="A1492" s="344">
        <v>46023.0</v>
      </c>
      <c r="B1492" s="132">
        <v>46050.0</v>
      </c>
      <c r="C1492" s="327" t="s">
        <v>61</v>
      </c>
      <c r="D1492" s="315">
        <v>1.0</v>
      </c>
      <c r="E1492" s="316">
        <v>150.0</v>
      </c>
      <c r="F1492" s="316">
        <f t="shared" si="253"/>
        <v>150</v>
      </c>
      <c r="G1492" s="316">
        <f t="shared" si="254"/>
        <v>150</v>
      </c>
      <c r="H1492" s="317" t="b">
        <v>1</v>
      </c>
      <c r="I1492" s="143" t="s">
        <v>1062</v>
      </c>
      <c r="J1492" s="321" t="s">
        <v>1204</v>
      </c>
      <c r="K1492" s="317" t="b">
        <v>0</v>
      </c>
      <c r="L1492" s="279" t="b">
        <v>1</v>
      </c>
    </row>
    <row r="1493" ht="14.25" hidden="1" customHeight="1" outlineLevel="1">
      <c r="A1493" s="344">
        <v>46023.0</v>
      </c>
      <c r="B1493" s="132">
        <v>46050.0</v>
      </c>
      <c r="C1493" s="41" t="s">
        <v>231</v>
      </c>
      <c r="D1493" s="67">
        <v>1.0</v>
      </c>
      <c r="E1493" s="69">
        <v>585.0</v>
      </c>
      <c r="F1493" s="69">
        <v>585.0</v>
      </c>
      <c r="G1493" s="69">
        <v>585.0</v>
      </c>
      <c r="H1493" s="279" t="b">
        <v>0</v>
      </c>
      <c r="I1493" s="157" t="s">
        <v>1723</v>
      </c>
      <c r="J1493" s="42" t="s">
        <v>1724</v>
      </c>
      <c r="K1493" s="279" t="b">
        <v>1</v>
      </c>
      <c r="L1493" s="279" t="b">
        <v>1</v>
      </c>
    </row>
    <row r="1494" ht="14.25" hidden="1" customHeight="1" outlineLevel="1">
      <c r="A1494" s="344">
        <v>46023.0</v>
      </c>
      <c r="B1494" s="132">
        <v>46051.0</v>
      </c>
      <c r="C1494" s="327" t="s">
        <v>61</v>
      </c>
      <c r="D1494" s="315">
        <v>1.0</v>
      </c>
      <c r="E1494" s="316">
        <v>150.0</v>
      </c>
      <c r="F1494" s="316">
        <f t="shared" ref="F1494:F1500" si="255">D1494*E1494</f>
        <v>150</v>
      </c>
      <c r="G1494" s="316">
        <f t="shared" ref="G1494:G1500" si="256">F1494</f>
        <v>150</v>
      </c>
      <c r="H1494" s="317" t="b">
        <v>1</v>
      </c>
      <c r="I1494" s="143" t="s">
        <v>980</v>
      </c>
      <c r="J1494" s="321" t="s">
        <v>1181</v>
      </c>
      <c r="K1494" s="317" t="b">
        <v>0</v>
      </c>
      <c r="L1494" s="279" t="b">
        <v>1</v>
      </c>
    </row>
    <row r="1495" ht="14.25" hidden="1" customHeight="1" outlineLevel="1">
      <c r="A1495" s="344">
        <v>46023.0</v>
      </c>
      <c r="B1495" s="132">
        <v>46051.0</v>
      </c>
      <c r="C1495" s="41" t="s">
        <v>171</v>
      </c>
      <c r="D1495" s="182">
        <v>1.0</v>
      </c>
      <c r="E1495" s="183">
        <v>463.0</v>
      </c>
      <c r="F1495" s="183">
        <f t="shared" si="255"/>
        <v>463</v>
      </c>
      <c r="G1495" s="183">
        <f t="shared" si="256"/>
        <v>463</v>
      </c>
      <c r="H1495" s="279" t="b">
        <v>0</v>
      </c>
      <c r="I1495" s="143" t="s">
        <v>1697</v>
      </c>
      <c r="J1495" s="41" t="s">
        <v>1725</v>
      </c>
      <c r="K1495" s="279" t="b">
        <v>0</v>
      </c>
      <c r="L1495" s="279" t="b">
        <v>0</v>
      </c>
    </row>
    <row r="1496" ht="14.25" hidden="1" customHeight="1" outlineLevel="1">
      <c r="A1496" s="344">
        <v>46023.0</v>
      </c>
      <c r="B1496" s="132">
        <v>46052.0</v>
      </c>
      <c r="C1496" s="41" t="s">
        <v>61</v>
      </c>
      <c r="D1496" s="182">
        <v>1.0</v>
      </c>
      <c r="E1496" s="183">
        <v>3300.0</v>
      </c>
      <c r="F1496" s="183">
        <f t="shared" si="255"/>
        <v>3300</v>
      </c>
      <c r="G1496" s="183">
        <f t="shared" si="256"/>
        <v>3300</v>
      </c>
      <c r="H1496" s="279" t="b">
        <v>1</v>
      </c>
      <c r="I1496" s="143" t="s">
        <v>1726</v>
      </c>
      <c r="J1496" s="41" t="s">
        <v>1727</v>
      </c>
      <c r="K1496" s="279" t="b">
        <v>0</v>
      </c>
      <c r="L1496" s="279" t="b">
        <v>1</v>
      </c>
    </row>
    <row r="1497" ht="14.25" hidden="1" customHeight="1" outlineLevel="1">
      <c r="A1497" s="344">
        <v>46023.0</v>
      </c>
      <c r="B1497" s="132">
        <v>46052.0</v>
      </c>
      <c r="C1497" s="327" t="s">
        <v>61</v>
      </c>
      <c r="D1497" s="315">
        <v>1.0</v>
      </c>
      <c r="E1497" s="316">
        <v>150.0</v>
      </c>
      <c r="F1497" s="316">
        <f t="shared" si="255"/>
        <v>150</v>
      </c>
      <c r="G1497" s="316">
        <f t="shared" si="256"/>
        <v>150</v>
      </c>
      <c r="H1497" s="317" t="b">
        <v>1</v>
      </c>
      <c r="I1497" s="334" t="s">
        <v>236</v>
      </c>
      <c r="J1497" s="321" t="s">
        <v>1184</v>
      </c>
      <c r="K1497" s="317" t="b">
        <v>0</v>
      </c>
      <c r="L1497" s="279" t="b">
        <v>1</v>
      </c>
    </row>
    <row r="1498" ht="14.25" hidden="1" customHeight="1" outlineLevel="1">
      <c r="A1498" s="344">
        <v>46023.0</v>
      </c>
      <c r="B1498" s="132">
        <v>46052.0</v>
      </c>
      <c r="C1498" s="327" t="s">
        <v>61</v>
      </c>
      <c r="D1498" s="315">
        <v>1.0</v>
      </c>
      <c r="E1498" s="316">
        <v>150.0</v>
      </c>
      <c r="F1498" s="316">
        <f t="shared" si="255"/>
        <v>150</v>
      </c>
      <c r="G1498" s="316">
        <f t="shared" si="256"/>
        <v>150</v>
      </c>
      <c r="H1498" s="317" t="b">
        <v>1</v>
      </c>
      <c r="I1498" s="143" t="s">
        <v>1062</v>
      </c>
      <c r="J1498" s="321" t="s">
        <v>1213</v>
      </c>
      <c r="K1498" s="317" t="b">
        <v>0</v>
      </c>
      <c r="L1498" s="279" t="b">
        <v>1</v>
      </c>
    </row>
    <row r="1499" ht="14.25" hidden="1" customHeight="1" outlineLevel="1">
      <c r="A1499" s="344">
        <v>46023.0</v>
      </c>
      <c r="B1499" s="132">
        <v>46052.0</v>
      </c>
      <c r="C1499" s="41" t="s">
        <v>93</v>
      </c>
      <c r="D1499" s="182">
        <v>1.0</v>
      </c>
      <c r="E1499" s="183">
        <v>125.85</v>
      </c>
      <c r="F1499" s="183">
        <f t="shared" si="255"/>
        <v>125.85</v>
      </c>
      <c r="G1499" s="183">
        <f t="shared" si="256"/>
        <v>125.85</v>
      </c>
      <c r="H1499" s="279" t="b">
        <v>0</v>
      </c>
      <c r="I1499" s="143" t="s">
        <v>1556</v>
      </c>
      <c r="J1499" s="41" t="s">
        <v>93</v>
      </c>
      <c r="K1499" s="279" t="b">
        <v>1</v>
      </c>
      <c r="L1499" s="279" t="b">
        <v>1</v>
      </c>
    </row>
    <row r="1500" ht="14.25" hidden="1" customHeight="1" outlineLevel="1">
      <c r="A1500" s="344">
        <v>46023.0</v>
      </c>
      <c r="B1500" s="132">
        <v>46053.0</v>
      </c>
      <c r="C1500" s="41" t="s">
        <v>55</v>
      </c>
      <c r="D1500" s="182">
        <v>8.0</v>
      </c>
      <c r="E1500" s="183">
        <v>18.9</v>
      </c>
      <c r="F1500" s="183">
        <f t="shared" si="255"/>
        <v>151.2</v>
      </c>
      <c r="G1500" s="183">
        <f t="shared" si="256"/>
        <v>151.2</v>
      </c>
      <c r="H1500" s="279" t="b">
        <v>0</v>
      </c>
      <c r="I1500" s="143" t="s">
        <v>1610</v>
      </c>
      <c r="J1500" s="41" t="s">
        <v>1083</v>
      </c>
      <c r="K1500" s="279" t="b">
        <v>1</v>
      </c>
      <c r="L1500" s="279" t="b">
        <v>1</v>
      </c>
    </row>
    <row r="1501" ht="14.25" customHeight="1">
      <c r="A1501" s="180" t="s">
        <v>192</v>
      </c>
      <c r="B1501" s="27"/>
      <c r="C1501" s="27"/>
      <c r="D1501" s="27"/>
      <c r="E1501" s="28"/>
      <c r="F1501" s="181">
        <f t="shared" ref="F1501:G1501" si="257">SUM(F1436:F1500)</f>
        <v>13328.74</v>
      </c>
      <c r="G1501" s="181">
        <f t="shared" si="257"/>
        <v>13328.74</v>
      </c>
    </row>
    <row r="1502" ht="14.25" customHeight="1" collapsed="1">
      <c r="A1502" s="245" t="s">
        <v>1441</v>
      </c>
      <c r="B1502" s="246"/>
      <c r="C1502" s="246"/>
      <c r="D1502" s="246"/>
      <c r="E1502" s="246"/>
      <c r="F1502" s="246"/>
      <c r="G1502" s="246"/>
      <c r="H1502" s="246"/>
      <c r="I1502" s="246"/>
      <c r="J1502" s="247"/>
    </row>
    <row r="1503" ht="14.25" hidden="1" customHeight="1" outlineLevel="1">
      <c r="A1503" s="344">
        <v>46054.0</v>
      </c>
      <c r="B1503" s="132">
        <v>46054.0</v>
      </c>
      <c r="C1503" s="41" t="s">
        <v>61</v>
      </c>
      <c r="D1503" s="182">
        <v>1.0</v>
      </c>
      <c r="E1503" s="316">
        <v>200.0</v>
      </c>
      <c r="F1503" s="316">
        <v>200.0</v>
      </c>
      <c r="G1503" s="316">
        <v>200.0</v>
      </c>
      <c r="H1503" s="317" t="b">
        <v>1</v>
      </c>
      <c r="I1503" s="318" t="s">
        <v>490</v>
      </c>
      <c r="J1503" s="321" t="s">
        <v>1192</v>
      </c>
      <c r="K1503" s="279" t="b">
        <v>0</v>
      </c>
      <c r="L1503" s="279" t="b">
        <v>1</v>
      </c>
    </row>
    <row r="1504" ht="14.25" hidden="1" customHeight="1" outlineLevel="1">
      <c r="A1504" s="344">
        <v>46054.0</v>
      </c>
      <c r="B1504" s="132">
        <v>46054.0</v>
      </c>
      <c r="C1504" s="41" t="s">
        <v>61</v>
      </c>
      <c r="D1504" s="182">
        <v>1.0</v>
      </c>
      <c r="E1504" s="183">
        <v>200.0</v>
      </c>
      <c r="F1504" s="183">
        <v>200.0</v>
      </c>
      <c r="G1504" s="183">
        <v>200.0</v>
      </c>
      <c r="H1504" s="279" t="b">
        <v>1</v>
      </c>
      <c r="I1504" s="143" t="s">
        <v>980</v>
      </c>
      <c r="J1504" s="41" t="s">
        <v>1193</v>
      </c>
      <c r="K1504" s="279" t="b">
        <v>0</v>
      </c>
      <c r="L1504" s="279" t="b">
        <v>1</v>
      </c>
    </row>
    <row r="1505" ht="14.25" hidden="1" customHeight="1" outlineLevel="1">
      <c r="A1505" s="344">
        <v>46054.0</v>
      </c>
      <c r="B1505" s="132">
        <v>46054.0</v>
      </c>
      <c r="C1505" s="41" t="s">
        <v>61</v>
      </c>
      <c r="D1505" s="182">
        <v>1.0</v>
      </c>
      <c r="E1505" s="183">
        <v>200.0</v>
      </c>
      <c r="F1505" s="183">
        <v>200.0</v>
      </c>
      <c r="G1505" s="183">
        <v>200.0</v>
      </c>
      <c r="H1505" s="279" t="b">
        <v>1</v>
      </c>
      <c r="I1505" s="143" t="s">
        <v>296</v>
      </c>
      <c r="J1505" s="41" t="s">
        <v>1195</v>
      </c>
      <c r="K1505" s="279" t="b">
        <v>0</v>
      </c>
      <c r="L1505" s="279" t="b">
        <v>1</v>
      </c>
    </row>
    <row r="1506" ht="14.25" hidden="1" customHeight="1" outlineLevel="1">
      <c r="A1506" s="344">
        <v>46054.0</v>
      </c>
      <c r="B1506" s="132">
        <v>46055.0</v>
      </c>
      <c r="C1506" s="41" t="s">
        <v>61</v>
      </c>
      <c r="D1506" s="182">
        <v>1.0</v>
      </c>
      <c r="E1506" s="183">
        <v>150.0</v>
      </c>
      <c r="F1506" s="183">
        <v>150.0</v>
      </c>
      <c r="G1506" s="183">
        <v>150.0</v>
      </c>
      <c r="H1506" s="279" t="b">
        <v>1</v>
      </c>
      <c r="I1506" s="143" t="s">
        <v>1327</v>
      </c>
      <c r="J1506" s="41" t="s">
        <v>1691</v>
      </c>
      <c r="K1506" s="279" t="b">
        <v>0</v>
      </c>
      <c r="L1506" s="279" t="b">
        <v>1</v>
      </c>
    </row>
    <row r="1507" ht="14.25" hidden="1" customHeight="1" outlineLevel="1">
      <c r="A1507" s="344">
        <v>46054.0</v>
      </c>
      <c r="B1507" s="132">
        <v>46055.0</v>
      </c>
      <c r="C1507" s="41" t="s">
        <v>61</v>
      </c>
      <c r="D1507" s="182">
        <v>1.0</v>
      </c>
      <c r="E1507" s="183">
        <v>150.0</v>
      </c>
      <c r="F1507" s="183">
        <v>150.0</v>
      </c>
      <c r="G1507" s="183">
        <v>150.0</v>
      </c>
      <c r="H1507" s="279" t="b">
        <v>1</v>
      </c>
      <c r="I1507" s="143" t="s">
        <v>456</v>
      </c>
      <c r="J1507" s="41" t="s">
        <v>1322</v>
      </c>
      <c r="K1507" s="279" t="b">
        <v>0</v>
      </c>
      <c r="L1507" s="279" t="b">
        <v>1</v>
      </c>
    </row>
    <row r="1508" ht="14.25" hidden="1" customHeight="1" outlineLevel="1">
      <c r="A1508" s="344">
        <v>46054.0</v>
      </c>
      <c r="B1508" s="132">
        <v>46056.0</v>
      </c>
      <c r="C1508" s="327" t="s">
        <v>61</v>
      </c>
      <c r="D1508" s="315">
        <v>1.0</v>
      </c>
      <c r="E1508" s="316">
        <v>150.0</v>
      </c>
      <c r="F1508" s="316">
        <f t="shared" ref="F1508:F1510" si="258">D1508*E1508</f>
        <v>150</v>
      </c>
      <c r="G1508" s="316">
        <f t="shared" ref="G1508:G1510" si="259">F1508</f>
        <v>150</v>
      </c>
      <c r="H1508" s="317" t="b">
        <v>1</v>
      </c>
      <c r="I1508" s="334" t="s">
        <v>236</v>
      </c>
      <c r="J1508" s="321" t="s">
        <v>1198</v>
      </c>
      <c r="K1508" s="317" t="b">
        <v>0</v>
      </c>
      <c r="L1508" s="279" t="b">
        <v>1</v>
      </c>
    </row>
    <row r="1509" ht="14.25" hidden="1" customHeight="1" outlineLevel="1">
      <c r="A1509" s="344">
        <v>46054.0</v>
      </c>
      <c r="B1509" s="132">
        <v>46056.0</v>
      </c>
      <c r="C1509" s="327" t="s">
        <v>61</v>
      </c>
      <c r="D1509" s="315">
        <v>1.0</v>
      </c>
      <c r="E1509" s="316">
        <v>150.0</v>
      </c>
      <c r="F1509" s="316">
        <f t="shared" si="258"/>
        <v>150</v>
      </c>
      <c r="G1509" s="316">
        <f t="shared" si="259"/>
        <v>150</v>
      </c>
      <c r="H1509" s="317" t="b">
        <v>1</v>
      </c>
      <c r="I1509" s="143" t="s">
        <v>456</v>
      </c>
      <c r="J1509" s="321" t="s">
        <v>1199</v>
      </c>
      <c r="K1509" s="317" t="b">
        <v>0</v>
      </c>
      <c r="L1509" s="279" t="b">
        <v>1</v>
      </c>
    </row>
    <row r="1510" ht="14.25" hidden="1" customHeight="1" outlineLevel="1">
      <c r="A1510" s="344">
        <v>46054.0</v>
      </c>
      <c r="B1510" s="132">
        <v>46057.0</v>
      </c>
      <c r="C1510" s="327" t="s">
        <v>61</v>
      </c>
      <c r="D1510" s="315">
        <v>1.0</v>
      </c>
      <c r="E1510" s="316">
        <v>150.0</v>
      </c>
      <c r="F1510" s="316">
        <f t="shared" si="258"/>
        <v>150</v>
      </c>
      <c r="G1510" s="316">
        <f t="shared" si="259"/>
        <v>150</v>
      </c>
      <c r="H1510" s="317" t="b">
        <v>1</v>
      </c>
      <c r="I1510" s="143" t="s">
        <v>1062</v>
      </c>
      <c r="J1510" s="321" t="s">
        <v>1204</v>
      </c>
      <c r="K1510" s="317" t="b">
        <v>0</v>
      </c>
      <c r="L1510" s="279" t="b">
        <v>1</v>
      </c>
    </row>
    <row r="1511" ht="14.25" hidden="1" customHeight="1" outlineLevel="1">
      <c r="A1511" s="344">
        <v>46054.0</v>
      </c>
      <c r="B1511" s="132">
        <v>46057.0</v>
      </c>
      <c r="C1511" s="41" t="s">
        <v>97</v>
      </c>
      <c r="D1511" s="67">
        <v>1.0</v>
      </c>
      <c r="E1511" s="69">
        <v>94.5</v>
      </c>
      <c r="F1511" s="69">
        <v>94.5</v>
      </c>
      <c r="G1511" s="69">
        <v>94.5</v>
      </c>
      <c r="H1511" s="279" t="b">
        <v>0</v>
      </c>
      <c r="I1511" s="143" t="s">
        <v>1733</v>
      </c>
      <c r="J1511" s="42" t="s">
        <v>1734</v>
      </c>
      <c r="K1511" s="279" t="b">
        <v>0</v>
      </c>
      <c r="L1511" s="279" t="b">
        <v>1</v>
      </c>
    </row>
    <row r="1512" ht="14.25" hidden="1" customHeight="1" outlineLevel="1">
      <c r="A1512" s="344">
        <v>46054.0</v>
      </c>
      <c r="B1512" s="132">
        <v>46058.0</v>
      </c>
      <c r="C1512" s="327" t="s">
        <v>61</v>
      </c>
      <c r="D1512" s="315">
        <v>1.0</v>
      </c>
      <c r="E1512" s="316">
        <v>150.0</v>
      </c>
      <c r="F1512" s="316">
        <f t="shared" ref="F1512:F1516" si="260">D1512*E1512</f>
        <v>150</v>
      </c>
      <c r="G1512" s="316">
        <f t="shared" ref="G1512:G1516" si="261">F1512</f>
        <v>150</v>
      </c>
      <c r="H1512" s="317" t="b">
        <v>1</v>
      </c>
      <c r="I1512" s="143" t="s">
        <v>980</v>
      </c>
      <c r="J1512" s="321" t="s">
        <v>1181</v>
      </c>
      <c r="K1512" s="317" t="b">
        <v>0</v>
      </c>
      <c r="L1512" s="279" t="b">
        <v>1</v>
      </c>
    </row>
    <row r="1513" ht="14.25" hidden="1" customHeight="1" outlineLevel="1">
      <c r="A1513" s="344">
        <v>46054.0</v>
      </c>
      <c r="B1513" s="132">
        <v>46059.0</v>
      </c>
      <c r="C1513" s="327" t="s">
        <v>61</v>
      </c>
      <c r="D1513" s="315">
        <v>1.0</v>
      </c>
      <c r="E1513" s="316">
        <v>150.0</v>
      </c>
      <c r="F1513" s="316">
        <f t="shared" si="260"/>
        <v>150</v>
      </c>
      <c r="G1513" s="316">
        <f t="shared" si="261"/>
        <v>150</v>
      </c>
      <c r="H1513" s="317" t="b">
        <v>1</v>
      </c>
      <c r="I1513" s="334" t="s">
        <v>236</v>
      </c>
      <c r="J1513" s="321" t="s">
        <v>1184</v>
      </c>
      <c r="K1513" s="317" t="b">
        <v>0</v>
      </c>
      <c r="L1513" s="279" t="b">
        <v>1</v>
      </c>
    </row>
    <row r="1514" ht="14.25" hidden="1" customHeight="1" outlineLevel="1">
      <c r="A1514" s="344">
        <v>46054.0</v>
      </c>
      <c r="B1514" s="132">
        <v>46059.0</v>
      </c>
      <c r="C1514" s="327" t="s">
        <v>61</v>
      </c>
      <c r="D1514" s="315">
        <v>1.0</v>
      </c>
      <c r="E1514" s="316">
        <v>150.0</v>
      </c>
      <c r="F1514" s="316">
        <f t="shared" si="260"/>
        <v>150</v>
      </c>
      <c r="G1514" s="316">
        <f t="shared" si="261"/>
        <v>150</v>
      </c>
      <c r="H1514" s="317" t="b">
        <v>1</v>
      </c>
      <c r="I1514" s="143" t="s">
        <v>1062</v>
      </c>
      <c r="J1514" s="321" t="s">
        <v>1213</v>
      </c>
      <c r="K1514" s="317" t="b">
        <v>0</v>
      </c>
      <c r="L1514" s="279" t="b">
        <v>1</v>
      </c>
    </row>
    <row r="1515" ht="14.25" hidden="1" customHeight="1" outlineLevel="1">
      <c r="A1515" s="344">
        <v>46054.0</v>
      </c>
      <c r="B1515" s="132">
        <v>46060.0</v>
      </c>
      <c r="C1515" s="327" t="s">
        <v>61</v>
      </c>
      <c r="D1515" s="315">
        <v>1.0</v>
      </c>
      <c r="E1515" s="316">
        <v>150.0</v>
      </c>
      <c r="F1515" s="316">
        <f t="shared" si="260"/>
        <v>150</v>
      </c>
      <c r="G1515" s="316">
        <f t="shared" si="261"/>
        <v>150</v>
      </c>
      <c r="H1515" s="317" t="b">
        <v>1</v>
      </c>
      <c r="I1515" s="143" t="s">
        <v>1327</v>
      </c>
      <c r="J1515" s="321" t="s">
        <v>1736</v>
      </c>
      <c r="K1515" s="317" t="b">
        <v>0</v>
      </c>
      <c r="L1515" s="279" t="b">
        <v>1</v>
      </c>
    </row>
    <row r="1516" ht="14.25" hidden="1" customHeight="1" outlineLevel="1">
      <c r="A1516" s="344">
        <v>46054.0</v>
      </c>
      <c r="B1516" s="132">
        <v>46060.0</v>
      </c>
      <c r="C1516" s="41" t="s">
        <v>315</v>
      </c>
      <c r="D1516" s="67">
        <v>6.0</v>
      </c>
      <c r="E1516" s="69">
        <v>42.9</v>
      </c>
      <c r="F1516" s="287">
        <f t="shared" si="260"/>
        <v>257.4</v>
      </c>
      <c r="G1516" s="287">
        <f t="shared" si="261"/>
        <v>257.4</v>
      </c>
      <c r="H1516" s="279" t="b">
        <v>0</v>
      </c>
      <c r="I1516" s="143" t="s">
        <v>1737</v>
      </c>
      <c r="J1516" s="42" t="s">
        <v>333</v>
      </c>
      <c r="K1516" s="279" t="b">
        <v>1</v>
      </c>
      <c r="L1516" s="279" t="b">
        <v>1</v>
      </c>
    </row>
    <row r="1517" ht="14.25" hidden="1" customHeight="1" outlineLevel="1">
      <c r="A1517" s="344">
        <v>46054.0</v>
      </c>
      <c r="B1517" s="132">
        <v>46061.0</v>
      </c>
      <c r="C1517" s="41" t="s">
        <v>61</v>
      </c>
      <c r="D1517" s="182">
        <v>1.0</v>
      </c>
      <c r="E1517" s="316">
        <v>200.0</v>
      </c>
      <c r="F1517" s="316">
        <v>200.0</v>
      </c>
      <c r="G1517" s="316">
        <v>200.0</v>
      </c>
      <c r="H1517" s="317" t="b">
        <v>1</v>
      </c>
      <c r="I1517" s="318" t="s">
        <v>490</v>
      </c>
      <c r="J1517" s="321" t="s">
        <v>1192</v>
      </c>
      <c r="K1517" s="279" t="b">
        <v>0</v>
      </c>
      <c r="L1517" s="279" t="b">
        <v>1</v>
      </c>
    </row>
    <row r="1518" ht="14.25" hidden="1" customHeight="1" outlineLevel="1">
      <c r="A1518" s="344">
        <v>46054.0</v>
      </c>
      <c r="B1518" s="132">
        <v>46061.0</v>
      </c>
      <c r="C1518" s="41" t="s">
        <v>61</v>
      </c>
      <c r="D1518" s="182">
        <v>1.0</v>
      </c>
      <c r="E1518" s="183">
        <v>200.0</v>
      </c>
      <c r="F1518" s="183">
        <v>200.0</v>
      </c>
      <c r="G1518" s="183">
        <v>200.0</v>
      </c>
      <c r="H1518" s="279" t="b">
        <v>1</v>
      </c>
      <c r="I1518" s="143" t="s">
        <v>980</v>
      </c>
      <c r="J1518" s="41" t="s">
        <v>1193</v>
      </c>
      <c r="K1518" s="279" t="b">
        <v>0</v>
      </c>
      <c r="L1518" s="279" t="b">
        <v>1</v>
      </c>
    </row>
    <row r="1519" ht="14.25" hidden="1" customHeight="1" outlineLevel="1">
      <c r="A1519" s="344">
        <v>46054.0</v>
      </c>
      <c r="B1519" s="132">
        <v>46061.0</v>
      </c>
      <c r="C1519" s="41" t="s">
        <v>61</v>
      </c>
      <c r="D1519" s="182">
        <v>1.0</v>
      </c>
      <c r="E1519" s="183">
        <v>200.0</v>
      </c>
      <c r="F1519" s="183">
        <v>200.0</v>
      </c>
      <c r="G1519" s="183">
        <v>200.0</v>
      </c>
      <c r="H1519" s="279" t="b">
        <v>1</v>
      </c>
      <c r="I1519" s="143" t="s">
        <v>296</v>
      </c>
      <c r="J1519" s="41" t="s">
        <v>1195</v>
      </c>
      <c r="K1519" s="279" t="b">
        <v>0</v>
      </c>
      <c r="L1519" s="279" t="b">
        <v>1</v>
      </c>
    </row>
    <row r="1520" ht="14.25" hidden="1" customHeight="1" outlineLevel="1">
      <c r="A1520" s="344">
        <v>46054.0</v>
      </c>
      <c r="B1520" s="132">
        <v>46062.0</v>
      </c>
      <c r="C1520" s="41" t="s">
        <v>75</v>
      </c>
      <c r="D1520" s="67">
        <v>10.0</v>
      </c>
      <c r="E1520" s="69">
        <v>40.0</v>
      </c>
      <c r="F1520" s="287">
        <f t="shared" ref="F1520:F1521" si="262">D1520*E1520</f>
        <v>400</v>
      </c>
      <c r="G1520" s="326">
        <f>SUM(F1520:F1521)</f>
        <v>520</v>
      </c>
      <c r="H1520" s="278" t="b">
        <v>0</v>
      </c>
      <c r="I1520" s="164" t="s">
        <v>76</v>
      </c>
      <c r="J1520" s="42" t="s">
        <v>1265</v>
      </c>
      <c r="K1520" s="278" t="b">
        <v>0</v>
      </c>
      <c r="L1520" s="278" t="b">
        <v>1</v>
      </c>
    </row>
    <row r="1521" ht="14.25" hidden="1" customHeight="1" outlineLevel="1">
      <c r="A1521" s="344">
        <v>46054.0</v>
      </c>
      <c r="B1521" s="132">
        <v>46062.0</v>
      </c>
      <c r="C1521" s="41" t="s">
        <v>75</v>
      </c>
      <c r="D1521" s="67">
        <v>3.0</v>
      </c>
      <c r="E1521" s="69">
        <v>40.0</v>
      </c>
      <c r="F1521" s="287">
        <f t="shared" si="262"/>
        <v>120</v>
      </c>
      <c r="G1521" s="10"/>
      <c r="H1521" s="10"/>
      <c r="I1521" s="74"/>
      <c r="J1521" s="42" t="s">
        <v>1504</v>
      </c>
      <c r="K1521" s="10"/>
      <c r="L1521" s="10"/>
    </row>
    <row r="1522" ht="14.25" hidden="1" customHeight="1" outlineLevel="1">
      <c r="A1522" s="344">
        <v>46054.0</v>
      </c>
      <c r="B1522" s="132">
        <v>46062.0</v>
      </c>
      <c r="C1522" s="41" t="s">
        <v>61</v>
      </c>
      <c r="D1522" s="182">
        <v>1.0</v>
      </c>
      <c r="E1522" s="183">
        <v>150.0</v>
      </c>
      <c r="F1522" s="183">
        <v>150.0</v>
      </c>
      <c r="G1522" s="183">
        <v>150.0</v>
      </c>
      <c r="H1522" s="279" t="b">
        <v>1</v>
      </c>
      <c r="I1522" s="143" t="s">
        <v>456</v>
      </c>
      <c r="J1522" s="41" t="s">
        <v>1322</v>
      </c>
      <c r="K1522" s="279" t="b">
        <v>0</v>
      </c>
      <c r="L1522" s="279" t="b">
        <v>1</v>
      </c>
    </row>
    <row r="1523" ht="14.25" hidden="1" customHeight="1" outlineLevel="1">
      <c r="A1523" s="344">
        <v>46054.0</v>
      </c>
      <c r="B1523" s="132">
        <v>46063.0</v>
      </c>
      <c r="C1523" s="327" t="s">
        <v>61</v>
      </c>
      <c r="D1523" s="315">
        <v>1.0</v>
      </c>
      <c r="E1523" s="316">
        <v>150.0</v>
      </c>
      <c r="F1523" s="316">
        <f t="shared" ref="F1523:F1528" si="263">D1523*E1523</f>
        <v>150</v>
      </c>
      <c r="G1523" s="316">
        <f t="shared" ref="G1523:G1528" si="264">F1523</f>
        <v>150</v>
      </c>
      <c r="H1523" s="317" t="b">
        <v>1</v>
      </c>
      <c r="I1523" s="334" t="s">
        <v>236</v>
      </c>
      <c r="J1523" s="321" t="s">
        <v>1198</v>
      </c>
      <c r="K1523" s="317" t="b">
        <v>0</v>
      </c>
      <c r="L1523" s="279" t="b">
        <v>1</v>
      </c>
    </row>
    <row r="1524" ht="14.25" hidden="1" customHeight="1" outlineLevel="1">
      <c r="A1524" s="344">
        <v>46054.0</v>
      </c>
      <c r="B1524" s="132">
        <v>46063.0</v>
      </c>
      <c r="C1524" s="327" t="s">
        <v>61</v>
      </c>
      <c r="D1524" s="315">
        <v>1.0</v>
      </c>
      <c r="E1524" s="316">
        <v>150.0</v>
      </c>
      <c r="F1524" s="316">
        <f t="shared" si="263"/>
        <v>150</v>
      </c>
      <c r="G1524" s="316">
        <f t="shared" si="264"/>
        <v>150</v>
      </c>
      <c r="H1524" s="317" t="b">
        <v>1</v>
      </c>
      <c r="I1524" s="143" t="s">
        <v>456</v>
      </c>
      <c r="J1524" s="321" t="s">
        <v>1199</v>
      </c>
      <c r="K1524" s="317" t="b">
        <v>0</v>
      </c>
      <c r="L1524" s="279" t="b">
        <v>1</v>
      </c>
    </row>
    <row r="1525" ht="14.25" hidden="1" customHeight="1" outlineLevel="1">
      <c r="A1525" s="344">
        <v>46054.0</v>
      </c>
      <c r="B1525" s="132">
        <v>46064.0</v>
      </c>
      <c r="C1525" s="327" t="s">
        <v>61</v>
      </c>
      <c r="D1525" s="315">
        <v>1.0</v>
      </c>
      <c r="E1525" s="316">
        <v>150.0</v>
      </c>
      <c r="F1525" s="316">
        <f t="shared" si="263"/>
        <v>150</v>
      </c>
      <c r="G1525" s="316">
        <f t="shared" si="264"/>
        <v>150</v>
      </c>
      <c r="H1525" s="317" t="b">
        <v>1</v>
      </c>
      <c r="I1525" s="143" t="s">
        <v>1062</v>
      </c>
      <c r="J1525" s="321" t="s">
        <v>1204</v>
      </c>
      <c r="K1525" s="317" t="b">
        <v>0</v>
      </c>
      <c r="L1525" s="279" t="b">
        <v>1</v>
      </c>
    </row>
    <row r="1526" ht="14.25" hidden="1" customHeight="1" outlineLevel="1">
      <c r="A1526" s="344">
        <v>46054.0</v>
      </c>
      <c r="B1526" s="132">
        <v>46065.0</v>
      </c>
      <c r="C1526" s="327" t="s">
        <v>61</v>
      </c>
      <c r="D1526" s="315">
        <v>1.0</v>
      </c>
      <c r="E1526" s="316">
        <v>150.0</v>
      </c>
      <c r="F1526" s="316">
        <f t="shared" si="263"/>
        <v>150</v>
      </c>
      <c r="G1526" s="316">
        <f t="shared" si="264"/>
        <v>150</v>
      </c>
      <c r="H1526" s="317" t="b">
        <v>1</v>
      </c>
      <c r="I1526" s="143" t="s">
        <v>980</v>
      </c>
      <c r="J1526" s="321" t="s">
        <v>1181</v>
      </c>
      <c r="K1526" s="317" t="b">
        <v>0</v>
      </c>
      <c r="L1526" s="279" t="b">
        <v>1</v>
      </c>
    </row>
    <row r="1527" ht="14.25" hidden="1" customHeight="1" outlineLevel="1">
      <c r="A1527" s="344">
        <v>46054.0</v>
      </c>
      <c r="B1527" s="132">
        <v>46066.0</v>
      </c>
      <c r="C1527" s="327" t="s">
        <v>61</v>
      </c>
      <c r="D1527" s="315">
        <v>1.0</v>
      </c>
      <c r="E1527" s="316">
        <v>150.0</v>
      </c>
      <c r="F1527" s="316">
        <f t="shared" si="263"/>
        <v>150</v>
      </c>
      <c r="G1527" s="316">
        <f t="shared" si="264"/>
        <v>150</v>
      </c>
      <c r="H1527" s="317" t="b">
        <v>1</v>
      </c>
      <c r="I1527" s="334" t="s">
        <v>236</v>
      </c>
      <c r="J1527" s="321" t="s">
        <v>1184</v>
      </c>
      <c r="K1527" s="317" t="b">
        <v>0</v>
      </c>
      <c r="L1527" s="279" t="b">
        <v>1</v>
      </c>
    </row>
    <row r="1528" ht="14.25" hidden="1" customHeight="1" outlineLevel="1">
      <c r="A1528" s="344">
        <v>46054.0</v>
      </c>
      <c r="B1528" s="132">
        <v>46066.0</v>
      </c>
      <c r="C1528" s="327" t="s">
        <v>61</v>
      </c>
      <c r="D1528" s="315">
        <v>1.0</v>
      </c>
      <c r="E1528" s="316">
        <v>150.0</v>
      </c>
      <c r="F1528" s="316">
        <f t="shared" si="263"/>
        <v>150</v>
      </c>
      <c r="G1528" s="316">
        <f t="shared" si="264"/>
        <v>150</v>
      </c>
      <c r="H1528" s="317" t="b">
        <v>1</v>
      </c>
      <c r="I1528" s="143" t="s">
        <v>1062</v>
      </c>
      <c r="J1528" s="321" t="s">
        <v>1213</v>
      </c>
      <c r="K1528" s="317" t="b">
        <v>0</v>
      </c>
      <c r="L1528" s="279" t="b">
        <v>1</v>
      </c>
    </row>
    <row r="1529" ht="14.25" hidden="1" customHeight="1" outlineLevel="1">
      <c r="A1529" s="344">
        <v>46054.0</v>
      </c>
      <c r="B1529" s="132">
        <v>46066.0</v>
      </c>
      <c r="C1529" s="41" t="s">
        <v>97</v>
      </c>
      <c r="D1529" s="67">
        <v>1.0</v>
      </c>
      <c r="E1529" s="69">
        <v>740.0</v>
      </c>
      <c r="F1529" s="69">
        <v>740.0</v>
      </c>
      <c r="G1529" s="69">
        <v>740.0</v>
      </c>
      <c r="H1529" s="279" t="b">
        <v>0</v>
      </c>
      <c r="I1529" s="143" t="s">
        <v>1742</v>
      </c>
      <c r="J1529" s="41" t="s">
        <v>1743</v>
      </c>
      <c r="K1529" s="279" t="b">
        <v>1</v>
      </c>
      <c r="L1529" s="279" t="b">
        <v>1</v>
      </c>
    </row>
    <row r="1530" ht="14.25" hidden="1" customHeight="1" outlineLevel="1">
      <c r="A1530" s="344">
        <v>46054.0</v>
      </c>
      <c r="B1530" s="132">
        <v>46068.0</v>
      </c>
      <c r="C1530" s="41" t="s">
        <v>61</v>
      </c>
      <c r="D1530" s="182">
        <v>1.0</v>
      </c>
      <c r="E1530" s="316">
        <v>200.0</v>
      </c>
      <c r="F1530" s="316">
        <v>200.0</v>
      </c>
      <c r="G1530" s="316">
        <v>200.0</v>
      </c>
      <c r="H1530" s="317" t="b">
        <v>1</v>
      </c>
      <c r="I1530" s="318" t="s">
        <v>490</v>
      </c>
      <c r="J1530" s="321" t="s">
        <v>1192</v>
      </c>
      <c r="K1530" s="279" t="b">
        <v>0</v>
      </c>
      <c r="L1530" s="279" t="b">
        <v>1</v>
      </c>
    </row>
    <row r="1531" ht="14.25" hidden="1" customHeight="1" outlineLevel="1">
      <c r="A1531" s="344">
        <v>46054.0</v>
      </c>
      <c r="B1531" s="132">
        <v>46068.0</v>
      </c>
      <c r="C1531" s="41" t="s">
        <v>61</v>
      </c>
      <c r="D1531" s="182">
        <v>1.0</v>
      </c>
      <c r="E1531" s="183">
        <v>200.0</v>
      </c>
      <c r="F1531" s="183">
        <v>200.0</v>
      </c>
      <c r="G1531" s="183">
        <v>200.0</v>
      </c>
      <c r="H1531" s="279" t="b">
        <v>1</v>
      </c>
      <c r="I1531" s="143" t="s">
        <v>980</v>
      </c>
      <c r="J1531" s="41" t="s">
        <v>1193</v>
      </c>
      <c r="K1531" s="279" t="b">
        <v>0</v>
      </c>
      <c r="L1531" s="279" t="b">
        <v>1</v>
      </c>
    </row>
    <row r="1532" ht="14.25" hidden="1" customHeight="1" outlineLevel="1">
      <c r="A1532" s="344">
        <v>46054.0</v>
      </c>
      <c r="B1532" s="132">
        <v>46068.0</v>
      </c>
      <c r="C1532" s="41" t="s">
        <v>61</v>
      </c>
      <c r="D1532" s="182">
        <v>1.0</v>
      </c>
      <c r="E1532" s="183">
        <v>200.0</v>
      </c>
      <c r="F1532" s="183">
        <v>200.0</v>
      </c>
      <c r="G1532" s="183">
        <v>200.0</v>
      </c>
      <c r="H1532" s="279" t="b">
        <v>1</v>
      </c>
      <c r="I1532" s="143" t="s">
        <v>296</v>
      </c>
      <c r="J1532" s="41" t="s">
        <v>1195</v>
      </c>
      <c r="K1532" s="279" t="b">
        <v>0</v>
      </c>
      <c r="L1532" s="279" t="b">
        <v>1</v>
      </c>
    </row>
    <row r="1533" ht="14.25" hidden="1" customHeight="1" outlineLevel="1">
      <c r="A1533" s="344">
        <v>46054.0</v>
      </c>
      <c r="B1533" s="132">
        <v>46070.0</v>
      </c>
      <c r="C1533" s="327" t="s">
        <v>61</v>
      </c>
      <c r="D1533" s="315">
        <v>1.0</v>
      </c>
      <c r="E1533" s="316">
        <v>150.0</v>
      </c>
      <c r="F1533" s="316">
        <f>D1533*E1533</f>
        <v>150</v>
      </c>
      <c r="G1533" s="316">
        <f t="shared" ref="G1533:G1537" si="265">F1533</f>
        <v>150</v>
      </c>
      <c r="H1533" s="317" t="b">
        <v>1</v>
      </c>
      <c r="I1533" s="334" t="s">
        <v>236</v>
      </c>
      <c r="J1533" s="321" t="s">
        <v>1198</v>
      </c>
      <c r="K1533" s="317" t="b">
        <v>0</v>
      </c>
      <c r="L1533" s="279" t="b">
        <v>1</v>
      </c>
    </row>
    <row r="1534" ht="14.25" hidden="1" customHeight="1" outlineLevel="1">
      <c r="A1534" s="344">
        <v>46054.0</v>
      </c>
      <c r="B1534" s="132">
        <v>46071.0</v>
      </c>
      <c r="C1534" s="327" t="s">
        <v>61</v>
      </c>
      <c r="D1534" s="315">
        <v>1.0</v>
      </c>
      <c r="E1534" s="337">
        <v>200.0</v>
      </c>
      <c r="F1534" s="337">
        <v>200.0</v>
      </c>
      <c r="G1534" s="316">
        <f t="shared" si="265"/>
        <v>200</v>
      </c>
      <c r="H1534" s="317" t="b">
        <v>1</v>
      </c>
      <c r="I1534" s="143" t="s">
        <v>490</v>
      </c>
      <c r="J1534" s="321" t="s">
        <v>1746</v>
      </c>
      <c r="K1534" s="317" t="b">
        <v>0</v>
      </c>
      <c r="L1534" s="279" t="b">
        <v>1</v>
      </c>
    </row>
    <row r="1535" ht="14.25" hidden="1" customHeight="1" outlineLevel="1">
      <c r="A1535" s="344">
        <v>46054.0</v>
      </c>
      <c r="B1535" s="132">
        <v>46072.0</v>
      </c>
      <c r="C1535" s="327" t="s">
        <v>61</v>
      </c>
      <c r="D1535" s="315">
        <v>1.0</v>
      </c>
      <c r="E1535" s="316">
        <v>150.0</v>
      </c>
      <c r="F1535" s="316">
        <f t="shared" ref="F1535:F1537" si="266">D1535*E1535</f>
        <v>150</v>
      </c>
      <c r="G1535" s="316">
        <f t="shared" si="265"/>
        <v>150</v>
      </c>
      <c r="H1535" s="317" t="b">
        <v>1</v>
      </c>
      <c r="I1535" s="143" t="s">
        <v>980</v>
      </c>
      <c r="J1535" s="321" t="s">
        <v>1181</v>
      </c>
      <c r="K1535" s="317" t="b">
        <v>0</v>
      </c>
      <c r="L1535" s="279" t="b">
        <v>1</v>
      </c>
    </row>
    <row r="1536" ht="14.25" hidden="1" customHeight="1" outlineLevel="1">
      <c r="A1536" s="344">
        <v>46054.0</v>
      </c>
      <c r="B1536" s="132">
        <v>46073.0</v>
      </c>
      <c r="C1536" s="327" t="s">
        <v>61</v>
      </c>
      <c r="D1536" s="315">
        <v>1.0</v>
      </c>
      <c r="E1536" s="316">
        <v>150.0</v>
      </c>
      <c r="F1536" s="316">
        <f t="shared" si="266"/>
        <v>150</v>
      </c>
      <c r="G1536" s="316">
        <f t="shared" si="265"/>
        <v>150</v>
      </c>
      <c r="H1536" s="317" t="b">
        <v>1</v>
      </c>
      <c r="I1536" s="334" t="s">
        <v>236</v>
      </c>
      <c r="J1536" s="321" t="s">
        <v>1184</v>
      </c>
      <c r="K1536" s="317" t="b">
        <v>0</v>
      </c>
      <c r="L1536" s="279" t="b">
        <v>1</v>
      </c>
    </row>
    <row r="1537" ht="14.25" hidden="1" customHeight="1" outlineLevel="1">
      <c r="A1537" s="344">
        <v>46054.0</v>
      </c>
      <c r="B1537" s="132">
        <v>46073.0</v>
      </c>
      <c r="C1537" s="327" t="s">
        <v>61</v>
      </c>
      <c r="D1537" s="315">
        <v>1.0</v>
      </c>
      <c r="E1537" s="316">
        <v>150.0</v>
      </c>
      <c r="F1537" s="316">
        <f t="shared" si="266"/>
        <v>150</v>
      </c>
      <c r="G1537" s="316">
        <f t="shared" si="265"/>
        <v>150</v>
      </c>
      <c r="H1537" s="317" t="b">
        <v>1</v>
      </c>
      <c r="I1537" s="143" t="s">
        <v>1062</v>
      </c>
      <c r="J1537" s="321" t="s">
        <v>1213</v>
      </c>
      <c r="K1537" s="317" t="b">
        <v>0</v>
      </c>
      <c r="L1537" s="279" t="b">
        <v>1</v>
      </c>
    </row>
    <row r="1538" ht="14.25" hidden="1" customHeight="1" outlineLevel="1">
      <c r="A1538" s="344">
        <v>46054.0</v>
      </c>
      <c r="B1538" s="132">
        <v>46075.0</v>
      </c>
      <c r="C1538" s="41" t="s">
        <v>61</v>
      </c>
      <c r="D1538" s="182">
        <v>1.0</v>
      </c>
      <c r="E1538" s="316">
        <v>200.0</v>
      </c>
      <c r="F1538" s="316">
        <v>200.0</v>
      </c>
      <c r="G1538" s="316">
        <v>200.0</v>
      </c>
      <c r="H1538" s="317" t="b">
        <v>1</v>
      </c>
      <c r="I1538" s="318" t="s">
        <v>490</v>
      </c>
      <c r="J1538" s="321" t="s">
        <v>1192</v>
      </c>
      <c r="K1538" s="279" t="b">
        <v>0</v>
      </c>
      <c r="L1538" s="279" t="b">
        <v>1</v>
      </c>
    </row>
    <row r="1539" ht="14.25" hidden="1" customHeight="1" outlineLevel="1">
      <c r="A1539" s="344">
        <v>46054.0</v>
      </c>
      <c r="B1539" s="132">
        <v>46075.0</v>
      </c>
      <c r="C1539" s="41" t="s">
        <v>61</v>
      </c>
      <c r="D1539" s="182">
        <v>1.0</v>
      </c>
      <c r="E1539" s="183">
        <v>200.0</v>
      </c>
      <c r="F1539" s="183">
        <v>200.0</v>
      </c>
      <c r="G1539" s="183">
        <v>200.0</v>
      </c>
      <c r="H1539" s="279" t="b">
        <v>1</v>
      </c>
      <c r="I1539" s="143" t="s">
        <v>980</v>
      </c>
      <c r="J1539" s="41" t="s">
        <v>1193</v>
      </c>
      <c r="K1539" s="279" t="b">
        <v>0</v>
      </c>
      <c r="L1539" s="279" t="b">
        <v>1</v>
      </c>
    </row>
    <row r="1540" ht="14.25" hidden="1" customHeight="1" outlineLevel="1">
      <c r="A1540" s="344">
        <v>46054.0</v>
      </c>
      <c r="B1540" s="132">
        <v>46075.0</v>
      </c>
      <c r="C1540" s="41" t="s">
        <v>61</v>
      </c>
      <c r="D1540" s="182">
        <v>1.0</v>
      </c>
      <c r="E1540" s="183">
        <v>200.0</v>
      </c>
      <c r="F1540" s="183">
        <v>200.0</v>
      </c>
      <c r="G1540" s="183">
        <v>200.0</v>
      </c>
      <c r="H1540" s="279" t="b">
        <v>1</v>
      </c>
      <c r="I1540" s="143" t="s">
        <v>296</v>
      </c>
      <c r="J1540" s="41" t="s">
        <v>1195</v>
      </c>
      <c r="K1540" s="279" t="b">
        <v>0</v>
      </c>
      <c r="L1540" s="279" t="b">
        <v>1</v>
      </c>
    </row>
    <row r="1541" ht="14.25" hidden="1" customHeight="1" outlineLevel="1">
      <c r="A1541" s="344">
        <v>46054.0</v>
      </c>
      <c r="B1541" s="132">
        <v>46076.0</v>
      </c>
      <c r="C1541" s="41" t="s">
        <v>61</v>
      </c>
      <c r="D1541" s="182">
        <v>1.0</v>
      </c>
      <c r="E1541" s="183">
        <v>150.0</v>
      </c>
      <c r="F1541" s="183">
        <v>150.0</v>
      </c>
      <c r="G1541" s="183">
        <v>150.0</v>
      </c>
      <c r="H1541" s="279" t="b">
        <v>1</v>
      </c>
      <c r="I1541" s="143" t="s">
        <v>1327</v>
      </c>
      <c r="J1541" s="41" t="s">
        <v>1691</v>
      </c>
      <c r="K1541" s="279" t="b">
        <v>0</v>
      </c>
      <c r="L1541" s="279" t="b">
        <v>1</v>
      </c>
    </row>
    <row r="1542" ht="14.25" hidden="1" customHeight="1" outlineLevel="1">
      <c r="A1542" s="344">
        <v>46054.0</v>
      </c>
      <c r="B1542" s="132">
        <v>46076.0</v>
      </c>
      <c r="C1542" s="41" t="s">
        <v>61</v>
      </c>
      <c r="D1542" s="182">
        <v>1.0</v>
      </c>
      <c r="E1542" s="183">
        <v>150.0</v>
      </c>
      <c r="F1542" s="183">
        <v>150.0</v>
      </c>
      <c r="G1542" s="183">
        <v>150.0</v>
      </c>
      <c r="H1542" s="279" t="b">
        <v>1</v>
      </c>
      <c r="I1542" s="143" t="s">
        <v>456</v>
      </c>
      <c r="J1542" s="41" t="s">
        <v>1322</v>
      </c>
      <c r="K1542" s="279" t="b">
        <v>0</v>
      </c>
      <c r="L1542" s="279" t="b">
        <v>1</v>
      </c>
    </row>
    <row r="1543" ht="14.25" hidden="1" customHeight="1" outlineLevel="1">
      <c r="A1543" s="344">
        <v>46054.0</v>
      </c>
      <c r="B1543" s="132">
        <v>46077.0</v>
      </c>
      <c r="C1543" s="327" t="s">
        <v>61</v>
      </c>
      <c r="D1543" s="315">
        <v>1.0</v>
      </c>
      <c r="E1543" s="316">
        <v>150.0</v>
      </c>
      <c r="F1543" s="316">
        <f t="shared" ref="F1543:F1551" si="267">D1543*E1543</f>
        <v>150</v>
      </c>
      <c r="G1543" s="316">
        <f t="shared" ref="G1543:G1551" si="268">F1543</f>
        <v>150</v>
      </c>
      <c r="H1543" s="317" t="b">
        <v>1</v>
      </c>
      <c r="I1543" s="334" t="s">
        <v>236</v>
      </c>
      <c r="J1543" s="321" t="s">
        <v>1198</v>
      </c>
      <c r="K1543" s="317" t="b">
        <v>0</v>
      </c>
      <c r="L1543" s="279" t="b">
        <v>1</v>
      </c>
    </row>
    <row r="1544" ht="14.25" hidden="1" customHeight="1" outlineLevel="1">
      <c r="A1544" s="344">
        <v>46054.0</v>
      </c>
      <c r="B1544" s="132">
        <v>46077.0</v>
      </c>
      <c r="C1544" s="327" t="s">
        <v>61</v>
      </c>
      <c r="D1544" s="315">
        <v>1.0</v>
      </c>
      <c r="E1544" s="316">
        <v>150.0</v>
      </c>
      <c r="F1544" s="316">
        <f t="shared" si="267"/>
        <v>150</v>
      </c>
      <c r="G1544" s="316">
        <f t="shared" si="268"/>
        <v>150</v>
      </c>
      <c r="H1544" s="317" t="b">
        <v>1</v>
      </c>
      <c r="I1544" s="143" t="s">
        <v>456</v>
      </c>
      <c r="J1544" s="321" t="s">
        <v>1199</v>
      </c>
      <c r="K1544" s="317" t="b">
        <v>0</v>
      </c>
      <c r="L1544" s="279" t="b">
        <v>1</v>
      </c>
    </row>
    <row r="1545" ht="14.25" hidden="1" customHeight="1" outlineLevel="1">
      <c r="A1545" s="344">
        <v>46054.0</v>
      </c>
      <c r="B1545" s="132">
        <v>46078.0</v>
      </c>
      <c r="C1545" s="327" t="s">
        <v>61</v>
      </c>
      <c r="D1545" s="315">
        <v>1.0</v>
      </c>
      <c r="E1545" s="316">
        <v>150.0</v>
      </c>
      <c r="F1545" s="316">
        <f t="shared" si="267"/>
        <v>150</v>
      </c>
      <c r="G1545" s="316">
        <f t="shared" si="268"/>
        <v>150</v>
      </c>
      <c r="H1545" s="317" t="b">
        <v>1</v>
      </c>
      <c r="I1545" s="143" t="s">
        <v>1062</v>
      </c>
      <c r="J1545" s="321" t="s">
        <v>1204</v>
      </c>
      <c r="K1545" s="317" t="b">
        <v>0</v>
      </c>
      <c r="L1545" s="279" t="b">
        <v>1</v>
      </c>
    </row>
    <row r="1546" ht="14.25" hidden="1" customHeight="1" outlineLevel="1">
      <c r="A1546" s="344">
        <v>46054.0</v>
      </c>
      <c r="B1546" s="132">
        <v>46079.0</v>
      </c>
      <c r="C1546" s="327" t="s">
        <v>61</v>
      </c>
      <c r="D1546" s="315">
        <v>1.0</v>
      </c>
      <c r="E1546" s="316">
        <v>150.0</v>
      </c>
      <c r="F1546" s="316">
        <f t="shared" si="267"/>
        <v>150</v>
      </c>
      <c r="G1546" s="316">
        <f t="shared" si="268"/>
        <v>150</v>
      </c>
      <c r="H1546" s="317" t="b">
        <v>1</v>
      </c>
      <c r="I1546" s="143" t="s">
        <v>980</v>
      </c>
      <c r="J1546" s="321" t="s">
        <v>1181</v>
      </c>
      <c r="K1546" s="317" t="b">
        <v>0</v>
      </c>
      <c r="L1546" s="279" t="b">
        <v>1</v>
      </c>
    </row>
    <row r="1547" ht="14.25" hidden="1" customHeight="1" outlineLevel="1">
      <c r="A1547" s="344">
        <v>46054.0</v>
      </c>
      <c r="B1547" s="132">
        <v>46080.0</v>
      </c>
      <c r="C1547" s="327" t="s">
        <v>61</v>
      </c>
      <c r="D1547" s="315">
        <v>1.0</v>
      </c>
      <c r="E1547" s="316">
        <v>150.0</v>
      </c>
      <c r="F1547" s="316">
        <f t="shared" si="267"/>
        <v>150</v>
      </c>
      <c r="G1547" s="316">
        <f t="shared" si="268"/>
        <v>150</v>
      </c>
      <c r="H1547" s="317" t="b">
        <v>1</v>
      </c>
      <c r="I1547" s="334" t="s">
        <v>236</v>
      </c>
      <c r="J1547" s="321" t="s">
        <v>1184</v>
      </c>
      <c r="K1547" s="317" t="b">
        <v>0</v>
      </c>
      <c r="L1547" s="279" t="b">
        <v>1</v>
      </c>
    </row>
    <row r="1548" ht="14.25" hidden="1" customHeight="1" outlineLevel="1">
      <c r="A1548" s="344">
        <v>46054.0</v>
      </c>
      <c r="B1548" s="132">
        <v>46080.0</v>
      </c>
      <c r="C1548" s="327" t="s">
        <v>61</v>
      </c>
      <c r="D1548" s="315">
        <v>1.0</v>
      </c>
      <c r="E1548" s="316">
        <v>150.0</v>
      </c>
      <c r="F1548" s="316">
        <f t="shared" si="267"/>
        <v>150</v>
      </c>
      <c r="G1548" s="316">
        <f t="shared" si="268"/>
        <v>150</v>
      </c>
      <c r="H1548" s="317" t="b">
        <v>1</v>
      </c>
      <c r="I1548" s="143" t="s">
        <v>1062</v>
      </c>
      <c r="J1548" s="321" t="s">
        <v>1213</v>
      </c>
      <c r="K1548" s="317" t="b">
        <v>0</v>
      </c>
      <c r="L1548" s="279" t="b">
        <v>1</v>
      </c>
    </row>
    <row r="1549" ht="14.25" hidden="1" customHeight="1" outlineLevel="1">
      <c r="A1549" s="344">
        <v>46054.0</v>
      </c>
      <c r="B1549" s="132">
        <v>46080.0</v>
      </c>
      <c r="C1549" s="327" t="s">
        <v>61</v>
      </c>
      <c r="D1549" s="67">
        <v>1.0</v>
      </c>
      <c r="E1549" s="69">
        <v>3150.0</v>
      </c>
      <c r="F1549" s="287">
        <f t="shared" si="267"/>
        <v>3150</v>
      </c>
      <c r="G1549" s="287">
        <f t="shared" si="268"/>
        <v>3150</v>
      </c>
      <c r="H1549" s="279" t="b">
        <v>1</v>
      </c>
      <c r="I1549" s="143" t="s">
        <v>119</v>
      </c>
      <c r="J1549" s="42" t="s">
        <v>1753</v>
      </c>
      <c r="K1549" s="279" t="b">
        <v>0</v>
      </c>
      <c r="L1549" s="279" t="b">
        <v>1</v>
      </c>
    </row>
    <row r="1550" ht="14.25" hidden="1" customHeight="1" outlineLevel="1">
      <c r="A1550" s="344">
        <v>46054.0</v>
      </c>
      <c r="B1550" s="132">
        <v>46080.0</v>
      </c>
      <c r="C1550" s="41" t="s">
        <v>80</v>
      </c>
      <c r="D1550" s="67">
        <v>2.0</v>
      </c>
      <c r="E1550" s="69">
        <v>15.0</v>
      </c>
      <c r="F1550" s="287">
        <f t="shared" si="267"/>
        <v>30</v>
      </c>
      <c r="G1550" s="287">
        <f t="shared" si="268"/>
        <v>30</v>
      </c>
      <c r="H1550" s="279" t="b">
        <v>0</v>
      </c>
      <c r="I1550" s="143" t="s">
        <v>481</v>
      </c>
      <c r="J1550" s="42" t="s">
        <v>1013</v>
      </c>
      <c r="K1550" s="279" t="b">
        <v>1</v>
      </c>
      <c r="L1550" s="279" t="b">
        <v>1</v>
      </c>
    </row>
    <row r="1551" ht="14.25" hidden="1" customHeight="1" outlineLevel="1">
      <c r="A1551" s="344">
        <v>46054.0</v>
      </c>
      <c r="B1551" s="132">
        <v>46081.0</v>
      </c>
      <c r="C1551" s="327" t="s">
        <v>61</v>
      </c>
      <c r="D1551" s="315">
        <v>1.0</v>
      </c>
      <c r="E1551" s="316">
        <v>150.0</v>
      </c>
      <c r="F1551" s="316">
        <f t="shared" si="267"/>
        <v>150</v>
      </c>
      <c r="G1551" s="316">
        <f t="shared" si="268"/>
        <v>150</v>
      </c>
      <c r="H1551" s="317" t="b">
        <v>1</v>
      </c>
      <c r="I1551" s="143" t="s">
        <v>1327</v>
      </c>
      <c r="J1551" s="321" t="s">
        <v>1754</v>
      </c>
      <c r="K1551" s="317" t="b">
        <v>0</v>
      </c>
      <c r="L1551" s="279" t="b">
        <v>1</v>
      </c>
    </row>
    <row r="1552" ht="14.25" customHeight="1">
      <c r="A1552" s="180" t="s">
        <v>192</v>
      </c>
      <c r="B1552" s="27"/>
      <c r="C1552" s="27"/>
      <c r="D1552" s="27"/>
      <c r="E1552" s="28"/>
      <c r="F1552" s="181">
        <f t="shared" ref="F1552:G1552" si="269">SUM(F1503:F1551)</f>
        <v>11741.9</v>
      </c>
      <c r="G1552" s="181">
        <f t="shared" si="269"/>
        <v>11741.9</v>
      </c>
    </row>
    <row r="1553" collapsed="1">
      <c r="A1553" s="245" t="s">
        <v>1481</v>
      </c>
      <c r="B1553" s="246"/>
      <c r="C1553" s="246"/>
      <c r="D1553" s="246"/>
      <c r="E1553" s="246"/>
      <c r="F1553" s="246"/>
      <c r="G1553" s="246"/>
      <c r="H1553" s="246"/>
      <c r="I1553" s="246"/>
      <c r="J1553" s="247"/>
    </row>
    <row r="1554" ht="14.25" hidden="1" customHeight="1" outlineLevel="1">
      <c r="A1554" s="344">
        <v>46082.0</v>
      </c>
      <c r="B1554" s="132">
        <v>46082.0</v>
      </c>
      <c r="C1554" s="41" t="s">
        <v>61</v>
      </c>
      <c r="D1554" s="182">
        <v>1.0</v>
      </c>
      <c r="E1554" s="316">
        <v>200.0</v>
      </c>
      <c r="F1554" s="316">
        <v>200.0</v>
      </c>
      <c r="G1554" s="316">
        <v>200.0</v>
      </c>
      <c r="H1554" s="317" t="b">
        <v>1</v>
      </c>
      <c r="I1554" s="318" t="s">
        <v>490</v>
      </c>
      <c r="J1554" s="321" t="s">
        <v>1192</v>
      </c>
      <c r="K1554" s="279" t="b">
        <v>0</v>
      </c>
      <c r="L1554" s="279" t="b">
        <v>1</v>
      </c>
    </row>
    <row r="1555" ht="14.25" hidden="1" customHeight="1" outlineLevel="1">
      <c r="A1555" s="344">
        <v>46082.0</v>
      </c>
      <c r="B1555" s="132">
        <v>46082.0</v>
      </c>
      <c r="C1555" s="41" t="s">
        <v>61</v>
      </c>
      <c r="D1555" s="182">
        <v>1.0</v>
      </c>
      <c r="E1555" s="316">
        <v>200.0</v>
      </c>
      <c r="F1555" s="316">
        <v>200.0</v>
      </c>
      <c r="G1555" s="316">
        <v>200.0</v>
      </c>
      <c r="H1555" s="317" t="b">
        <v>1</v>
      </c>
      <c r="I1555" s="318" t="s">
        <v>296</v>
      </c>
      <c r="J1555" s="321" t="s">
        <v>1193</v>
      </c>
      <c r="K1555" s="279" t="b">
        <v>0</v>
      </c>
      <c r="L1555" s="279" t="b">
        <v>1</v>
      </c>
    </row>
    <row r="1556" ht="14.25" hidden="1" customHeight="1" outlineLevel="1">
      <c r="A1556" s="344">
        <v>46082.0</v>
      </c>
      <c r="B1556" s="132">
        <v>46082.0</v>
      </c>
      <c r="C1556" s="41" t="s">
        <v>61</v>
      </c>
      <c r="D1556" s="182">
        <v>1.0</v>
      </c>
      <c r="E1556" s="316">
        <v>200.0</v>
      </c>
      <c r="F1556" s="316">
        <v>200.0</v>
      </c>
      <c r="G1556" s="316">
        <v>200.0</v>
      </c>
      <c r="H1556" s="317" t="b">
        <v>1</v>
      </c>
      <c r="I1556" s="318" t="s">
        <v>1484</v>
      </c>
      <c r="J1556" s="321" t="s">
        <v>1195</v>
      </c>
      <c r="K1556" s="279" t="b">
        <v>0</v>
      </c>
      <c r="L1556" s="279" t="b">
        <v>1</v>
      </c>
    </row>
    <row r="1557" ht="14.25" hidden="1" customHeight="1" outlineLevel="1">
      <c r="A1557" s="344">
        <v>46082.0</v>
      </c>
      <c r="B1557" s="132">
        <v>46083.0</v>
      </c>
      <c r="C1557" s="41" t="s">
        <v>61</v>
      </c>
      <c r="D1557" s="182">
        <v>1.0</v>
      </c>
      <c r="E1557" s="183">
        <v>150.0</v>
      </c>
      <c r="F1557" s="183">
        <v>150.0</v>
      </c>
      <c r="G1557" s="183">
        <v>150.0</v>
      </c>
      <c r="H1557" s="279" t="b">
        <v>1</v>
      </c>
      <c r="I1557" s="143" t="s">
        <v>1327</v>
      </c>
      <c r="J1557" s="41" t="s">
        <v>1691</v>
      </c>
      <c r="K1557" s="279" t="b">
        <v>0</v>
      </c>
      <c r="L1557" s="279" t="b">
        <v>1</v>
      </c>
    </row>
    <row r="1558" ht="14.25" hidden="1" customHeight="1" outlineLevel="1">
      <c r="A1558" s="344">
        <v>46082.0</v>
      </c>
      <c r="B1558" s="132">
        <v>46083.0</v>
      </c>
      <c r="C1558" s="41" t="s">
        <v>61</v>
      </c>
      <c r="D1558" s="182">
        <v>1.0</v>
      </c>
      <c r="E1558" s="183">
        <v>150.0</v>
      </c>
      <c r="F1558" s="183">
        <v>150.0</v>
      </c>
      <c r="G1558" s="183">
        <v>150.0</v>
      </c>
      <c r="H1558" s="279" t="b">
        <v>1</v>
      </c>
      <c r="I1558" s="143" t="s">
        <v>456</v>
      </c>
      <c r="J1558" s="41" t="s">
        <v>1322</v>
      </c>
      <c r="K1558" s="279" t="b">
        <v>0</v>
      </c>
      <c r="L1558" s="279" t="b">
        <v>1</v>
      </c>
    </row>
    <row r="1559" ht="14.25" hidden="1" customHeight="1" outlineLevel="1">
      <c r="A1559" s="344">
        <v>46082.0</v>
      </c>
      <c r="B1559" s="132">
        <v>46084.0</v>
      </c>
      <c r="C1559" s="327" t="s">
        <v>61</v>
      </c>
      <c r="D1559" s="315">
        <v>1.0</v>
      </c>
      <c r="E1559" s="316">
        <v>150.0</v>
      </c>
      <c r="F1559" s="316">
        <f t="shared" ref="F1559:F1564" si="270">D1559*E1559</f>
        <v>150</v>
      </c>
      <c r="G1559" s="316">
        <f t="shared" ref="G1559:G1564" si="271">F1559</f>
        <v>150</v>
      </c>
      <c r="H1559" s="317" t="b">
        <v>1</v>
      </c>
      <c r="I1559" s="334" t="s">
        <v>236</v>
      </c>
      <c r="J1559" s="321" t="s">
        <v>1198</v>
      </c>
      <c r="K1559" s="317" t="b">
        <v>0</v>
      </c>
      <c r="L1559" s="279" t="b">
        <v>1</v>
      </c>
    </row>
    <row r="1560" ht="14.25" hidden="1" customHeight="1" outlineLevel="1">
      <c r="A1560" s="344">
        <v>46082.0</v>
      </c>
      <c r="B1560" s="132">
        <v>46084.0</v>
      </c>
      <c r="C1560" s="327" t="s">
        <v>61</v>
      </c>
      <c r="D1560" s="315">
        <v>1.0</v>
      </c>
      <c r="E1560" s="316">
        <v>150.0</v>
      </c>
      <c r="F1560" s="316">
        <f t="shared" si="270"/>
        <v>150</v>
      </c>
      <c r="G1560" s="316">
        <f t="shared" si="271"/>
        <v>150</v>
      </c>
      <c r="H1560" s="317" t="b">
        <v>1</v>
      </c>
      <c r="I1560" s="143" t="s">
        <v>456</v>
      </c>
      <c r="J1560" s="321" t="s">
        <v>1199</v>
      </c>
      <c r="K1560" s="317" t="b">
        <v>0</v>
      </c>
      <c r="L1560" s="279" t="b">
        <v>1</v>
      </c>
    </row>
    <row r="1561" ht="14.25" hidden="1" customHeight="1" outlineLevel="1">
      <c r="A1561" s="344">
        <v>46082.0</v>
      </c>
      <c r="B1561" s="132">
        <v>46085.0</v>
      </c>
      <c r="C1561" s="327" t="s">
        <v>61</v>
      </c>
      <c r="D1561" s="315">
        <v>1.0</v>
      </c>
      <c r="E1561" s="316">
        <v>150.0</v>
      </c>
      <c r="F1561" s="316">
        <f t="shared" si="270"/>
        <v>150</v>
      </c>
      <c r="G1561" s="316">
        <f t="shared" si="271"/>
        <v>150</v>
      </c>
      <c r="H1561" s="317" t="b">
        <v>1</v>
      </c>
      <c r="I1561" s="143" t="s">
        <v>1062</v>
      </c>
      <c r="J1561" s="321" t="s">
        <v>1204</v>
      </c>
      <c r="K1561" s="317" t="b">
        <v>0</v>
      </c>
      <c r="L1561" s="279" t="b">
        <v>1</v>
      </c>
    </row>
    <row r="1562" ht="14.25" hidden="1" customHeight="1" outlineLevel="1">
      <c r="A1562" s="344">
        <v>46082.0</v>
      </c>
      <c r="B1562" s="132">
        <v>46086.0</v>
      </c>
      <c r="C1562" s="327" t="s">
        <v>61</v>
      </c>
      <c r="D1562" s="315">
        <v>1.0</v>
      </c>
      <c r="E1562" s="316">
        <v>150.0</v>
      </c>
      <c r="F1562" s="316">
        <f t="shared" si="270"/>
        <v>150</v>
      </c>
      <c r="G1562" s="316">
        <f t="shared" si="271"/>
        <v>150</v>
      </c>
      <c r="H1562" s="317" t="b">
        <v>1</v>
      </c>
      <c r="I1562" s="143" t="s">
        <v>980</v>
      </c>
      <c r="J1562" s="321" t="s">
        <v>1181</v>
      </c>
      <c r="K1562" s="317" t="b">
        <v>0</v>
      </c>
      <c r="L1562" s="279" t="b">
        <v>1</v>
      </c>
    </row>
    <row r="1563" ht="14.25" hidden="1" customHeight="1" outlineLevel="1">
      <c r="A1563" s="344">
        <v>46082.0</v>
      </c>
      <c r="B1563" s="132">
        <v>46087.0</v>
      </c>
      <c r="C1563" s="327" t="s">
        <v>61</v>
      </c>
      <c r="D1563" s="315">
        <v>1.0</v>
      </c>
      <c r="E1563" s="316">
        <v>150.0</v>
      </c>
      <c r="F1563" s="316">
        <f t="shared" si="270"/>
        <v>150</v>
      </c>
      <c r="G1563" s="316">
        <f t="shared" si="271"/>
        <v>150</v>
      </c>
      <c r="H1563" s="317" t="b">
        <v>1</v>
      </c>
      <c r="I1563" s="143" t="s">
        <v>1062</v>
      </c>
      <c r="J1563" s="321" t="s">
        <v>1184</v>
      </c>
      <c r="K1563" s="317" t="b">
        <v>0</v>
      </c>
      <c r="L1563" s="279" t="b">
        <v>1</v>
      </c>
    </row>
    <row r="1564" ht="14.25" hidden="1" customHeight="1" outlineLevel="1">
      <c r="A1564" s="344">
        <v>46082.0</v>
      </c>
      <c r="B1564" s="132">
        <v>46087.0</v>
      </c>
      <c r="C1564" s="327" t="s">
        <v>61</v>
      </c>
      <c r="D1564" s="315">
        <v>1.0</v>
      </c>
      <c r="E1564" s="316">
        <v>150.0</v>
      </c>
      <c r="F1564" s="316">
        <f t="shared" si="270"/>
        <v>150</v>
      </c>
      <c r="G1564" s="316">
        <f t="shared" si="271"/>
        <v>150</v>
      </c>
      <c r="H1564" s="317" t="b">
        <v>1</v>
      </c>
      <c r="I1564" s="143" t="s">
        <v>980</v>
      </c>
      <c r="J1564" s="321" t="s">
        <v>1213</v>
      </c>
      <c r="K1564" s="317" t="b">
        <v>0</v>
      </c>
      <c r="L1564" s="279" t="b">
        <v>1</v>
      </c>
    </row>
    <row r="1565" ht="14.25" hidden="1" customHeight="1" outlineLevel="1">
      <c r="A1565" s="344">
        <v>46082.0</v>
      </c>
      <c r="B1565" s="132">
        <v>46088.0</v>
      </c>
      <c r="C1565" s="41" t="s">
        <v>61</v>
      </c>
      <c r="D1565" s="182">
        <v>1.0</v>
      </c>
      <c r="E1565" s="316">
        <v>200.0</v>
      </c>
      <c r="F1565" s="316">
        <v>200.0</v>
      </c>
      <c r="G1565" s="316">
        <v>200.0</v>
      </c>
      <c r="H1565" s="317" t="b">
        <v>1</v>
      </c>
      <c r="I1565" s="318" t="s">
        <v>490</v>
      </c>
      <c r="J1565" s="321" t="s">
        <v>1762</v>
      </c>
      <c r="K1565" s="279" t="b">
        <v>0</v>
      </c>
      <c r="L1565" s="279" t="b">
        <v>1</v>
      </c>
    </row>
    <row r="1566" ht="14.25" hidden="1" customHeight="1" outlineLevel="1">
      <c r="A1566" s="344">
        <v>46082.0</v>
      </c>
      <c r="B1566" s="132">
        <v>46089.0</v>
      </c>
      <c r="C1566" s="41" t="s">
        <v>61</v>
      </c>
      <c r="D1566" s="182">
        <v>1.0</v>
      </c>
      <c r="E1566" s="316">
        <v>200.0</v>
      </c>
      <c r="F1566" s="316">
        <v>200.0</v>
      </c>
      <c r="G1566" s="316">
        <v>200.0</v>
      </c>
      <c r="H1566" s="317" t="b">
        <v>1</v>
      </c>
      <c r="I1566" s="318" t="s">
        <v>342</v>
      </c>
      <c r="J1566" s="321" t="s">
        <v>1195</v>
      </c>
      <c r="K1566" s="279" t="b">
        <v>0</v>
      </c>
      <c r="L1566" s="279" t="b">
        <v>1</v>
      </c>
    </row>
    <row r="1567" ht="14.25" hidden="1" customHeight="1" outlineLevel="1">
      <c r="A1567" s="344">
        <v>46082.0</v>
      </c>
      <c r="B1567" s="132">
        <v>46090.0</v>
      </c>
      <c r="C1567" s="41" t="s">
        <v>61</v>
      </c>
      <c r="D1567" s="182">
        <v>1.0</v>
      </c>
      <c r="E1567" s="183">
        <v>150.0</v>
      </c>
      <c r="F1567" s="183">
        <v>150.0</v>
      </c>
      <c r="G1567" s="183">
        <v>150.0</v>
      </c>
      <c r="H1567" s="279" t="b">
        <v>1</v>
      </c>
      <c r="I1567" s="143" t="s">
        <v>1327</v>
      </c>
      <c r="J1567" s="41" t="s">
        <v>1691</v>
      </c>
      <c r="K1567" s="279" t="b">
        <v>0</v>
      </c>
      <c r="L1567" s="279" t="b">
        <v>1</v>
      </c>
    </row>
    <row r="1568" ht="14.25" hidden="1" customHeight="1" outlineLevel="1">
      <c r="A1568" s="344">
        <v>46082.0</v>
      </c>
      <c r="B1568" s="132">
        <v>46090.0</v>
      </c>
      <c r="C1568" s="41" t="s">
        <v>61</v>
      </c>
      <c r="D1568" s="182">
        <v>1.0</v>
      </c>
      <c r="E1568" s="183">
        <v>150.0</v>
      </c>
      <c r="F1568" s="183">
        <v>150.0</v>
      </c>
      <c r="G1568" s="183">
        <v>150.0</v>
      </c>
      <c r="H1568" s="279" t="b">
        <v>1</v>
      </c>
      <c r="I1568" s="143" t="s">
        <v>456</v>
      </c>
      <c r="J1568" s="41" t="s">
        <v>1322</v>
      </c>
      <c r="K1568" s="279" t="b">
        <v>0</v>
      </c>
      <c r="L1568" s="279" t="b">
        <v>1</v>
      </c>
    </row>
    <row r="1569" ht="14.25" hidden="1" customHeight="1" outlineLevel="1">
      <c r="A1569" s="344">
        <v>46082.0</v>
      </c>
      <c r="B1569" s="132">
        <v>46090.0</v>
      </c>
      <c r="C1569" s="41" t="s">
        <v>75</v>
      </c>
      <c r="D1569" s="67">
        <v>1.0</v>
      </c>
      <c r="E1569" s="69">
        <v>320.0</v>
      </c>
      <c r="F1569" s="69">
        <v>320.0</v>
      </c>
      <c r="G1569" s="445">
        <v>320.0</v>
      </c>
      <c r="H1569" s="279" t="b">
        <v>0</v>
      </c>
      <c r="I1569" s="143" t="s">
        <v>76</v>
      </c>
      <c r="J1569" s="42"/>
      <c r="K1569" s="279" t="b">
        <v>0</v>
      </c>
      <c r="L1569" s="279" t="b">
        <v>1</v>
      </c>
    </row>
    <row r="1570" ht="14.25" hidden="1" customHeight="1" outlineLevel="1">
      <c r="A1570" s="344">
        <v>46082.0</v>
      </c>
      <c r="B1570" s="132">
        <v>46091.0</v>
      </c>
      <c r="C1570" s="41" t="s">
        <v>61</v>
      </c>
      <c r="D1570" s="182">
        <v>1.0</v>
      </c>
      <c r="E1570" s="183">
        <v>150.0</v>
      </c>
      <c r="F1570" s="183">
        <v>150.0</v>
      </c>
      <c r="G1570" s="183">
        <v>150.0</v>
      </c>
      <c r="H1570" s="279" t="b">
        <v>1</v>
      </c>
      <c r="I1570" s="143" t="s">
        <v>236</v>
      </c>
      <c r="J1570" s="41" t="s">
        <v>1772</v>
      </c>
      <c r="K1570" s="279" t="b">
        <v>0</v>
      </c>
      <c r="L1570" s="279" t="b">
        <v>1</v>
      </c>
    </row>
    <row r="1571" ht="14.25" hidden="1" customHeight="1" outlineLevel="1">
      <c r="A1571" s="344">
        <v>46082.0</v>
      </c>
      <c r="B1571" s="132">
        <v>46091.0</v>
      </c>
      <c r="C1571" s="41" t="s">
        <v>61</v>
      </c>
      <c r="D1571" s="182">
        <v>1.0</v>
      </c>
      <c r="E1571" s="183">
        <v>150.0</v>
      </c>
      <c r="F1571" s="183">
        <v>150.0</v>
      </c>
      <c r="G1571" s="183">
        <v>150.0</v>
      </c>
      <c r="H1571" s="279" t="b">
        <v>1</v>
      </c>
      <c r="I1571" s="143" t="s">
        <v>456</v>
      </c>
      <c r="J1571" s="41" t="s">
        <v>1773</v>
      </c>
      <c r="K1571" s="279" t="b">
        <v>0</v>
      </c>
      <c r="L1571" s="279" t="b">
        <v>1</v>
      </c>
    </row>
    <row r="1572" ht="14.25" hidden="1" customHeight="1" outlineLevel="1">
      <c r="A1572" s="344">
        <v>46082.0</v>
      </c>
      <c r="B1572" s="132">
        <v>46093.0</v>
      </c>
      <c r="C1572" s="327" t="s">
        <v>61</v>
      </c>
      <c r="D1572" s="315">
        <v>1.0</v>
      </c>
      <c r="E1572" s="316">
        <v>150.0</v>
      </c>
      <c r="F1572" s="316">
        <f t="shared" ref="F1572:F1577" si="272">D1572*E1572</f>
        <v>150</v>
      </c>
      <c r="G1572" s="316">
        <f t="shared" ref="G1572:G1574" si="273">F1572</f>
        <v>150</v>
      </c>
      <c r="H1572" s="317" t="b">
        <v>1</v>
      </c>
      <c r="I1572" s="143" t="s">
        <v>980</v>
      </c>
      <c r="J1572" s="321" t="s">
        <v>1181</v>
      </c>
      <c r="K1572" s="317" t="b">
        <v>0</v>
      </c>
      <c r="L1572" s="279" t="b">
        <v>1</v>
      </c>
    </row>
    <row r="1573" ht="14.25" hidden="1" customHeight="1" outlineLevel="1">
      <c r="A1573" s="344">
        <v>46082.0</v>
      </c>
      <c r="B1573" s="132">
        <v>46094.0</v>
      </c>
      <c r="C1573" s="327" t="s">
        <v>61</v>
      </c>
      <c r="D1573" s="315">
        <v>1.0</v>
      </c>
      <c r="E1573" s="316">
        <v>150.0</v>
      </c>
      <c r="F1573" s="316">
        <f t="shared" si="272"/>
        <v>150</v>
      </c>
      <c r="G1573" s="316">
        <f t="shared" si="273"/>
        <v>150</v>
      </c>
      <c r="H1573" s="317" t="b">
        <v>1</v>
      </c>
      <c r="I1573" s="143" t="s">
        <v>1062</v>
      </c>
      <c r="J1573" s="321" t="s">
        <v>1184</v>
      </c>
      <c r="K1573" s="317" t="b">
        <v>0</v>
      </c>
      <c r="L1573" s="279" t="b">
        <v>1</v>
      </c>
    </row>
    <row r="1574" ht="14.25" hidden="1" customHeight="1" outlineLevel="1">
      <c r="A1574" s="344">
        <v>46082.0</v>
      </c>
      <c r="B1574" s="132">
        <v>46095.0</v>
      </c>
      <c r="C1574" s="327" t="s">
        <v>61</v>
      </c>
      <c r="D1574" s="315">
        <v>1.0</v>
      </c>
      <c r="E1574" s="337">
        <v>100.0</v>
      </c>
      <c r="F1574" s="316">
        <f t="shared" si="272"/>
        <v>100</v>
      </c>
      <c r="G1574" s="316">
        <f t="shared" si="273"/>
        <v>100</v>
      </c>
      <c r="H1574" s="317" t="b">
        <v>1</v>
      </c>
      <c r="I1574" s="143" t="s">
        <v>974</v>
      </c>
      <c r="J1574" s="321" t="s">
        <v>1782</v>
      </c>
      <c r="K1574" s="317" t="b">
        <v>0</v>
      </c>
      <c r="L1574" s="279" t="b">
        <v>1</v>
      </c>
    </row>
    <row r="1575" ht="14.25" hidden="1" customHeight="1" outlineLevel="1">
      <c r="A1575" s="344">
        <v>46082.0</v>
      </c>
      <c r="B1575" s="132">
        <v>46095.0</v>
      </c>
      <c r="C1575" s="41" t="s">
        <v>69</v>
      </c>
      <c r="D1575" s="67">
        <v>2.0</v>
      </c>
      <c r="E1575" s="69">
        <v>6.79</v>
      </c>
      <c r="F1575" s="287">
        <f t="shared" si="272"/>
        <v>13.58</v>
      </c>
      <c r="G1575" s="326">
        <f>SUM(F1575:F1577)</f>
        <v>50.25</v>
      </c>
      <c r="H1575" s="278" t="b">
        <v>0</v>
      </c>
      <c r="I1575" s="164"/>
      <c r="J1575" s="42" t="s">
        <v>230</v>
      </c>
      <c r="K1575" s="278" t="b">
        <v>1</v>
      </c>
      <c r="L1575" s="278" t="b">
        <v>1</v>
      </c>
    </row>
    <row r="1576" ht="14.25" hidden="1" customHeight="1" outlineLevel="1">
      <c r="A1576" s="344">
        <v>46082.0</v>
      </c>
      <c r="B1576" s="132">
        <v>46095.0</v>
      </c>
      <c r="C1576" s="41" t="s">
        <v>112</v>
      </c>
      <c r="D1576" s="67">
        <v>2.0</v>
      </c>
      <c r="E1576" s="69">
        <v>13.69</v>
      </c>
      <c r="F1576" s="287">
        <f t="shared" si="272"/>
        <v>27.38</v>
      </c>
      <c r="G1576" s="58"/>
      <c r="H1576" s="58"/>
      <c r="I1576" s="194"/>
      <c r="J1576" s="42" t="s">
        <v>1797</v>
      </c>
      <c r="K1576" s="58"/>
      <c r="L1576" s="58"/>
    </row>
    <row r="1577" ht="14.25" hidden="1" customHeight="1" outlineLevel="1">
      <c r="A1577" s="344">
        <v>46082.0</v>
      </c>
      <c r="B1577" s="132">
        <v>46095.0</v>
      </c>
      <c r="C1577" s="41" t="s">
        <v>231</v>
      </c>
      <c r="D1577" s="67">
        <v>1.0</v>
      </c>
      <c r="E1577" s="69">
        <v>9.29</v>
      </c>
      <c r="F1577" s="287">
        <f t="shared" si="272"/>
        <v>9.29</v>
      </c>
      <c r="G1577" s="10"/>
      <c r="H1577" s="10"/>
      <c r="I1577" s="74"/>
      <c r="J1577" s="42" t="s">
        <v>1799</v>
      </c>
      <c r="K1577" s="10"/>
      <c r="L1577" s="10"/>
    </row>
    <row r="1578" ht="14.25" hidden="1" customHeight="1" outlineLevel="1">
      <c r="A1578" s="344">
        <v>46082.0</v>
      </c>
      <c r="B1578" s="132">
        <v>46096.0</v>
      </c>
      <c r="C1578" s="41" t="s">
        <v>61</v>
      </c>
      <c r="D1578" s="182">
        <v>1.0</v>
      </c>
      <c r="E1578" s="316">
        <v>200.0</v>
      </c>
      <c r="F1578" s="316">
        <v>200.0</v>
      </c>
      <c r="G1578" s="316">
        <v>200.0</v>
      </c>
      <c r="H1578" s="317" t="b">
        <v>1</v>
      </c>
      <c r="I1578" s="318" t="s">
        <v>490</v>
      </c>
      <c r="J1578" s="321" t="s">
        <v>1192</v>
      </c>
      <c r="K1578" s="279" t="b">
        <v>0</v>
      </c>
      <c r="L1578" s="279" t="b">
        <v>1</v>
      </c>
    </row>
    <row r="1579" ht="14.25" hidden="1" customHeight="1" outlineLevel="1">
      <c r="A1579" s="344">
        <v>46082.0</v>
      </c>
      <c r="B1579" s="132">
        <v>46096.0</v>
      </c>
      <c r="C1579" s="41" t="s">
        <v>61</v>
      </c>
      <c r="D1579" s="182">
        <v>1.0</v>
      </c>
      <c r="E1579" s="316">
        <v>200.0</v>
      </c>
      <c r="F1579" s="316">
        <v>200.0</v>
      </c>
      <c r="G1579" s="316">
        <v>200.0</v>
      </c>
      <c r="H1579" s="317" t="b">
        <v>1</v>
      </c>
      <c r="I1579" s="318" t="s">
        <v>296</v>
      </c>
      <c r="J1579" s="321" t="s">
        <v>1193</v>
      </c>
      <c r="K1579" s="279" t="b">
        <v>0</v>
      </c>
      <c r="L1579" s="279" t="b">
        <v>1</v>
      </c>
    </row>
    <row r="1580" ht="14.25" hidden="1" customHeight="1" outlineLevel="1">
      <c r="A1580" s="344">
        <v>46082.0</v>
      </c>
      <c r="B1580" s="132">
        <v>46096.0</v>
      </c>
      <c r="C1580" s="41" t="s">
        <v>61</v>
      </c>
      <c r="D1580" s="182">
        <v>1.0</v>
      </c>
      <c r="E1580" s="316">
        <v>200.0</v>
      </c>
      <c r="F1580" s="316">
        <v>200.0</v>
      </c>
      <c r="G1580" s="316">
        <v>200.0</v>
      </c>
      <c r="H1580" s="317" t="b">
        <v>1</v>
      </c>
      <c r="I1580" s="318" t="s">
        <v>1484</v>
      </c>
      <c r="J1580" s="321" t="s">
        <v>1195</v>
      </c>
      <c r="K1580" s="279" t="b">
        <v>0</v>
      </c>
      <c r="L1580" s="279" t="b">
        <v>1</v>
      </c>
    </row>
    <row r="1581" ht="14.25" hidden="1" customHeight="1" outlineLevel="1">
      <c r="A1581" s="344">
        <v>46082.0</v>
      </c>
      <c r="B1581" s="132">
        <v>46097.0</v>
      </c>
      <c r="C1581" s="41" t="s">
        <v>61</v>
      </c>
      <c r="D1581" s="182">
        <v>1.0</v>
      </c>
      <c r="E1581" s="183">
        <v>150.0</v>
      </c>
      <c r="F1581" s="183">
        <v>150.0</v>
      </c>
      <c r="G1581" s="183">
        <v>150.0</v>
      </c>
      <c r="H1581" s="279" t="b">
        <v>1</v>
      </c>
      <c r="I1581" s="143" t="s">
        <v>1327</v>
      </c>
      <c r="J1581" s="41" t="s">
        <v>1691</v>
      </c>
      <c r="K1581" s="279" t="b">
        <v>0</v>
      </c>
      <c r="L1581" s="279" t="b">
        <v>1</v>
      </c>
    </row>
    <row r="1582" ht="14.25" hidden="1" customHeight="1" outlineLevel="1">
      <c r="A1582" s="344">
        <v>46082.0</v>
      </c>
      <c r="B1582" s="132">
        <v>46098.0</v>
      </c>
      <c r="C1582" s="41" t="s">
        <v>61</v>
      </c>
      <c r="D1582" s="182">
        <v>1.0</v>
      </c>
      <c r="E1582" s="183">
        <v>150.0</v>
      </c>
      <c r="F1582" s="183">
        <v>150.0</v>
      </c>
      <c r="G1582" s="183">
        <v>150.0</v>
      </c>
      <c r="H1582" s="279" t="b">
        <v>1</v>
      </c>
      <c r="I1582" s="143" t="s">
        <v>236</v>
      </c>
      <c r="J1582" s="41" t="s">
        <v>1817</v>
      </c>
      <c r="K1582" s="279" t="b">
        <v>0</v>
      </c>
      <c r="L1582" s="279" t="b">
        <v>1</v>
      </c>
    </row>
    <row r="1583" ht="14.25" hidden="1" customHeight="1" outlineLevel="1">
      <c r="A1583" s="344">
        <v>46082.0</v>
      </c>
      <c r="B1583" s="132">
        <v>46100.0</v>
      </c>
      <c r="C1583" s="327" t="s">
        <v>61</v>
      </c>
      <c r="D1583" s="315">
        <v>1.0</v>
      </c>
      <c r="E1583" s="337">
        <v>200.0</v>
      </c>
      <c r="F1583" s="316">
        <f t="shared" ref="F1583:F1586" si="274">D1583*E1583</f>
        <v>200</v>
      </c>
      <c r="G1583" s="316">
        <f t="shared" ref="G1583:G1586" si="275">F1583</f>
        <v>200</v>
      </c>
      <c r="H1583" s="317" t="b">
        <v>1</v>
      </c>
      <c r="I1583" s="143" t="s">
        <v>1329</v>
      </c>
      <c r="J1583" s="321" t="s">
        <v>1819</v>
      </c>
      <c r="K1583" s="317" t="b">
        <v>0</v>
      </c>
      <c r="L1583" s="279" t="b">
        <v>1</v>
      </c>
    </row>
    <row r="1584" ht="14.25" hidden="1" customHeight="1" outlineLevel="1">
      <c r="A1584" s="344">
        <v>46082.0</v>
      </c>
      <c r="B1584" s="132">
        <v>46101.0</v>
      </c>
      <c r="C1584" s="327" t="s">
        <v>61</v>
      </c>
      <c r="D1584" s="315">
        <v>1.0</v>
      </c>
      <c r="E1584" s="316">
        <v>150.0</v>
      </c>
      <c r="F1584" s="316">
        <f t="shared" si="274"/>
        <v>150</v>
      </c>
      <c r="G1584" s="316">
        <f t="shared" si="275"/>
        <v>150</v>
      </c>
      <c r="H1584" s="317" t="b">
        <v>1</v>
      </c>
      <c r="I1584" s="143" t="s">
        <v>236</v>
      </c>
      <c r="J1584" s="321" t="s">
        <v>1184</v>
      </c>
      <c r="K1584" s="279" t="b">
        <v>0</v>
      </c>
      <c r="L1584" s="279" t="b">
        <v>1</v>
      </c>
    </row>
    <row r="1585" ht="14.25" hidden="1" customHeight="1" outlineLevel="1">
      <c r="A1585" s="344">
        <v>46082.0</v>
      </c>
      <c r="B1585" s="132">
        <v>46101.0</v>
      </c>
      <c r="C1585" s="41" t="s">
        <v>80</v>
      </c>
      <c r="D1585" s="182">
        <v>2.0</v>
      </c>
      <c r="E1585" s="69">
        <v>15.0</v>
      </c>
      <c r="F1585" s="287">
        <f t="shared" si="274"/>
        <v>30</v>
      </c>
      <c r="G1585" s="287">
        <f t="shared" si="275"/>
        <v>30</v>
      </c>
      <c r="H1585" s="279" t="b">
        <v>0</v>
      </c>
      <c r="I1585" s="143" t="s">
        <v>481</v>
      </c>
      <c r="J1585" s="42" t="s">
        <v>1092</v>
      </c>
      <c r="K1585" s="279" t="b">
        <v>1</v>
      </c>
      <c r="L1585" s="279" t="b">
        <v>1</v>
      </c>
    </row>
    <row r="1586" ht="14.25" hidden="1" customHeight="1" outlineLevel="1">
      <c r="A1586" s="344">
        <v>46082.0</v>
      </c>
      <c r="B1586" s="132">
        <v>46101.0</v>
      </c>
      <c r="C1586" s="41" t="s">
        <v>75</v>
      </c>
      <c r="D1586" s="67">
        <v>3.0</v>
      </c>
      <c r="E1586" s="69">
        <v>33.2</v>
      </c>
      <c r="F1586" s="287">
        <f t="shared" si="274"/>
        <v>99.6</v>
      </c>
      <c r="G1586" s="287">
        <f t="shared" si="275"/>
        <v>99.6</v>
      </c>
      <c r="H1586" s="279" t="b">
        <v>0</v>
      </c>
      <c r="I1586" s="143" t="s">
        <v>225</v>
      </c>
      <c r="J1586" s="42" t="s">
        <v>1160</v>
      </c>
      <c r="K1586" s="279" t="b">
        <v>1</v>
      </c>
      <c r="L1586" s="279" t="b">
        <v>1</v>
      </c>
    </row>
    <row r="1587" ht="14.25" hidden="1" customHeight="1" outlineLevel="1">
      <c r="A1587" s="344">
        <v>46082.0</v>
      </c>
      <c r="B1587" s="132">
        <v>46103.0</v>
      </c>
      <c r="C1587" s="41" t="s">
        <v>61</v>
      </c>
      <c r="D1587" s="182">
        <v>1.0</v>
      </c>
      <c r="E1587" s="316">
        <v>200.0</v>
      </c>
      <c r="F1587" s="316">
        <v>200.0</v>
      </c>
      <c r="G1587" s="316">
        <v>200.0</v>
      </c>
      <c r="H1587" s="317" t="b">
        <v>1</v>
      </c>
      <c r="I1587" s="318" t="s">
        <v>490</v>
      </c>
      <c r="J1587" s="321" t="s">
        <v>1192</v>
      </c>
      <c r="K1587" s="279" t="b">
        <v>0</v>
      </c>
      <c r="L1587" s="279" t="b">
        <v>1</v>
      </c>
    </row>
    <row r="1588" ht="14.25" hidden="1" customHeight="1" outlineLevel="1">
      <c r="A1588" s="344">
        <v>46082.0</v>
      </c>
      <c r="B1588" s="132">
        <v>46103.0</v>
      </c>
      <c r="C1588" s="41" t="s">
        <v>61</v>
      </c>
      <c r="D1588" s="182">
        <v>1.0</v>
      </c>
      <c r="E1588" s="316">
        <v>200.0</v>
      </c>
      <c r="F1588" s="316">
        <v>200.0</v>
      </c>
      <c r="G1588" s="316">
        <v>200.0</v>
      </c>
      <c r="H1588" s="317" t="b">
        <v>1</v>
      </c>
      <c r="I1588" s="318" t="s">
        <v>296</v>
      </c>
      <c r="J1588" s="321" t="s">
        <v>1835</v>
      </c>
      <c r="K1588" s="279" t="b">
        <v>0</v>
      </c>
      <c r="L1588" s="279" t="b">
        <v>1</v>
      </c>
    </row>
    <row r="1589" ht="14.25" hidden="1" customHeight="1" outlineLevel="1">
      <c r="A1589" s="344">
        <v>46082.0</v>
      </c>
      <c r="B1589" s="132">
        <v>46103.0</v>
      </c>
      <c r="C1589" s="41" t="s">
        <v>61</v>
      </c>
      <c r="D1589" s="182">
        <v>1.0</v>
      </c>
      <c r="E1589" s="316">
        <v>200.0</v>
      </c>
      <c r="F1589" s="316">
        <v>200.0</v>
      </c>
      <c r="G1589" s="316">
        <v>200.0</v>
      </c>
      <c r="H1589" s="317" t="b">
        <v>1</v>
      </c>
      <c r="I1589" s="318" t="s">
        <v>980</v>
      </c>
      <c r="J1589" s="321" t="s">
        <v>1193</v>
      </c>
      <c r="K1589" s="279" t="b">
        <v>0</v>
      </c>
      <c r="L1589" s="279" t="b">
        <v>1</v>
      </c>
    </row>
    <row r="1590" ht="14.25" hidden="1" customHeight="1" outlineLevel="1">
      <c r="A1590" s="344">
        <v>46082.0</v>
      </c>
      <c r="B1590" s="132">
        <v>46103.0</v>
      </c>
      <c r="C1590" s="41" t="s">
        <v>61</v>
      </c>
      <c r="D1590" s="182">
        <v>1.0</v>
      </c>
      <c r="E1590" s="316">
        <v>200.0</v>
      </c>
      <c r="F1590" s="316">
        <v>200.0</v>
      </c>
      <c r="G1590" s="316">
        <v>200.0</v>
      </c>
      <c r="H1590" s="317" t="b">
        <v>1</v>
      </c>
      <c r="I1590" s="318" t="s">
        <v>1484</v>
      </c>
      <c r="J1590" s="321" t="s">
        <v>1195</v>
      </c>
      <c r="K1590" s="279" t="b">
        <v>0</v>
      </c>
      <c r="L1590" s="279" t="b">
        <v>1</v>
      </c>
    </row>
    <row r="1591" ht="14.25" hidden="1" customHeight="1" outlineLevel="1">
      <c r="A1591" s="344">
        <v>46082.0</v>
      </c>
      <c r="B1591" s="132">
        <v>46104.0</v>
      </c>
      <c r="C1591" s="41" t="s">
        <v>61</v>
      </c>
      <c r="D1591" s="182">
        <v>1.0</v>
      </c>
      <c r="E1591" s="183">
        <v>150.0</v>
      </c>
      <c r="F1591" s="183">
        <v>150.0</v>
      </c>
      <c r="G1591" s="183">
        <v>150.0</v>
      </c>
      <c r="H1591" s="279" t="b">
        <v>1</v>
      </c>
      <c r="I1591" s="143" t="s">
        <v>1327</v>
      </c>
      <c r="J1591" s="41" t="s">
        <v>1691</v>
      </c>
      <c r="K1591" s="279" t="b">
        <v>0</v>
      </c>
      <c r="L1591" s="279" t="b">
        <v>1</v>
      </c>
    </row>
    <row r="1592" ht="14.25" hidden="1" customHeight="1" outlineLevel="1">
      <c r="A1592" s="344">
        <v>46082.0</v>
      </c>
      <c r="B1592" s="132">
        <v>46104.0</v>
      </c>
      <c r="C1592" s="41" t="s">
        <v>93</v>
      </c>
      <c r="D1592" s="67">
        <v>1.0</v>
      </c>
      <c r="E1592" s="69">
        <v>123.0</v>
      </c>
      <c r="F1592" s="69">
        <v>123.0</v>
      </c>
      <c r="G1592" s="69">
        <v>123.0</v>
      </c>
      <c r="H1592" s="279" t="b">
        <v>0</v>
      </c>
      <c r="I1592" s="143" t="s">
        <v>1839</v>
      </c>
      <c r="J1592" s="42" t="s">
        <v>1520</v>
      </c>
      <c r="K1592" s="279" t="b">
        <v>1</v>
      </c>
      <c r="L1592" s="279" t="b">
        <v>1</v>
      </c>
    </row>
    <row r="1593" ht="14.25" hidden="1" customHeight="1" outlineLevel="1">
      <c r="A1593" s="344">
        <v>46082.0</v>
      </c>
      <c r="B1593" s="132">
        <v>46104.0</v>
      </c>
      <c r="C1593" s="41" t="s">
        <v>55</v>
      </c>
      <c r="D1593" s="67">
        <v>2.0</v>
      </c>
      <c r="E1593" s="69">
        <v>60.1</v>
      </c>
      <c r="F1593" s="69">
        <f>D1593*E1593</f>
        <v>120.2</v>
      </c>
      <c r="G1593" s="287">
        <f>F1593</f>
        <v>120.2</v>
      </c>
      <c r="H1593" s="279" t="b">
        <v>0</v>
      </c>
      <c r="I1593" s="143" t="s">
        <v>1610</v>
      </c>
      <c r="J1593" s="42" t="s">
        <v>1847</v>
      </c>
      <c r="K1593" s="279" t="b">
        <v>1</v>
      </c>
      <c r="L1593" s="279" t="b">
        <v>1</v>
      </c>
    </row>
    <row r="1594" ht="14.25" hidden="1" customHeight="1" outlineLevel="1">
      <c r="A1594" s="344">
        <v>46082.0</v>
      </c>
      <c r="B1594" s="132">
        <v>46105.0</v>
      </c>
      <c r="C1594" s="41" t="s">
        <v>61</v>
      </c>
      <c r="D1594" s="182">
        <v>1.0</v>
      </c>
      <c r="E1594" s="183">
        <v>150.0</v>
      </c>
      <c r="F1594" s="183">
        <v>150.0</v>
      </c>
      <c r="G1594" s="183">
        <v>150.0</v>
      </c>
      <c r="H1594" s="279" t="b">
        <v>1</v>
      </c>
      <c r="I1594" s="143" t="s">
        <v>236</v>
      </c>
      <c r="J1594" s="41" t="s">
        <v>1772</v>
      </c>
      <c r="K1594" s="279" t="b">
        <v>0</v>
      </c>
      <c r="L1594" s="279" t="b">
        <v>1</v>
      </c>
    </row>
    <row r="1595" ht="14.25" hidden="1" customHeight="1" outlineLevel="1">
      <c r="A1595" s="344">
        <v>46082.0</v>
      </c>
      <c r="B1595" s="132">
        <v>46107.0</v>
      </c>
      <c r="C1595" s="327" t="s">
        <v>61</v>
      </c>
      <c r="D1595" s="315">
        <v>1.0</v>
      </c>
      <c r="E1595" s="316">
        <v>150.0</v>
      </c>
      <c r="F1595" s="316">
        <f t="shared" ref="F1595:F1596" si="276">D1595*E1595</f>
        <v>150</v>
      </c>
      <c r="G1595" s="316">
        <f t="shared" ref="G1595:G1596" si="277">F1595</f>
        <v>150</v>
      </c>
      <c r="H1595" s="317" t="b">
        <v>1</v>
      </c>
      <c r="I1595" s="143" t="s">
        <v>980</v>
      </c>
      <c r="J1595" s="321" t="s">
        <v>1181</v>
      </c>
      <c r="K1595" s="317" t="b">
        <v>0</v>
      </c>
      <c r="L1595" s="279" t="b">
        <v>1</v>
      </c>
    </row>
    <row r="1596" ht="14.25" hidden="1" customHeight="1" outlineLevel="1">
      <c r="A1596" s="344">
        <v>46082.0</v>
      </c>
      <c r="B1596" s="132">
        <v>46108.0</v>
      </c>
      <c r="C1596" s="327" t="s">
        <v>61</v>
      </c>
      <c r="D1596" s="315">
        <v>1.0</v>
      </c>
      <c r="E1596" s="316">
        <v>150.0</v>
      </c>
      <c r="F1596" s="316">
        <f t="shared" si="276"/>
        <v>150</v>
      </c>
      <c r="G1596" s="316">
        <f t="shared" si="277"/>
        <v>150</v>
      </c>
      <c r="H1596" s="317" t="b">
        <v>1</v>
      </c>
      <c r="I1596" s="143" t="s">
        <v>236</v>
      </c>
      <c r="J1596" s="321" t="s">
        <v>1184</v>
      </c>
      <c r="K1596" s="279" t="b">
        <v>0</v>
      </c>
      <c r="L1596" s="279" t="b">
        <v>1</v>
      </c>
    </row>
    <row r="1597" ht="14.25" hidden="1" customHeight="1" outlineLevel="1">
      <c r="A1597" s="344">
        <v>46082.0</v>
      </c>
      <c r="B1597" s="132">
        <v>46110.0</v>
      </c>
      <c r="C1597" s="41" t="s">
        <v>61</v>
      </c>
      <c r="D1597" s="182">
        <v>1.0</v>
      </c>
      <c r="E1597" s="316">
        <v>200.0</v>
      </c>
      <c r="F1597" s="316">
        <v>200.0</v>
      </c>
      <c r="G1597" s="316">
        <v>200.0</v>
      </c>
      <c r="H1597" s="317" t="b">
        <v>1</v>
      </c>
      <c r="I1597" s="318" t="s">
        <v>490</v>
      </c>
      <c r="J1597" s="321" t="s">
        <v>1192</v>
      </c>
      <c r="K1597" s="279" t="b">
        <v>0</v>
      </c>
      <c r="L1597" s="279" t="b">
        <v>1</v>
      </c>
    </row>
    <row r="1598" ht="14.25" hidden="1" customHeight="1" outlineLevel="1">
      <c r="A1598" s="344">
        <v>46082.0</v>
      </c>
      <c r="B1598" s="132">
        <v>46110.0</v>
      </c>
      <c r="C1598" s="41" t="s">
        <v>61</v>
      </c>
      <c r="D1598" s="182">
        <v>1.0</v>
      </c>
      <c r="E1598" s="316">
        <v>200.0</v>
      </c>
      <c r="F1598" s="316">
        <v>200.0</v>
      </c>
      <c r="G1598" s="316">
        <v>200.0</v>
      </c>
      <c r="H1598" s="317" t="b">
        <v>1</v>
      </c>
      <c r="I1598" s="318" t="s">
        <v>296</v>
      </c>
      <c r="J1598" s="321" t="s">
        <v>1835</v>
      </c>
      <c r="K1598" s="279" t="b">
        <v>0</v>
      </c>
      <c r="L1598" s="279" t="b">
        <v>1</v>
      </c>
    </row>
    <row r="1599" ht="14.25" hidden="1" customHeight="1" outlineLevel="1">
      <c r="A1599" s="344">
        <v>46082.0</v>
      </c>
      <c r="B1599" s="132">
        <v>46110.0</v>
      </c>
      <c r="C1599" s="41" t="s">
        <v>61</v>
      </c>
      <c r="D1599" s="182">
        <v>1.0</v>
      </c>
      <c r="E1599" s="316">
        <v>200.0</v>
      </c>
      <c r="F1599" s="316">
        <v>200.0</v>
      </c>
      <c r="G1599" s="316">
        <v>200.0</v>
      </c>
      <c r="H1599" s="317" t="b">
        <v>1</v>
      </c>
      <c r="I1599" s="318" t="s">
        <v>1484</v>
      </c>
      <c r="J1599" s="321" t="s">
        <v>1195</v>
      </c>
      <c r="K1599" s="279" t="b">
        <v>0</v>
      </c>
      <c r="L1599" s="279" t="b">
        <v>1</v>
      </c>
    </row>
    <row r="1600" ht="14.25" hidden="1" customHeight="1" outlineLevel="1">
      <c r="A1600" s="344">
        <v>46082.0</v>
      </c>
      <c r="B1600" s="132">
        <v>46112.0</v>
      </c>
      <c r="C1600" s="41" t="s">
        <v>61</v>
      </c>
      <c r="D1600" s="182">
        <v>1.0</v>
      </c>
      <c r="E1600" s="183">
        <v>150.0</v>
      </c>
      <c r="F1600" s="183">
        <v>150.0</v>
      </c>
      <c r="G1600" s="183">
        <v>150.0</v>
      </c>
      <c r="H1600" s="279" t="b">
        <v>1</v>
      </c>
      <c r="I1600" s="143" t="s">
        <v>236</v>
      </c>
      <c r="J1600" s="41" t="s">
        <v>1772</v>
      </c>
      <c r="K1600" s="279" t="b">
        <v>0</v>
      </c>
      <c r="L1600" s="279" t="b">
        <v>1</v>
      </c>
    </row>
    <row r="1601" ht="14.25" hidden="1" customHeight="1" outlineLevel="1">
      <c r="A1601" s="344">
        <v>46082.0</v>
      </c>
      <c r="B1601" s="132">
        <v>46104.0</v>
      </c>
      <c r="C1601" s="41" t="s">
        <v>55</v>
      </c>
      <c r="D1601" s="67">
        <v>1.0</v>
      </c>
      <c r="E1601" s="69">
        <v>220.2</v>
      </c>
      <c r="F1601" s="69">
        <v>220.2</v>
      </c>
      <c r="G1601" s="287">
        <f>F1601</f>
        <v>220.2</v>
      </c>
      <c r="H1601" s="279" t="b">
        <v>0</v>
      </c>
      <c r="I1601" s="143" t="s">
        <v>1610</v>
      </c>
      <c r="J1601" s="42" t="s">
        <v>464</v>
      </c>
      <c r="K1601" s="279" t="b">
        <v>0</v>
      </c>
      <c r="L1601" s="279" t="b">
        <v>0</v>
      </c>
    </row>
    <row r="1602" ht="14.25" hidden="1" customHeight="1" outlineLevel="1">
      <c r="A1602" s="344">
        <v>46082.0</v>
      </c>
      <c r="B1602" s="132">
        <v>46108.0</v>
      </c>
      <c r="C1602" s="41" t="s">
        <v>75</v>
      </c>
      <c r="D1602" s="67">
        <v>1.0</v>
      </c>
      <c r="E1602" s="69">
        <v>200.0</v>
      </c>
      <c r="F1602" s="69">
        <v>200.0</v>
      </c>
      <c r="G1602" s="445">
        <v>200.0</v>
      </c>
      <c r="H1602" s="279" t="b">
        <v>0</v>
      </c>
      <c r="I1602" s="143" t="s">
        <v>76</v>
      </c>
      <c r="J1602" s="42" t="s">
        <v>1873</v>
      </c>
      <c r="K1602" s="279" t="b">
        <v>0</v>
      </c>
      <c r="L1602" s="279" t="b">
        <v>1</v>
      </c>
    </row>
    <row r="1603" ht="14.25" hidden="1" customHeight="1" outlineLevel="1">
      <c r="A1603" s="344">
        <v>46082.0</v>
      </c>
      <c r="B1603" s="132">
        <v>46112.0</v>
      </c>
      <c r="C1603" s="41" t="s">
        <v>61</v>
      </c>
      <c r="D1603" s="182">
        <v>1.0</v>
      </c>
      <c r="E1603" s="337">
        <v>3300.0</v>
      </c>
      <c r="F1603" s="316">
        <f t="shared" ref="F1603:F1605" si="278">D1603*E1603</f>
        <v>3300</v>
      </c>
      <c r="G1603" s="316">
        <f t="shared" ref="G1603:G1605" si="279">F1603</f>
        <v>3300</v>
      </c>
      <c r="H1603" s="317" t="b">
        <v>1</v>
      </c>
      <c r="I1603" s="318" t="s">
        <v>1484</v>
      </c>
      <c r="J1603" s="321" t="s">
        <v>1874</v>
      </c>
      <c r="K1603" s="279" t="b">
        <v>0</v>
      </c>
      <c r="L1603" s="279" t="b">
        <v>1</v>
      </c>
    </row>
    <row r="1604" ht="14.25" hidden="1" customHeight="1" outlineLevel="1">
      <c r="A1604" s="344">
        <v>46082.0</v>
      </c>
      <c r="B1604" s="132">
        <v>46112.0</v>
      </c>
      <c r="C1604" s="41" t="s">
        <v>61</v>
      </c>
      <c r="D1604" s="182">
        <v>1.0</v>
      </c>
      <c r="E1604" s="337">
        <v>1500.0</v>
      </c>
      <c r="F1604" s="316">
        <f t="shared" si="278"/>
        <v>1500</v>
      </c>
      <c r="G1604" s="316">
        <f t="shared" si="279"/>
        <v>1500</v>
      </c>
      <c r="H1604" s="279" t="b">
        <v>1</v>
      </c>
      <c r="I1604" s="143" t="s">
        <v>1875</v>
      </c>
      <c r="J1604" s="321" t="s">
        <v>1876</v>
      </c>
      <c r="K1604" s="279" t="b">
        <v>0</v>
      </c>
      <c r="L1604" s="279" t="b">
        <v>1</v>
      </c>
    </row>
    <row r="1605" ht="14.25" hidden="1" customHeight="1" outlineLevel="1">
      <c r="A1605" s="344">
        <v>46082.0</v>
      </c>
      <c r="B1605" s="132">
        <v>46112.0</v>
      </c>
      <c r="C1605" s="41" t="s">
        <v>171</v>
      </c>
      <c r="D1605" s="182">
        <v>1.0</v>
      </c>
      <c r="E1605" s="69">
        <v>194.75</v>
      </c>
      <c r="F1605" s="287">
        <f t="shared" si="278"/>
        <v>194.75</v>
      </c>
      <c r="G1605" s="287">
        <f t="shared" si="279"/>
        <v>194.75</v>
      </c>
      <c r="H1605" s="279" t="b">
        <v>0</v>
      </c>
      <c r="I1605" s="143" t="s">
        <v>752</v>
      </c>
      <c r="J1605" s="321" t="s">
        <v>752</v>
      </c>
      <c r="K1605" s="279" t="b">
        <v>0</v>
      </c>
      <c r="L1605" s="279" t="b">
        <v>0</v>
      </c>
    </row>
    <row r="1606" ht="14.25" customHeight="1">
      <c r="A1606" s="180" t="s">
        <v>192</v>
      </c>
      <c r="B1606" s="27"/>
      <c r="C1606" s="27"/>
      <c r="D1606" s="27"/>
      <c r="E1606" s="28"/>
      <c r="F1606" s="181">
        <f t="shared" ref="F1606:G1606" si="280">SUM(F1554:F1605)</f>
        <v>12758</v>
      </c>
      <c r="G1606" s="181">
        <f t="shared" si="280"/>
        <v>12758</v>
      </c>
    </row>
    <row r="1607" ht="14.25" customHeight="1" collapsed="1">
      <c r="A1607" s="245" t="s">
        <v>1533</v>
      </c>
      <c r="B1607" s="246"/>
      <c r="C1607" s="246"/>
      <c r="D1607" s="246"/>
      <c r="E1607" s="246"/>
      <c r="F1607" s="246"/>
      <c r="G1607" s="246"/>
      <c r="H1607" s="246"/>
      <c r="I1607" s="246"/>
      <c r="J1607" s="247"/>
    </row>
    <row r="1608" ht="14.25" hidden="1" customHeight="1" outlineLevel="1">
      <c r="A1608" s="344">
        <v>46113.0</v>
      </c>
      <c r="B1608" s="132">
        <v>46113.0</v>
      </c>
      <c r="C1608" s="41" t="s">
        <v>61</v>
      </c>
      <c r="D1608" s="182">
        <v>1.0</v>
      </c>
      <c r="E1608" s="337">
        <v>150.0</v>
      </c>
      <c r="F1608" s="337">
        <v>150.0</v>
      </c>
      <c r="G1608" s="337">
        <v>150.0</v>
      </c>
      <c r="H1608" s="317" t="b">
        <v>1</v>
      </c>
      <c r="I1608" s="318" t="s">
        <v>490</v>
      </c>
      <c r="J1608" s="321" t="s">
        <v>1877</v>
      </c>
      <c r="K1608" s="279" t="b">
        <v>0</v>
      </c>
      <c r="L1608" s="279" t="b">
        <v>1</v>
      </c>
    </row>
    <row r="1609" ht="14.25" hidden="1" customHeight="1" outlineLevel="1">
      <c r="A1609" s="344">
        <v>46113.0</v>
      </c>
      <c r="B1609" s="132">
        <v>46113.0</v>
      </c>
      <c r="C1609" s="41" t="s">
        <v>80</v>
      </c>
      <c r="D1609" s="67">
        <v>2.0</v>
      </c>
      <c r="E1609" s="69">
        <v>15.0</v>
      </c>
      <c r="F1609" s="287">
        <f t="shared" ref="F1609:F1614" si="281">D1609*E1609</f>
        <v>30</v>
      </c>
      <c r="G1609" s="287">
        <f t="shared" ref="G1609:G1614" si="282">F1609</f>
        <v>30</v>
      </c>
      <c r="H1609" s="279" t="b">
        <v>0</v>
      </c>
      <c r="I1609" s="143" t="s">
        <v>481</v>
      </c>
      <c r="J1609" s="42" t="s">
        <v>1483</v>
      </c>
      <c r="K1609" s="279" t="b">
        <v>1</v>
      </c>
      <c r="L1609" s="279" t="b">
        <v>1</v>
      </c>
    </row>
    <row r="1610" ht="14.25" hidden="1" customHeight="1" outlineLevel="1">
      <c r="A1610" s="344">
        <v>46113.0</v>
      </c>
      <c r="B1610" s="132">
        <v>46114.0</v>
      </c>
      <c r="C1610" s="327" t="s">
        <v>61</v>
      </c>
      <c r="D1610" s="315">
        <v>1.0</v>
      </c>
      <c r="E1610" s="337">
        <v>200.0</v>
      </c>
      <c r="F1610" s="316">
        <f t="shared" si="281"/>
        <v>200</v>
      </c>
      <c r="G1610" s="316">
        <f t="shared" si="282"/>
        <v>200</v>
      </c>
      <c r="H1610" s="317" t="b">
        <v>1</v>
      </c>
      <c r="I1610" s="143" t="s">
        <v>242</v>
      </c>
      <c r="J1610" s="321" t="s">
        <v>1878</v>
      </c>
      <c r="K1610" s="317" t="b">
        <v>0</v>
      </c>
      <c r="L1610" s="279" t="b">
        <v>1</v>
      </c>
    </row>
    <row r="1611" ht="14.25" hidden="1" customHeight="1" outlineLevel="1">
      <c r="A1611" s="344">
        <v>46113.0</v>
      </c>
      <c r="B1611" s="132">
        <v>46115.0</v>
      </c>
      <c r="C1611" s="327" t="s">
        <v>61</v>
      </c>
      <c r="D1611" s="315">
        <v>1.0</v>
      </c>
      <c r="E1611" s="337">
        <v>200.0</v>
      </c>
      <c r="F1611" s="316">
        <f t="shared" si="281"/>
        <v>200</v>
      </c>
      <c r="G1611" s="316">
        <f t="shared" si="282"/>
        <v>200</v>
      </c>
      <c r="H1611" s="317" t="b">
        <v>1</v>
      </c>
      <c r="I1611" s="143" t="s">
        <v>242</v>
      </c>
      <c r="J1611" s="321" t="s">
        <v>1879</v>
      </c>
      <c r="K1611" s="317" t="b">
        <v>0</v>
      </c>
      <c r="L1611" s="279" t="b">
        <v>1</v>
      </c>
    </row>
    <row r="1612" ht="14.25" hidden="1" customHeight="1" outlineLevel="1">
      <c r="A1612" s="344">
        <v>46113.0</v>
      </c>
      <c r="B1612" s="132">
        <v>46116.0</v>
      </c>
      <c r="C1612" s="327" t="s">
        <v>61</v>
      </c>
      <c r="D1612" s="315">
        <v>1.0</v>
      </c>
      <c r="E1612" s="337">
        <v>200.0</v>
      </c>
      <c r="F1612" s="316">
        <f t="shared" si="281"/>
        <v>200</v>
      </c>
      <c r="G1612" s="316">
        <f t="shared" si="282"/>
        <v>200</v>
      </c>
      <c r="H1612" s="317" t="b">
        <v>1</v>
      </c>
      <c r="I1612" s="143" t="s">
        <v>242</v>
      </c>
      <c r="J1612" s="321" t="s">
        <v>1880</v>
      </c>
      <c r="K1612" s="317" t="b">
        <v>0</v>
      </c>
      <c r="L1612" s="279" t="b">
        <v>1</v>
      </c>
    </row>
    <row r="1613" ht="14.25" hidden="1" customHeight="1" outlineLevel="1">
      <c r="A1613" s="344">
        <v>46113.0</v>
      </c>
      <c r="B1613" s="132">
        <v>46116.0</v>
      </c>
      <c r="C1613" s="41" t="s">
        <v>97</v>
      </c>
      <c r="D1613" s="67">
        <v>11.0</v>
      </c>
      <c r="E1613" s="69">
        <v>3.2</v>
      </c>
      <c r="F1613" s="287">
        <f t="shared" si="281"/>
        <v>35.2</v>
      </c>
      <c r="G1613" s="287">
        <f t="shared" si="282"/>
        <v>35.2</v>
      </c>
      <c r="H1613" s="279" t="b">
        <v>0</v>
      </c>
      <c r="I1613" s="143" t="s">
        <v>393</v>
      </c>
      <c r="J1613" s="42" t="s">
        <v>1881</v>
      </c>
      <c r="K1613" s="279" t="b">
        <v>1</v>
      </c>
      <c r="L1613" s="279" t="b">
        <v>1</v>
      </c>
    </row>
    <row r="1614" ht="14.25" hidden="1" customHeight="1" outlineLevel="1">
      <c r="A1614" s="344">
        <v>46113.0</v>
      </c>
      <c r="B1614" s="132">
        <v>46116.0</v>
      </c>
      <c r="C1614" s="41" t="s">
        <v>97</v>
      </c>
      <c r="D1614" s="67">
        <v>11.0</v>
      </c>
      <c r="E1614" s="69">
        <v>24.99</v>
      </c>
      <c r="F1614" s="287">
        <f t="shared" si="281"/>
        <v>274.89</v>
      </c>
      <c r="G1614" s="287">
        <f t="shared" si="282"/>
        <v>274.89</v>
      </c>
      <c r="H1614" s="279" t="b">
        <v>0</v>
      </c>
      <c r="I1614" s="143" t="s">
        <v>407</v>
      </c>
      <c r="J1614" s="42" t="s">
        <v>1882</v>
      </c>
      <c r="K1614" s="279" t="b">
        <v>1</v>
      </c>
      <c r="L1614" s="279" t="b">
        <v>1</v>
      </c>
    </row>
    <row r="1615" ht="14.25" hidden="1" customHeight="1" outlineLevel="1">
      <c r="A1615" s="344">
        <v>46113.0</v>
      </c>
      <c r="B1615" s="132">
        <v>46117.0</v>
      </c>
      <c r="C1615" s="41" t="s">
        <v>61</v>
      </c>
      <c r="D1615" s="182">
        <v>1.0</v>
      </c>
      <c r="E1615" s="316">
        <v>200.0</v>
      </c>
      <c r="F1615" s="316">
        <v>200.0</v>
      </c>
      <c r="G1615" s="316">
        <v>200.0</v>
      </c>
      <c r="H1615" s="317" t="b">
        <v>1</v>
      </c>
      <c r="I1615" s="318" t="s">
        <v>490</v>
      </c>
      <c r="J1615" s="321" t="s">
        <v>1192</v>
      </c>
      <c r="K1615" s="279" t="b">
        <v>0</v>
      </c>
      <c r="L1615" s="279" t="b">
        <v>1</v>
      </c>
    </row>
    <row r="1616" ht="14.25" hidden="1" customHeight="1" outlineLevel="1">
      <c r="A1616" s="344">
        <v>46113.0</v>
      </c>
      <c r="B1616" s="132">
        <v>46117.0</v>
      </c>
      <c r="C1616" s="41" t="s">
        <v>61</v>
      </c>
      <c r="D1616" s="182">
        <v>1.0</v>
      </c>
      <c r="E1616" s="316">
        <v>200.0</v>
      </c>
      <c r="F1616" s="316">
        <v>200.0</v>
      </c>
      <c r="G1616" s="316">
        <v>200.0</v>
      </c>
      <c r="H1616" s="317" t="b">
        <v>1</v>
      </c>
      <c r="I1616" s="318" t="s">
        <v>296</v>
      </c>
      <c r="J1616" s="321" t="s">
        <v>1835</v>
      </c>
      <c r="K1616" s="279" t="b">
        <v>0</v>
      </c>
      <c r="L1616" s="279" t="b">
        <v>1</v>
      </c>
    </row>
    <row r="1617" ht="14.25" hidden="1" customHeight="1" outlineLevel="1">
      <c r="A1617" s="344">
        <v>46113.0</v>
      </c>
      <c r="B1617" s="132">
        <v>46117.0</v>
      </c>
      <c r="C1617" s="41" t="s">
        <v>61</v>
      </c>
      <c r="D1617" s="182">
        <v>1.0</v>
      </c>
      <c r="E1617" s="316">
        <v>200.0</v>
      </c>
      <c r="F1617" s="316">
        <v>200.0</v>
      </c>
      <c r="G1617" s="316">
        <v>200.0</v>
      </c>
      <c r="H1617" s="317" t="b">
        <v>1</v>
      </c>
      <c r="I1617" s="318" t="s">
        <v>1484</v>
      </c>
      <c r="J1617" s="321" t="s">
        <v>1195</v>
      </c>
      <c r="K1617" s="279" t="b">
        <v>0</v>
      </c>
      <c r="L1617" s="279" t="b">
        <v>1</v>
      </c>
    </row>
    <row r="1618" ht="14.25" hidden="1" customHeight="1" outlineLevel="1">
      <c r="A1618" s="344">
        <v>46113.0</v>
      </c>
      <c r="B1618" s="132">
        <v>46118.0</v>
      </c>
      <c r="C1618" s="41" t="s">
        <v>61</v>
      </c>
      <c r="D1618" s="182">
        <v>1.0</v>
      </c>
      <c r="E1618" s="183">
        <v>150.0</v>
      </c>
      <c r="F1618" s="183">
        <v>150.0</v>
      </c>
      <c r="G1618" s="183">
        <v>150.0</v>
      </c>
      <c r="H1618" s="279" t="b">
        <v>1</v>
      </c>
      <c r="I1618" s="143" t="s">
        <v>1327</v>
      </c>
      <c r="J1618" s="41" t="s">
        <v>1691</v>
      </c>
      <c r="K1618" s="279" t="b">
        <v>0</v>
      </c>
      <c r="L1618" s="279" t="b">
        <v>1</v>
      </c>
    </row>
    <row r="1619" ht="14.25" hidden="1" customHeight="1" outlineLevel="1">
      <c r="A1619" s="344">
        <v>46113.0</v>
      </c>
      <c r="B1619" s="132">
        <v>46119.0</v>
      </c>
      <c r="C1619" s="41" t="s">
        <v>61</v>
      </c>
      <c r="D1619" s="182">
        <v>1.0</v>
      </c>
      <c r="E1619" s="183">
        <v>150.0</v>
      </c>
      <c r="F1619" s="183">
        <v>150.0</v>
      </c>
      <c r="G1619" s="183">
        <v>150.0</v>
      </c>
      <c r="H1619" s="279" t="b">
        <v>1</v>
      </c>
      <c r="I1619" s="143" t="s">
        <v>236</v>
      </c>
      <c r="J1619" s="41" t="s">
        <v>1772</v>
      </c>
      <c r="K1619" s="279" t="b">
        <v>0</v>
      </c>
      <c r="L1619" s="279" t="b">
        <v>1</v>
      </c>
    </row>
    <row r="1620" ht="14.25" hidden="1" customHeight="1" outlineLevel="1">
      <c r="A1620" s="344">
        <v>46113.0</v>
      </c>
      <c r="B1620" s="132">
        <v>46119.0</v>
      </c>
      <c r="C1620" s="41" t="s">
        <v>248</v>
      </c>
      <c r="D1620" s="67">
        <v>1.0</v>
      </c>
      <c r="E1620" s="69">
        <v>1965.0</v>
      </c>
      <c r="F1620" s="69">
        <v>1965.0</v>
      </c>
      <c r="G1620" s="69">
        <v>1965.0</v>
      </c>
      <c r="H1620" s="279" t="b">
        <v>0</v>
      </c>
      <c r="I1620" s="143" t="s">
        <v>872</v>
      </c>
      <c r="J1620" s="42" t="s">
        <v>1527</v>
      </c>
      <c r="K1620" s="279" t="b">
        <v>0</v>
      </c>
      <c r="L1620" s="279" t="b">
        <v>1</v>
      </c>
    </row>
    <row r="1621" ht="14.25" hidden="1" customHeight="1" outlineLevel="1">
      <c r="A1621" s="344">
        <v>46113.0</v>
      </c>
      <c r="B1621" s="132">
        <v>46121.0</v>
      </c>
      <c r="C1621" s="327" t="s">
        <v>61</v>
      </c>
      <c r="D1621" s="315">
        <v>1.0</v>
      </c>
      <c r="E1621" s="316">
        <v>150.0</v>
      </c>
      <c r="F1621" s="316">
        <f>D1621*E1621</f>
        <v>150</v>
      </c>
      <c r="G1621" s="316">
        <f>F1621</f>
        <v>150</v>
      </c>
      <c r="H1621" s="317" t="b">
        <v>1</v>
      </c>
      <c r="I1621" s="143" t="s">
        <v>980</v>
      </c>
      <c r="J1621" s="321" t="s">
        <v>1181</v>
      </c>
      <c r="K1621" s="317" t="b">
        <v>0</v>
      </c>
      <c r="L1621" s="279" t="b">
        <v>1</v>
      </c>
    </row>
    <row r="1622" ht="14.25" hidden="1" customHeight="1" outlineLevel="1">
      <c r="A1622" s="344">
        <v>46113.0</v>
      </c>
      <c r="B1622" s="132">
        <v>46123.0</v>
      </c>
      <c r="C1622" s="41" t="s">
        <v>61</v>
      </c>
      <c r="D1622" s="182">
        <v>1.0</v>
      </c>
      <c r="E1622" s="183">
        <v>150.0</v>
      </c>
      <c r="F1622" s="183">
        <v>150.0</v>
      </c>
      <c r="G1622" s="183">
        <v>150.0</v>
      </c>
      <c r="H1622" s="279" t="b">
        <v>1</v>
      </c>
      <c r="I1622" s="143" t="s">
        <v>490</v>
      </c>
      <c r="J1622" s="41" t="s">
        <v>1884</v>
      </c>
      <c r="K1622" s="279" t="b">
        <v>0</v>
      </c>
      <c r="L1622" s="279" t="b">
        <v>1</v>
      </c>
    </row>
    <row r="1623" ht="14.25" hidden="1" customHeight="1" outlineLevel="1">
      <c r="A1623" s="344">
        <v>46113.0</v>
      </c>
      <c r="B1623" s="132">
        <v>46124.0</v>
      </c>
      <c r="C1623" s="41" t="s">
        <v>61</v>
      </c>
      <c r="D1623" s="182">
        <v>1.0</v>
      </c>
      <c r="E1623" s="316">
        <v>200.0</v>
      </c>
      <c r="F1623" s="316">
        <v>200.0</v>
      </c>
      <c r="G1623" s="316">
        <v>200.0</v>
      </c>
      <c r="H1623" s="317" t="b">
        <v>1</v>
      </c>
      <c r="I1623" s="318" t="s">
        <v>490</v>
      </c>
      <c r="J1623" s="321" t="s">
        <v>1192</v>
      </c>
      <c r="K1623" s="279" t="b">
        <v>0</v>
      </c>
      <c r="L1623" s="279" t="b">
        <v>1</v>
      </c>
    </row>
    <row r="1624" ht="14.25" hidden="1" customHeight="1" outlineLevel="1">
      <c r="A1624" s="344">
        <v>46113.0</v>
      </c>
      <c r="B1624" s="132">
        <v>46124.0</v>
      </c>
      <c r="C1624" s="41" t="s">
        <v>61</v>
      </c>
      <c r="D1624" s="182">
        <v>1.0</v>
      </c>
      <c r="E1624" s="316">
        <v>200.0</v>
      </c>
      <c r="F1624" s="316">
        <v>200.0</v>
      </c>
      <c r="G1624" s="316">
        <v>200.0</v>
      </c>
      <c r="H1624" s="317" t="b">
        <v>1</v>
      </c>
      <c r="I1624" s="318" t="s">
        <v>296</v>
      </c>
      <c r="J1624" s="321" t="s">
        <v>1193</v>
      </c>
      <c r="K1624" s="279" t="b">
        <v>0</v>
      </c>
      <c r="L1624" s="279" t="b">
        <v>1</v>
      </c>
    </row>
    <row r="1625" ht="14.25" hidden="1" customHeight="1" outlineLevel="1">
      <c r="A1625" s="344">
        <v>46113.0</v>
      </c>
      <c r="B1625" s="132">
        <v>46124.0</v>
      </c>
      <c r="C1625" s="41" t="s">
        <v>61</v>
      </c>
      <c r="D1625" s="182">
        <v>1.0</v>
      </c>
      <c r="E1625" s="316">
        <v>200.0</v>
      </c>
      <c r="F1625" s="316">
        <v>200.0</v>
      </c>
      <c r="G1625" s="316">
        <v>200.0</v>
      </c>
      <c r="H1625" s="317" t="b">
        <v>1</v>
      </c>
      <c r="I1625" s="318" t="s">
        <v>1484</v>
      </c>
      <c r="J1625" s="321" t="s">
        <v>1195</v>
      </c>
      <c r="K1625" s="279" t="b">
        <v>0</v>
      </c>
      <c r="L1625" s="279" t="b">
        <v>1</v>
      </c>
    </row>
    <row r="1626" ht="14.25" hidden="1" customHeight="1" outlineLevel="1">
      <c r="A1626" s="344">
        <v>46113.0</v>
      </c>
      <c r="B1626" s="132">
        <v>46125.0</v>
      </c>
      <c r="C1626" s="41" t="s">
        <v>80</v>
      </c>
      <c r="D1626" s="67">
        <v>2.0</v>
      </c>
      <c r="E1626" s="69">
        <v>15.0</v>
      </c>
      <c r="F1626" s="287">
        <f>D1626*E1626</f>
        <v>30</v>
      </c>
      <c r="G1626" s="287">
        <f>F1626</f>
        <v>30</v>
      </c>
      <c r="H1626" s="279" t="b">
        <v>0</v>
      </c>
      <c r="I1626" s="143" t="s">
        <v>481</v>
      </c>
      <c r="J1626" s="42" t="s">
        <v>1483</v>
      </c>
      <c r="K1626" s="279" t="b">
        <v>1</v>
      </c>
      <c r="L1626" s="279" t="b">
        <v>1</v>
      </c>
    </row>
    <row r="1627" ht="14.25" hidden="1" customHeight="1" outlineLevel="1">
      <c r="A1627" s="344">
        <v>46113.0</v>
      </c>
      <c r="B1627" s="132">
        <v>46126.0</v>
      </c>
      <c r="C1627" s="41" t="s">
        <v>61</v>
      </c>
      <c r="D1627" s="182">
        <v>1.0</v>
      </c>
      <c r="E1627" s="183">
        <v>150.0</v>
      </c>
      <c r="F1627" s="183">
        <v>150.0</v>
      </c>
      <c r="G1627" s="183">
        <v>150.0</v>
      </c>
      <c r="H1627" s="279" t="b">
        <v>1</v>
      </c>
      <c r="I1627" s="143" t="s">
        <v>236</v>
      </c>
      <c r="J1627" s="41" t="s">
        <v>1772</v>
      </c>
      <c r="K1627" s="279" t="b">
        <v>0</v>
      </c>
      <c r="L1627" s="279" t="b">
        <v>1</v>
      </c>
    </row>
    <row r="1628" ht="14.25" hidden="1" customHeight="1" outlineLevel="1">
      <c r="A1628" s="344">
        <v>46113.0</v>
      </c>
      <c r="B1628" s="132">
        <v>46127.0</v>
      </c>
      <c r="C1628" s="41" t="s">
        <v>75</v>
      </c>
      <c r="D1628" s="67">
        <v>1.0</v>
      </c>
      <c r="E1628" s="69">
        <v>280.0</v>
      </c>
      <c r="F1628" s="69">
        <v>280.0</v>
      </c>
      <c r="G1628" s="69">
        <v>280.0</v>
      </c>
      <c r="H1628" s="279" t="b">
        <v>0</v>
      </c>
      <c r="I1628" s="143" t="s">
        <v>318</v>
      </c>
      <c r="J1628" s="42" t="s">
        <v>1886</v>
      </c>
      <c r="K1628" s="279" t="b">
        <v>0</v>
      </c>
      <c r="L1628" s="279" t="b">
        <v>1</v>
      </c>
    </row>
    <row r="1629" ht="14.25" hidden="1" customHeight="1" outlineLevel="1">
      <c r="A1629" s="344">
        <v>46113.0</v>
      </c>
      <c r="B1629" s="132">
        <v>46128.0</v>
      </c>
      <c r="C1629" s="327" t="s">
        <v>61</v>
      </c>
      <c r="D1629" s="315">
        <v>1.0</v>
      </c>
      <c r="E1629" s="316">
        <v>150.0</v>
      </c>
      <c r="F1629" s="316">
        <f t="shared" ref="F1629:F1630" si="283">D1629*E1629</f>
        <v>150</v>
      </c>
      <c r="G1629" s="316">
        <f t="shared" ref="G1629:G1630" si="284">F1629</f>
        <v>150</v>
      </c>
      <c r="H1629" s="317" t="b">
        <v>1</v>
      </c>
      <c r="I1629" s="143" t="s">
        <v>980</v>
      </c>
      <c r="J1629" s="321" t="s">
        <v>1181</v>
      </c>
      <c r="K1629" s="317" t="b">
        <v>0</v>
      </c>
      <c r="L1629" s="279" t="b">
        <v>1</v>
      </c>
    </row>
    <row r="1630" ht="14.25" hidden="1" customHeight="1" outlineLevel="1">
      <c r="A1630" s="344">
        <v>46113.0</v>
      </c>
      <c r="B1630" s="132">
        <v>46129.0</v>
      </c>
      <c r="C1630" s="327" t="s">
        <v>61</v>
      </c>
      <c r="D1630" s="315">
        <v>1.0</v>
      </c>
      <c r="E1630" s="316">
        <v>150.0</v>
      </c>
      <c r="F1630" s="316">
        <f t="shared" si="283"/>
        <v>150</v>
      </c>
      <c r="G1630" s="316">
        <f t="shared" si="284"/>
        <v>150</v>
      </c>
      <c r="H1630" s="317" t="b">
        <v>1</v>
      </c>
      <c r="I1630" s="143" t="s">
        <v>236</v>
      </c>
      <c r="J1630" s="321" t="s">
        <v>1184</v>
      </c>
      <c r="K1630" s="279" t="b">
        <v>0</v>
      </c>
      <c r="L1630" s="279" t="b">
        <v>1</v>
      </c>
    </row>
    <row r="1631" ht="14.25" hidden="1" customHeight="1" outlineLevel="1">
      <c r="A1631" s="344">
        <v>46113.0</v>
      </c>
      <c r="B1631" s="132">
        <v>46131.0</v>
      </c>
      <c r="C1631" s="41" t="s">
        <v>61</v>
      </c>
      <c r="D1631" s="182">
        <v>1.0</v>
      </c>
      <c r="E1631" s="316">
        <v>200.0</v>
      </c>
      <c r="F1631" s="316">
        <v>200.0</v>
      </c>
      <c r="G1631" s="316">
        <v>200.0</v>
      </c>
      <c r="H1631" s="317" t="b">
        <v>1</v>
      </c>
      <c r="I1631" s="318" t="s">
        <v>490</v>
      </c>
      <c r="J1631" s="321" t="s">
        <v>1192</v>
      </c>
      <c r="K1631" s="279" t="b">
        <v>0</v>
      </c>
      <c r="L1631" s="279" t="b">
        <v>1</v>
      </c>
    </row>
    <row r="1632" ht="14.25" hidden="1" customHeight="1" outlineLevel="1">
      <c r="A1632" s="344">
        <v>46113.0</v>
      </c>
      <c r="B1632" s="132">
        <v>46131.0</v>
      </c>
      <c r="C1632" s="41" t="s">
        <v>61</v>
      </c>
      <c r="D1632" s="182">
        <v>1.0</v>
      </c>
      <c r="E1632" s="316">
        <v>200.0</v>
      </c>
      <c r="F1632" s="316">
        <v>200.0</v>
      </c>
      <c r="G1632" s="316">
        <v>200.0</v>
      </c>
      <c r="H1632" s="317" t="b">
        <v>1</v>
      </c>
      <c r="I1632" s="318" t="s">
        <v>296</v>
      </c>
      <c r="J1632" s="321" t="s">
        <v>1835</v>
      </c>
      <c r="K1632" s="279" t="b">
        <v>0</v>
      </c>
      <c r="L1632" s="279" t="b">
        <v>1</v>
      </c>
    </row>
    <row r="1633" ht="14.25" hidden="1" customHeight="1" outlineLevel="1">
      <c r="A1633" s="344">
        <v>46113.0</v>
      </c>
      <c r="B1633" s="132">
        <v>46131.0</v>
      </c>
      <c r="C1633" s="41" t="s">
        <v>61</v>
      </c>
      <c r="D1633" s="182">
        <v>1.0</v>
      </c>
      <c r="E1633" s="316">
        <v>200.0</v>
      </c>
      <c r="F1633" s="316">
        <v>200.0</v>
      </c>
      <c r="G1633" s="316">
        <v>200.0</v>
      </c>
      <c r="H1633" s="317" t="b">
        <v>1</v>
      </c>
      <c r="I1633" s="318" t="s">
        <v>1484</v>
      </c>
      <c r="J1633" s="321" t="s">
        <v>1195</v>
      </c>
      <c r="K1633" s="279" t="b">
        <v>0</v>
      </c>
      <c r="L1633" s="279" t="b">
        <v>1</v>
      </c>
    </row>
    <row r="1634" ht="14.25" hidden="1" customHeight="1" outlineLevel="1">
      <c r="A1634" s="344">
        <v>46113.0</v>
      </c>
      <c r="B1634" s="132">
        <v>46132.0</v>
      </c>
      <c r="C1634" s="41" t="s">
        <v>61</v>
      </c>
      <c r="D1634" s="182">
        <v>1.0</v>
      </c>
      <c r="E1634" s="183">
        <v>150.0</v>
      </c>
      <c r="F1634" s="183">
        <v>150.0</v>
      </c>
      <c r="G1634" s="183">
        <v>150.0</v>
      </c>
      <c r="H1634" s="279" t="b">
        <v>1</v>
      </c>
      <c r="I1634" s="143" t="s">
        <v>1327</v>
      </c>
      <c r="J1634" s="41" t="s">
        <v>1691</v>
      </c>
      <c r="K1634" s="279" t="b">
        <v>0</v>
      </c>
      <c r="L1634" s="279" t="b">
        <v>1</v>
      </c>
    </row>
    <row r="1635" ht="14.25" hidden="1" customHeight="1" outlineLevel="1">
      <c r="A1635" s="344">
        <v>46113.0</v>
      </c>
      <c r="B1635" s="132">
        <v>46133.0</v>
      </c>
      <c r="C1635" s="41" t="s">
        <v>61</v>
      </c>
      <c r="D1635" s="182">
        <v>1.0</v>
      </c>
      <c r="E1635" s="183">
        <v>150.0</v>
      </c>
      <c r="F1635" s="183">
        <v>150.0</v>
      </c>
      <c r="G1635" s="183">
        <v>150.0</v>
      </c>
      <c r="H1635" s="279" t="b">
        <v>1</v>
      </c>
      <c r="I1635" s="143" t="s">
        <v>236</v>
      </c>
      <c r="J1635" s="41" t="s">
        <v>1772</v>
      </c>
      <c r="K1635" s="279" t="b">
        <v>0</v>
      </c>
      <c r="L1635" s="279" t="b">
        <v>1</v>
      </c>
    </row>
    <row r="1636" ht="14.25" hidden="1" customHeight="1" outlineLevel="1">
      <c r="A1636" s="344">
        <v>46113.0</v>
      </c>
      <c r="B1636" s="132">
        <v>46135.0</v>
      </c>
      <c r="C1636" s="327" t="s">
        <v>61</v>
      </c>
      <c r="D1636" s="315">
        <v>1.0</v>
      </c>
      <c r="E1636" s="316">
        <v>150.0</v>
      </c>
      <c r="F1636" s="316">
        <f t="shared" ref="F1636:F1638" si="285">D1636*E1636</f>
        <v>150</v>
      </c>
      <c r="G1636" s="316">
        <f t="shared" ref="G1636:G1638" si="286">F1636</f>
        <v>150</v>
      </c>
      <c r="H1636" s="317" t="b">
        <v>1</v>
      </c>
      <c r="I1636" s="143" t="s">
        <v>980</v>
      </c>
      <c r="J1636" s="321" t="s">
        <v>1181</v>
      </c>
      <c r="K1636" s="317" t="b">
        <v>0</v>
      </c>
      <c r="L1636" s="279" t="b">
        <v>1</v>
      </c>
    </row>
    <row r="1637" ht="14.25" hidden="1" customHeight="1" outlineLevel="1">
      <c r="A1637" s="344">
        <v>46113.0</v>
      </c>
      <c r="B1637" s="132">
        <v>46135.0</v>
      </c>
      <c r="C1637" s="41" t="s">
        <v>80</v>
      </c>
      <c r="D1637" s="67">
        <v>2.0</v>
      </c>
      <c r="E1637" s="69">
        <v>15.0</v>
      </c>
      <c r="F1637" s="287">
        <f t="shared" si="285"/>
        <v>30</v>
      </c>
      <c r="G1637" s="287">
        <f t="shared" si="286"/>
        <v>30</v>
      </c>
      <c r="H1637" s="279" t="b">
        <v>1</v>
      </c>
      <c r="I1637" s="143" t="s">
        <v>481</v>
      </c>
      <c r="J1637" s="42" t="s">
        <v>1483</v>
      </c>
      <c r="K1637" s="279" t="b">
        <v>1</v>
      </c>
      <c r="L1637" s="279" t="b">
        <v>1</v>
      </c>
    </row>
    <row r="1638" ht="14.25" hidden="1" customHeight="1" outlineLevel="1">
      <c r="A1638" s="344">
        <v>46113.0</v>
      </c>
      <c r="B1638" s="132">
        <v>46136.0</v>
      </c>
      <c r="C1638" s="327" t="s">
        <v>61</v>
      </c>
      <c r="D1638" s="315">
        <v>1.0</v>
      </c>
      <c r="E1638" s="316">
        <v>150.0</v>
      </c>
      <c r="F1638" s="316">
        <f t="shared" si="285"/>
        <v>150</v>
      </c>
      <c r="G1638" s="316">
        <f t="shared" si="286"/>
        <v>150</v>
      </c>
      <c r="H1638" s="317" t="b">
        <v>1</v>
      </c>
      <c r="I1638" s="143" t="s">
        <v>236</v>
      </c>
      <c r="J1638" s="321" t="s">
        <v>1184</v>
      </c>
      <c r="K1638" s="279" t="b">
        <v>0</v>
      </c>
      <c r="L1638" s="279" t="b">
        <v>1</v>
      </c>
    </row>
    <row r="1639" ht="14.25" hidden="1" customHeight="1" outlineLevel="1">
      <c r="A1639" s="344">
        <v>46113.0</v>
      </c>
      <c r="B1639" s="132">
        <v>46138.0</v>
      </c>
      <c r="C1639" s="41" t="s">
        <v>61</v>
      </c>
      <c r="D1639" s="182">
        <v>1.0</v>
      </c>
      <c r="E1639" s="316">
        <v>200.0</v>
      </c>
      <c r="F1639" s="316">
        <v>200.0</v>
      </c>
      <c r="G1639" s="316">
        <v>200.0</v>
      </c>
      <c r="H1639" s="317" t="b">
        <v>1</v>
      </c>
      <c r="I1639" s="318" t="s">
        <v>490</v>
      </c>
      <c r="J1639" s="321" t="s">
        <v>1192</v>
      </c>
      <c r="K1639" s="279" t="b">
        <v>0</v>
      </c>
      <c r="L1639" s="279" t="b">
        <v>1</v>
      </c>
    </row>
    <row r="1640" ht="14.25" hidden="1" customHeight="1" outlineLevel="1">
      <c r="A1640" s="344">
        <v>46113.0</v>
      </c>
      <c r="B1640" s="132">
        <v>46138.0</v>
      </c>
      <c r="C1640" s="41" t="s">
        <v>61</v>
      </c>
      <c r="D1640" s="182">
        <v>1.0</v>
      </c>
      <c r="E1640" s="316">
        <v>200.0</v>
      </c>
      <c r="F1640" s="316">
        <v>200.0</v>
      </c>
      <c r="G1640" s="316">
        <v>200.0</v>
      </c>
      <c r="H1640" s="317" t="b">
        <v>1</v>
      </c>
      <c r="I1640" s="318" t="s">
        <v>296</v>
      </c>
      <c r="J1640" s="321" t="s">
        <v>1193</v>
      </c>
      <c r="K1640" s="279" t="b">
        <v>0</v>
      </c>
      <c r="L1640" s="279" t="b">
        <v>1</v>
      </c>
    </row>
    <row r="1641" ht="14.25" hidden="1" customHeight="1" outlineLevel="1">
      <c r="A1641" s="344">
        <v>46113.0</v>
      </c>
      <c r="B1641" s="132">
        <v>46138.0</v>
      </c>
      <c r="C1641" s="41" t="s">
        <v>61</v>
      </c>
      <c r="D1641" s="182">
        <v>1.0</v>
      </c>
      <c r="E1641" s="316">
        <v>200.0</v>
      </c>
      <c r="F1641" s="316">
        <v>200.0</v>
      </c>
      <c r="G1641" s="316">
        <v>200.0</v>
      </c>
      <c r="H1641" s="317" t="b">
        <v>1</v>
      </c>
      <c r="I1641" s="318" t="s">
        <v>1484</v>
      </c>
      <c r="J1641" s="321" t="s">
        <v>1195</v>
      </c>
      <c r="K1641" s="279" t="b">
        <v>0</v>
      </c>
      <c r="L1641" s="279" t="b">
        <v>1</v>
      </c>
    </row>
    <row r="1642" ht="14.25" hidden="1" customHeight="1" outlineLevel="1">
      <c r="A1642" s="344">
        <v>46113.0</v>
      </c>
      <c r="B1642" s="132">
        <v>46139.0</v>
      </c>
      <c r="C1642" s="41" t="s">
        <v>61</v>
      </c>
      <c r="D1642" s="182">
        <v>1.0</v>
      </c>
      <c r="E1642" s="183">
        <v>150.0</v>
      </c>
      <c r="F1642" s="183">
        <v>150.0</v>
      </c>
      <c r="G1642" s="183">
        <v>150.0</v>
      </c>
      <c r="H1642" s="279" t="b">
        <v>1</v>
      </c>
      <c r="I1642" s="143" t="s">
        <v>1327</v>
      </c>
      <c r="J1642" s="41" t="s">
        <v>1691</v>
      </c>
      <c r="K1642" s="279" t="b">
        <v>0</v>
      </c>
      <c r="L1642" s="279" t="b">
        <v>1</v>
      </c>
    </row>
    <row r="1643" ht="14.25" hidden="1" customHeight="1" outlineLevel="1">
      <c r="A1643" s="344">
        <v>46113.0</v>
      </c>
      <c r="B1643" s="132">
        <v>46139.0</v>
      </c>
      <c r="C1643" s="41" t="s">
        <v>93</v>
      </c>
      <c r="D1643" s="67">
        <v>1.0</v>
      </c>
      <c r="E1643" s="69">
        <v>372.3</v>
      </c>
      <c r="F1643" s="69">
        <v>372.3</v>
      </c>
      <c r="G1643" s="69">
        <v>372.3</v>
      </c>
      <c r="H1643" s="279" t="b">
        <v>0</v>
      </c>
      <c r="I1643" s="143" t="s">
        <v>1556</v>
      </c>
      <c r="J1643" s="42" t="s">
        <v>1520</v>
      </c>
      <c r="K1643" s="279" t="b">
        <v>1</v>
      </c>
      <c r="L1643" s="279" t="b">
        <v>1</v>
      </c>
    </row>
    <row r="1644" ht="14.25" hidden="1" customHeight="1" outlineLevel="1">
      <c r="A1644" s="344">
        <v>46113.0</v>
      </c>
      <c r="B1644" s="132">
        <v>46140.0</v>
      </c>
      <c r="C1644" s="41" t="s">
        <v>61</v>
      </c>
      <c r="D1644" s="182">
        <v>1.0</v>
      </c>
      <c r="E1644" s="183">
        <v>150.0</v>
      </c>
      <c r="F1644" s="183">
        <v>150.0</v>
      </c>
      <c r="G1644" s="183">
        <v>150.0</v>
      </c>
      <c r="H1644" s="279" t="b">
        <v>1</v>
      </c>
      <c r="I1644" s="143" t="s">
        <v>236</v>
      </c>
      <c r="J1644" s="41" t="s">
        <v>1772</v>
      </c>
      <c r="K1644" s="279" t="b">
        <v>0</v>
      </c>
      <c r="L1644" s="279" t="b">
        <v>1</v>
      </c>
    </row>
    <row r="1645" ht="14.25" hidden="1" customHeight="1" outlineLevel="1">
      <c r="A1645" s="344">
        <v>46113.0</v>
      </c>
      <c r="B1645" s="132">
        <v>46140.0</v>
      </c>
      <c r="C1645" s="327" t="s">
        <v>61</v>
      </c>
      <c r="D1645" s="315">
        <v>1.0</v>
      </c>
      <c r="E1645" s="337">
        <v>3000.0</v>
      </c>
      <c r="F1645" s="316">
        <f t="shared" ref="F1645:F1646" si="287">D1645*E1645</f>
        <v>3000</v>
      </c>
      <c r="G1645" s="316">
        <f t="shared" ref="G1645:G1646" si="288">F1645</f>
        <v>3000</v>
      </c>
      <c r="H1645" s="317" t="b">
        <v>1</v>
      </c>
      <c r="I1645" s="143" t="s">
        <v>119</v>
      </c>
      <c r="J1645" s="321" t="s">
        <v>1896</v>
      </c>
      <c r="K1645" s="317" t="b">
        <v>0</v>
      </c>
      <c r="L1645" s="279" t="b">
        <v>1</v>
      </c>
    </row>
    <row r="1646" ht="14.25" hidden="1" customHeight="1" outlineLevel="1">
      <c r="A1646" s="344">
        <v>46113.0</v>
      </c>
      <c r="B1646" s="132">
        <v>46142.0</v>
      </c>
      <c r="C1646" s="327" t="s">
        <v>61</v>
      </c>
      <c r="D1646" s="315">
        <v>1.0</v>
      </c>
      <c r="E1646" s="316">
        <v>150.0</v>
      </c>
      <c r="F1646" s="316">
        <f t="shared" si="287"/>
        <v>150</v>
      </c>
      <c r="G1646" s="316">
        <f t="shared" si="288"/>
        <v>150</v>
      </c>
      <c r="H1646" s="317" t="b">
        <v>1</v>
      </c>
      <c r="I1646" s="143" t="s">
        <v>980</v>
      </c>
      <c r="J1646" s="321" t="s">
        <v>1181</v>
      </c>
      <c r="K1646" s="317" t="b">
        <v>0</v>
      </c>
      <c r="L1646" s="279" t="b">
        <v>1</v>
      </c>
    </row>
    <row r="1647" ht="14.25" hidden="1" customHeight="1" outlineLevel="1">
      <c r="A1647" s="344">
        <v>46113.0</v>
      </c>
      <c r="B1647" s="132">
        <v>46142.0</v>
      </c>
      <c r="C1647" s="285" t="s">
        <v>680</v>
      </c>
      <c r="D1647" s="481">
        <v>1.0</v>
      </c>
      <c r="E1647" s="482">
        <v>1360.0</v>
      </c>
      <c r="F1647" s="482">
        <v>1360.0</v>
      </c>
      <c r="G1647" s="482">
        <v>1360.0</v>
      </c>
      <c r="H1647" s="288" t="b">
        <v>0</v>
      </c>
      <c r="I1647" s="289" t="s">
        <v>1702</v>
      </c>
      <c r="J1647" s="483" t="s">
        <v>1899</v>
      </c>
      <c r="K1647" s="288" t="b">
        <v>0</v>
      </c>
      <c r="L1647" s="288" t="b">
        <v>1</v>
      </c>
    </row>
    <row r="1648" ht="14.25" hidden="1" customHeight="1" outlineLevel="1">
      <c r="A1648" s="344">
        <v>46113.0</v>
      </c>
      <c r="B1648" s="132">
        <v>46142.0</v>
      </c>
      <c r="C1648" s="327" t="s">
        <v>61</v>
      </c>
      <c r="D1648" s="315">
        <v>1.0</v>
      </c>
      <c r="E1648" s="337">
        <v>2100.0</v>
      </c>
      <c r="F1648" s="316">
        <f>D1648*E1648</f>
        <v>2100</v>
      </c>
      <c r="G1648" s="316">
        <f>F1648</f>
        <v>2100</v>
      </c>
      <c r="H1648" s="317" t="b">
        <v>1</v>
      </c>
      <c r="I1648" s="143" t="s">
        <v>1900</v>
      </c>
      <c r="J1648" s="321" t="s">
        <v>1896</v>
      </c>
      <c r="K1648" s="317" t="b">
        <v>0</v>
      </c>
      <c r="L1648" s="279" t="b">
        <v>1</v>
      </c>
    </row>
    <row r="1649" ht="14.25" customHeight="1">
      <c r="A1649" s="180" t="s">
        <v>192</v>
      </c>
      <c r="B1649" s="27"/>
      <c r="C1649" s="27"/>
      <c r="D1649" s="27"/>
      <c r="E1649" s="28"/>
      <c r="F1649" s="181">
        <f t="shared" ref="F1649:G1649" si="289">SUM(F1608:F1648)</f>
        <v>14727.39</v>
      </c>
      <c r="G1649" s="181">
        <f t="shared" si="289"/>
        <v>14727.39</v>
      </c>
    </row>
    <row r="1650" ht="14.25" customHeight="1" collapsed="1">
      <c r="A1650" s="245" t="s">
        <v>1587</v>
      </c>
      <c r="B1650" s="246"/>
      <c r="C1650" s="246"/>
      <c r="D1650" s="246"/>
      <c r="E1650" s="246"/>
      <c r="F1650" s="246"/>
      <c r="G1650" s="246"/>
      <c r="H1650" s="246"/>
      <c r="I1650" s="246"/>
      <c r="J1650" s="247"/>
    </row>
    <row r="1651" ht="14.25" hidden="1" customHeight="1" outlineLevel="1">
      <c r="A1651" s="344">
        <v>46143.0</v>
      </c>
      <c r="B1651" s="132">
        <v>46143.0</v>
      </c>
      <c r="C1651" s="327" t="s">
        <v>61</v>
      </c>
      <c r="D1651" s="315">
        <v>1.0</v>
      </c>
      <c r="E1651" s="316">
        <v>150.0</v>
      </c>
      <c r="F1651" s="316">
        <f>D1651*E1651</f>
        <v>150</v>
      </c>
      <c r="G1651" s="316">
        <f>F1651</f>
        <v>150</v>
      </c>
      <c r="H1651" s="317" t="b">
        <v>1</v>
      </c>
      <c r="I1651" s="143" t="s">
        <v>236</v>
      </c>
      <c r="J1651" s="321" t="s">
        <v>1184</v>
      </c>
      <c r="K1651" s="279" t="b">
        <v>0</v>
      </c>
      <c r="L1651" s="279" t="b">
        <v>1</v>
      </c>
    </row>
    <row r="1652" ht="14.25" hidden="1" customHeight="1" outlineLevel="1">
      <c r="A1652" s="344">
        <v>46143.0</v>
      </c>
      <c r="B1652" s="132">
        <v>46144.0</v>
      </c>
      <c r="C1652" s="41" t="s">
        <v>61</v>
      </c>
      <c r="D1652" s="182">
        <v>1.0</v>
      </c>
      <c r="E1652" s="316">
        <v>200.0</v>
      </c>
      <c r="F1652" s="316">
        <v>200.0</v>
      </c>
      <c r="G1652" s="316">
        <v>200.0</v>
      </c>
      <c r="H1652" s="317" t="b">
        <v>1</v>
      </c>
      <c r="I1652" s="318" t="s">
        <v>490</v>
      </c>
      <c r="J1652" s="321" t="s">
        <v>1904</v>
      </c>
      <c r="K1652" s="279" t="b">
        <v>0</v>
      </c>
      <c r="L1652" s="279" t="b">
        <v>1</v>
      </c>
    </row>
    <row r="1653" ht="14.25" hidden="1" customHeight="1" outlineLevel="1">
      <c r="A1653" s="344">
        <v>46143.0</v>
      </c>
      <c r="B1653" s="132">
        <v>46145.0</v>
      </c>
      <c r="C1653" s="41" t="s">
        <v>61</v>
      </c>
      <c r="D1653" s="182">
        <v>1.0</v>
      </c>
      <c r="E1653" s="316">
        <v>200.0</v>
      </c>
      <c r="F1653" s="316">
        <v>200.0</v>
      </c>
      <c r="G1653" s="316">
        <v>200.0</v>
      </c>
      <c r="H1653" s="317" t="b">
        <v>1</v>
      </c>
      <c r="I1653" s="318" t="s">
        <v>490</v>
      </c>
      <c r="J1653" s="321" t="s">
        <v>1192</v>
      </c>
      <c r="K1653" s="279" t="b">
        <v>0</v>
      </c>
      <c r="L1653" s="279" t="b">
        <v>1</v>
      </c>
    </row>
    <row r="1654" ht="14.25" hidden="1" customHeight="1" outlineLevel="1">
      <c r="A1654" s="344">
        <v>46143.0</v>
      </c>
      <c r="B1654" s="132">
        <v>46145.0</v>
      </c>
      <c r="C1654" s="41" t="s">
        <v>61</v>
      </c>
      <c r="D1654" s="182">
        <v>1.0</v>
      </c>
      <c r="E1654" s="316">
        <v>200.0</v>
      </c>
      <c r="F1654" s="316">
        <v>200.0</v>
      </c>
      <c r="G1654" s="316">
        <v>200.0</v>
      </c>
      <c r="H1654" s="317" t="b">
        <v>1</v>
      </c>
      <c r="I1654" s="318" t="s">
        <v>296</v>
      </c>
      <c r="J1654" s="321" t="s">
        <v>1193</v>
      </c>
      <c r="K1654" s="279" t="b">
        <v>0</v>
      </c>
      <c r="L1654" s="279" t="b">
        <v>1</v>
      </c>
    </row>
    <row r="1655" ht="14.25" hidden="1" customHeight="1" outlineLevel="1">
      <c r="A1655" s="344">
        <v>46143.0</v>
      </c>
      <c r="B1655" s="132">
        <v>46145.0</v>
      </c>
      <c r="C1655" s="41" t="s">
        <v>61</v>
      </c>
      <c r="D1655" s="182">
        <v>1.0</v>
      </c>
      <c r="E1655" s="316">
        <v>200.0</v>
      </c>
      <c r="F1655" s="316">
        <v>200.0</v>
      </c>
      <c r="G1655" s="316">
        <v>200.0</v>
      </c>
      <c r="H1655" s="317" t="b">
        <v>1</v>
      </c>
      <c r="I1655" s="318" t="s">
        <v>1484</v>
      </c>
      <c r="J1655" s="321" t="s">
        <v>1195</v>
      </c>
      <c r="K1655" s="279" t="b">
        <v>0</v>
      </c>
      <c r="L1655" s="279" t="b">
        <v>1</v>
      </c>
    </row>
    <row r="1656" ht="14.25" hidden="1" customHeight="1" outlineLevel="1">
      <c r="A1656" s="344">
        <v>46143.0</v>
      </c>
      <c r="B1656" s="132">
        <v>46146.0</v>
      </c>
      <c r="C1656" s="41" t="s">
        <v>61</v>
      </c>
      <c r="D1656" s="182">
        <v>1.0</v>
      </c>
      <c r="E1656" s="183">
        <v>150.0</v>
      </c>
      <c r="F1656" s="183">
        <v>150.0</v>
      </c>
      <c r="G1656" s="183">
        <v>150.0</v>
      </c>
      <c r="H1656" s="279" t="b">
        <v>1</v>
      </c>
      <c r="I1656" s="143" t="s">
        <v>1327</v>
      </c>
      <c r="J1656" s="41" t="s">
        <v>1691</v>
      </c>
      <c r="K1656" s="279" t="b">
        <v>0</v>
      </c>
      <c r="L1656" s="279" t="b">
        <v>1</v>
      </c>
    </row>
    <row r="1657" ht="14.25" hidden="1" customHeight="1" outlineLevel="1">
      <c r="A1657" s="344">
        <v>46143.0</v>
      </c>
      <c r="B1657" s="132">
        <v>46147.0</v>
      </c>
      <c r="C1657" s="41" t="s">
        <v>61</v>
      </c>
      <c r="D1657" s="182">
        <v>1.0</v>
      </c>
      <c r="E1657" s="183">
        <v>150.0</v>
      </c>
      <c r="F1657" s="183">
        <v>150.0</v>
      </c>
      <c r="G1657" s="183">
        <v>150.0</v>
      </c>
      <c r="H1657" s="279" t="b">
        <v>1</v>
      </c>
      <c r="I1657" s="143" t="s">
        <v>236</v>
      </c>
      <c r="J1657" s="41" t="s">
        <v>1772</v>
      </c>
      <c r="K1657" s="279" t="b">
        <v>0</v>
      </c>
      <c r="L1657" s="279" t="b">
        <v>1</v>
      </c>
    </row>
    <row r="1658" ht="14.25" hidden="1" customHeight="1" outlineLevel="1">
      <c r="A1658" s="344">
        <v>46143.0</v>
      </c>
      <c r="B1658" s="132">
        <v>46147.0</v>
      </c>
      <c r="C1658" s="41" t="s">
        <v>315</v>
      </c>
      <c r="D1658" s="67">
        <v>6.0</v>
      </c>
      <c r="E1658" s="69">
        <v>44.0</v>
      </c>
      <c r="F1658" s="287">
        <f t="shared" ref="F1658:F1663" si="290">D1658*E1658</f>
        <v>264</v>
      </c>
      <c r="G1658" s="287">
        <f t="shared" ref="G1658:G1663" si="291">F1658</f>
        <v>264</v>
      </c>
      <c r="H1658" s="279" t="b">
        <v>0</v>
      </c>
      <c r="I1658" s="143" t="s">
        <v>1905</v>
      </c>
      <c r="J1658" s="42"/>
      <c r="K1658" s="279" t="b">
        <v>0</v>
      </c>
      <c r="L1658" s="279" t="b">
        <v>0</v>
      </c>
    </row>
    <row r="1659" ht="14.25" hidden="1" customHeight="1" outlineLevel="1">
      <c r="A1659" s="344">
        <v>46143.0</v>
      </c>
      <c r="B1659" s="132">
        <v>46147.0</v>
      </c>
      <c r="C1659" s="41" t="s">
        <v>97</v>
      </c>
      <c r="D1659" s="67">
        <v>1.0</v>
      </c>
      <c r="E1659" s="69">
        <v>14.0</v>
      </c>
      <c r="F1659" s="287">
        <f t="shared" si="290"/>
        <v>14</v>
      </c>
      <c r="G1659" s="287">
        <f t="shared" si="291"/>
        <v>14</v>
      </c>
      <c r="H1659" s="279" t="b">
        <v>0</v>
      </c>
      <c r="I1659" s="143" t="s">
        <v>1386</v>
      </c>
      <c r="J1659" s="42" t="s">
        <v>1906</v>
      </c>
      <c r="K1659" s="279" t="b">
        <v>0</v>
      </c>
      <c r="L1659" s="279" t="b">
        <v>1</v>
      </c>
    </row>
    <row r="1660" ht="14.25" hidden="1" customHeight="1" outlineLevel="1">
      <c r="A1660" s="344">
        <v>46143.0</v>
      </c>
      <c r="B1660" s="132">
        <v>46149.0</v>
      </c>
      <c r="C1660" s="327" t="s">
        <v>61</v>
      </c>
      <c r="D1660" s="315">
        <v>1.0</v>
      </c>
      <c r="E1660" s="316">
        <v>150.0</v>
      </c>
      <c r="F1660" s="316">
        <f t="shared" si="290"/>
        <v>150</v>
      </c>
      <c r="G1660" s="316">
        <f t="shared" si="291"/>
        <v>150</v>
      </c>
      <c r="H1660" s="317" t="b">
        <v>1</v>
      </c>
      <c r="I1660" s="143" t="s">
        <v>980</v>
      </c>
      <c r="J1660" s="321" t="s">
        <v>1181</v>
      </c>
      <c r="K1660" s="317" t="b">
        <v>0</v>
      </c>
      <c r="L1660" s="279" t="b">
        <v>1</v>
      </c>
    </row>
    <row r="1661" ht="14.25" hidden="1" customHeight="1" outlineLevel="1">
      <c r="A1661" s="344">
        <v>46143.0</v>
      </c>
      <c r="B1661" s="132">
        <v>46150.0</v>
      </c>
      <c r="C1661" s="41" t="s">
        <v>80</v>
      </c>
      <c r="D1661" s="67">
        <v>2.0</v>
      </c>
      <c r="E1661" s="69">
        <v>15.0</v>
      </c>
      <c r="F1661" s="287">
        <f t="shared" si="290"/>
        <v>30</v>
      </c>
      <c r="G1661" s="287">
        <f t="shared" si="291"/>
        <v>30</v>
      </c>
      <c r="H1661" s="279" t="b">
        <v>0</v>
      </c>
      <c r="I1661" s="143" t="s">
        <v>481</v>
      </c>
      <c r="J1661" s="42" t="s">
        <v>1908</v>
      </c>
      <c r="K1661" s="279" t="b">
        <v>1</v>
      </c>
      <c r="L1661" s="279" t="b">
        <v>1</v>
      </c>
    </row>
    <row r="1662" ht="14.25" hidden="1" customHeight="1" outlineLevel="1">
      <c r="A1662" s="344">
        <v>46143.0</v>
      </c>
      <c r="B1662" s="132">
        <v>46150.0</v>
      </c>
      <c r="C1662" s="327" t="s">
        <v>61</v>
      </c>
      <c r="D1662" s="315">
        <v>1.0</v>
      </c>
      <c r="E1662" s="316">
        <v>150.0</v>
      </c>
      <c r="F1662" s="316">
        <f t="shared" si="290"/>
        <v>150</v>
      </c>
      <c r="G1662" s="316">
        <f t="shared" si="291"/>
        <v>150</v>
      </c>
      <c r="H1662" s="317" t="b">
        <v>1</v>
      </c>
      <c r="I1662" s="143" t="s">
        <v>236</v>
      </c>
      <c r="J1662" s="321" t="s">
        <v>1184</v>
      </c>
      <c r="K1662" s="279" t="b">
        <v>0</v>
      </c>
      <c r="L1662" s="279" t="b">
        <v>1</v>
      </c>
    </row>
    <row r="1663" ht="14.25" hidden="1" customHeight="1" outlineLevel="1">
      <c r="A1663" s="344">
        <v>46143.0</v>
      </c>
      <c r="B1663" s="132">
        <v>46151.0</v>
      </c>
      <c r="C1663" s="41" t="s">
        <v>223</v>
      </c>
      <c r="D1663" s="67">
        <v>1.0</v>
      </c>
      <c r="E1663" s="69">
        <v>12.89</v>
      </c>
      <c r="F1663" s="287">
        <f t="shared" si="290"/>
        <v>12.89</v>
      </c>
      <c r="G1663" s="287">
        <f t="shared" si="291"/>
        <v>12.89</v>
      </c>
      <c r="H1663" s="279" t="b">
        <v>0</v>
      </c>
      <c r="I1663" s="143" t="s">
        <v>1911</v>
      </c>
      <c r="J1663" s="42" t="s">
        <v>1912</v>
      </c>
      <c r="K1663" s="279" t="b">
        <v>1</v>
      </c>
      <c r="L1663" s="279" t="b">
        <v>1</v>
      </c>
    </row>
    <row r="1664" ht="14.25" hidden="1" customHeight="1" outlineLevel="1">
      <c r="A1664" s="344">
        <v>46143.0</v>
      </c>
      <c r="B1664" s="132">
        <v>46152.0</v>
      </c>
      <c r="C1664" s="41" t="s">
        <v>61</v>
      </c>
      <c r="D1664" s="182">
        <v>1.0</v>
      </c>
      <c r="E1664" s="316">
        <v>200.0</v>
      </c>
      <c r="F1664" s="316">
        <v>200.0</v>
      </c>
      <c r="G1664" s="316">
        <v>200.0</v>
      </c>
      <c r="H1664" s="317" t="b">
        <v>1</v>
      </c>
      <c r="I1664" s="318" t="s">
        <v>490</v>
      </c>
      <c r="J1664" s="321" t="s">
        <v>1192</v>
      </c>
      <c r="K1664" s="279" t="b">
        <v>0</v>
      </c>
      <c r="L1664" s="279" t="b">
        <v>1</v>
      </c>
    </row>
    <row r="1665" ht="14.25" hidden="1" customHeight="1" outlineLevel="1">
      <c r="A1665" s="344">
        <v>46143.0</v>
      </c>
      <c r="B1665" s="132">
        <v>46152.0</v>
      </c>
      <c r="C1665" s="41" t="s">
        <v>61</v>
      </c>
      <c r="D1665" s="182">
        <v>1.0</v>
      </c>
      <c r="E1665" s="316">
        <v>200.0</v>
      </c>
      <c r="F1665" s="316">
        <v>200.0</v>
      </c>
      <c r="G1665" s="316">
        <v>200.0</v>
      </c>
      <c r="H1665" s="317" t="b">
        <v>1</v>
      </c>
      <c r="I1665" s="318" t="s">
        <v>296</v>
      </c>
      <c r="J1665" s="321" t="s">
        <v>1193</v>
      </c>
      <c r="K1665" s="279" t="b">
        <v>0</v>
      </c>
      <c r="L1665" s="279" t="b">
        <v>1</v>
      </c>
    </row>
    <row r="1666" ht="14.25" hidden="1" customHeight="1" outlineLevel="1">
      <c r="A1666" s="344">
        <v>46143.0</v>
      </c>
      <c r="B1666" s="132">
        <v>46152.0</v>
      </c>
      <c r="C1666" s="41" t="s">
        <v>61</v>
      </c>
      <c r="D1666" s="182">
        <v>1.0</v>
      </c>
      <c r="E1666" s="316">
        <v>200.0</v>
      </c>
      <c r="F1666" s="316">
        <v>200.0</v>
      </c>
      <c r="G1666" s="316">
        <v>200.0</v>
      </c>
      <c r="H1666" s="317" t="b">
        <v>1</v>
      </c>
      <c r="I1666" s="318" t="s">
        <v>1484</v>
      </c>
      <c r="J1666" s="321" t="s">
        <v>1195</v>
      </c>
      <c r="K1666" s="279" t="b">
        <v>0</v>
      </c>
      <c r="L1666" s="279" t="b">
        <v>1</v>
      </c>
    </row>
    <row r="1667" ht="14.25" hidden="1" customHeight="1" outlineLevel="1">
      <c r="A1667" s="344">
        <v>46143.0</v>
      </c>
      <c r="B1667" s="132">
        <v>46153.0</v>
      </c>
      <c r="C1667" s="41" t="s">
        <v>61</v>
      </c>
      <c r="D1667" s="182">
        <v>1.0</v>
      </c>
      <c r="E1667" s="183">
        <v>150.0</v>
      </c>
      <c r="F1667" s="183">
        <v>150.0</v>
      </c>
      <c r="G1667" s="183">
        <v>150.0</v>
      </c>
      <c r="H1667" s="279" t="b">
        <v>1</v>
      </c>
      <c r="I1667" s="143" t="s">
        <v>1327</v>
      </c>
      <c r="J1667" s="41" t="s">
        <v>1691</v>
      </c>
      <c r="K1667" s="279" t="b">
        <v>0</v>
      </c>
      <c r="L1667" s="279" t="b">
        <v>1</v>
      </c>
    </row>
    <row r="1668" ht="14.25" hidden="1" customHeight="1" outlineLevel="1">
      <c r="A1668" s="344">
        <v>46143.0</v>
      </c>
      <c r="B1668" s="132">
        <v>46154.0</v>
      </c>
      <c r="C1668" s="41" t="s">
        <v>61</v>
      </c>
      <c r="D1668" s="182">
        <v>1.0</v>
      </c>
      <c r="E1668" s="183">
        <v>150.0</v>
      </c>
      <c r="F1668" s="183">
        <v>150.0</v>
      </c>
      <c r="G1668" s="183">
        <v>150.0</v>
      </c>
      <c r="H1668" s="279" t="b">
        <v>1</v>
      </c>
      <c r="I1668" s="143" t="s">
        <v>236</v>
      </c>
      <c r="J1668" s="41" t="s">
        <v>1772</v>
      </c>
      <c r="K1668" s="279" t="b">
        <v>0</v>
      </c>
      <c r="L1668" s="279" t="b">
        <v>1</v>
      </c>
    </row>
    <row r="1669" ht="14.25" hidden="1" customHeight="1" outlineLevel="1">
      <c r="A1669" s="344">
        <v>46143.0</v>
      </c>
      <c r="B1669" s="132">
        <v>46156.0</v>
      </c>
      <c r="C1669" s="327" t="s">
        <v>61</v>
      </c>
      <c r="D1669" s="315">
        <v>1.0</v>
      </c>
      <c r="E1669" s="316">
        <v>150.0</v>
      </c>
      <c r="F1669" s="316">
        <f t="shared" ref="F1669:F1672" si="292">D1669*E1669</f>
        <v>150</v>
      </c>
      <c r="G1669" s="316">
        <f>F1669</f>
        <v>150</v>
      </c>
      <c r="H1669" s="317" t="b">
        <v>1</v>
      </c>
      <c r="I1669" s="143" t="s">
        <v>980</v>
      </c>
      <c r="J1669" s="321" t="s">
        <v>1181</v>
      </c>
      <c r="K1669" s="317" t="b">
        <v>0</v>
      </c>
      <c r="L1669" s="279" t="b">
        <v>1</v>
      </c>
    </row>
    <row r="1670" ht="14.25" hidden="1" customHeight="1" outlineLevel="1">
      <c r="A1670" s="344">
        <v>46143.0</v>
      </c>
      <c r="B1670" s="132">
        <v>46156.0</v>
      </c>
      <c r="C1670" s="41" t="s">
        <v>75</v>
      </c>
      <c r="D1670" s="67">
        <v>8.0</v>
      </c>
      <c r="E1670" s="69">
        <v>40.0</v>
      </c>
      <c r="F1670" s="287">
        <f t="shared" si="292"/>
        <v>320</v>
      </c>
      <c r="G1670" s="326">
        <f>SUM(F1670:F1671)</f>
        <v>400</v>
      </c>
      <c r="H1670" s="278" t="b">
        <v>0</v>
      </c>
      <c r="I1670" s="164" t="s">
        <v>318</v>
      </c>
      <c r="J1670" s="42" t="s">
        <v>1265</v>
      </c>
      <c r="K1670" s="278" t="b">
        <v>0</v>
      </c>
      <c r="L1670" s="278" t="b">
        <v>1</v>
      </c>
    </row>
    <row r="1671" ht="14.25" hidden="1" customHeight="1" outlineLevel="1">
      <c r="A1671" s="344">
        <v>46143.0</v>
      </c>
      <c r="B1671" s="132">
        <v>46156.0</v>
      </c>
      <c r="C1671" s="41" t="s">
        <v>75</v>
      </c>
      <c r="D1671" s="67">
        <v>2.0</v>
      </c>
      <c r="E1671" s="69">
        <v>40.0</v>
      </c>
      <c r="F1671" s="287">
        <f t="shared" si="292"/>
        <v>80</v>
      </c>
      <c r="G1671" s="10"/>
      <c r="H1671" s="10"/>
      <c r="I1671" s="74"/>
      <c r="J1671" s="42" t="s">
        <v>1504</v>
      </c>
      <c r="K1671" s="10"/>
      <c r="L1671" s="10"/>
    </row>
    <row r="1672" ht="14.25" hidden="1" customHeight="1" outlineLevel="1">
      <c r="A1672" s="344">
        <v>46143.0</v>
      </c>
      <c r="B1672" s="132">
        <v>46157.0</v>
      </c>
      <c r="C1672" s="327" t="s">
        <v>61</v>
      </c>
      <c r="D1672" s="315">
        <v>1.0</v>
      </c>
      <c r="E1672" s="316">
        <v>150.0</v>
      </c>
      <c r="F1672" s="316">
        <f t="shared" si="292"/>
        <v>150</v>
      </c>
      <c r="G1672" s="316">
        <f>F1672</f>
        <v>150</v>
      </c>
      <c r="H1672" s="317" t="b">
        <v>1</v>
      </c>
      <c r="I1672" s="143" t="s">
        <v>236</v>
      </c>
      <c r="J1672" s="321" t="s">
        <v>1184</v>
      </c>
      <c r="K1672" s="279" t="b">
        <v>0</v>
      </c>
      <c r="L1672" s="279" t="b">
        <v>1</v>
      </c>
    </row>
    <row r="1673" ht="14.25" hidden="1" customHeight="1" outlineLevel="1">
      <c r="A1673" s="344">
        <v>46143.0</v>
      </c>
      <c r="B1673" s="132">
        <v>46159.0</v>
      </c>
      <c r="C1673" s="41" t="s">
        <v>61</v>
      </c>
      <c r="D1673" s="182">
        <v>1.0</v>
      </c>
      <c r="E1673" s="316">
        <v>200.0</v>
      </c>
      <c r="F1673" s="316">
        <v>200.0</v>
      </c>
      <c r="G1673" s="316">
        <v>200.0</v>
      </c>
      <c r="H1673" s="317" t="b">
        <v>1</v>
      </c>
      <c r="I1673" s="318" t="s">
        <v>490</v>
      </c>
      <c r="J1673" s="321" t="s">
        <v>1192</v>
      </c>
      <c r="K1673" s="279" t="b">
        <v>0</v>
      </c>
      <c r="L1673" s="279" t="b">
        <v>1</v>
      </c>
    </row>
    <row r="1674" ht="14.25" hidden="1" customHeight="1" outlineLevel="1">
      <c r="A1674" s="344">
        <v>46143.0</v>
      </c>
      <c r="B1674" s="132">
        <v>46159.0</v>
      </c>
      <c r="C1674" s="41" t="s">
        <v>61</v>
      </c>
      <c r="D1674" s="182">
        <v>1.0</v>
      </c>
      <c r="E1674" s="316">
        <v>200.0</v>
      </c>
      <c r="F1674" s="316">
        <v>200.0</v>
      </c>
      <c r="G1674" s="316">
        <v>200.0</v>
      </c>
      <c r="H1674" s="317" t="b">
        <v>1</v>
      </c>
      <c r="I1674" s="318" t="s">
        <v>296</v>
      </c>
      <c r="J1674" s="321" t="s">
        <v>1193</v>
      </c>
      <c r="K1674" s="279" t="b">
        <v>0</v>
      </c>
      <c r="L1674" s="279" t="b">
        <v>1</v>
      </c>
    </row>
    <row r="1675" ht="14.25" hidden="1" customHeight="1" outlineLevel="1">
      <c r="A1675" s="344">
        <v>46143.0</v>
      </c>
      <c r="B1675" s="132">
        <v>46159.0</v>
      </c>
      <c r="C1675" s="41" t="s">
        <v>61</v>
      </c>
      <c r="D1675" s="182">
        <v>1.0</v>
      </c>
      <c r="E1675" s="316">
        <v>200.0</v>
      </c>
      <c r="F1675" s="316">
        <v>200.0</v>
      </c>
      <c r="G1675" s="316">
        <v>200.0</v>
      </c>
      <c r="H1675" s="317" t="b">
        <v>1</v>
      </c>
      <c r="I1675" s="318" t="s">
        <v>1484</v>
      </c>
      <c r="J1675" s="321" t="s">
        <v>1195</v>
      </c>
      <c r="K1675" s="279" t="b">
        <v>0</v>
      </c>
      <c r="L1675" s="279" t="b">
        <v>1</v>
      </c>
    </row>
    <row r="1676" ht="14.25" hidden="1" customHeight="1" outlineLevel="1">
      <c r="A1676" s="344">
        <v>46143.0</v>
      </c>
      <c r="B1676" s="132">
        <v>46160.0</v>
      </c>
      <c r="C1676" s="41" t="s">
        <v>61</v>
      </c>
      <c r="D1676" s="182">
        <v>1.0</v>
      </c>
      <c r="E1676" s="183">
        <v>150.0</v>
      </c>
      <c r="F1676" s="183">
        <v>150.0</v>
      </c>
      <c r="G1676" s="183">
        <v>150.0</v>
      </c>
      <c r="H1676" s="279" t="b">
        <v>1</v>
      </c>
      <c r="I1676" s="143" t="s">
        <v>1327</v>
      </c>
      <c r="J1676" s="41" t="s">
        <v>1691</v>
      </c>
      <c r="K1676" s="279" t="b">
        <v>0</v>
      </c>
      <c r="L1676" s="279" t="b">
        <v>1</v>
      </c>
    </row>
    <row r="1677" ht="14.25" hidden="1" customHeight="1" outlineLevel="1">
      <c r="A1677" s="344">
        <v>46143.0</v>
      </c>
      <c r="B1677" s="132">
        <v>46161.0</v>
      </c>
      <c r="C1677" s="41" t="s">
        <v>61</v>
      </c>
      <c r="D1677" s="182">
        <v>1.0</v>
      </c>
      <c r="E1677" s="183">
        <v>150.0</v>
      </c>
      <c r="F1677" s="183">
        <v>150.0</v>
      </c>
      <c r="G1677" s="183">
        <v>150.0</v>
      </c>
      <c r="H1677" s="279" t="b">
        <v>1</v>
      </c>
      <c r="I1677" s="143" t="s">
        <v>236</v>
      </c>
      <c r="J1677" s="41" t="s">
        <v>1772</v>
      </c>
      <c r="K1677" s="279" t="b">
        <v>0</v>
      </c>
      <c r="L1677" s="279" t="b">
        <v>1</v>
      </c>
    </row>
    <row r="1678" ht="14.25" hidden="1" customHeight="1" outlineLevel="1">
      <c r="A1678" s="344">
        <v>46143.0</v>
      </c>
      <c r="B1678" s="132">
        <v>46163.0</v>
      </c>
      <c r="C1678" s="327" t="s">
        <v>61</v>
      </c>
      <c r="D1678" s="315">
        <v>1.0</v>
      </c>
      <c r="E1678" s="316">
        <v>150.0</v>
      </c>
      <c r="F1678" s="316">
        <f t="shared" ref="F1678:F1680" si="293">D1678*E1678</f>
        <v>150</v>
      </c>
      <c r="G1678" s="316">
        <f t="shared" ref="G1678:G1680" si="294">F1678</f>
        <v>150</v>
      </c>
      <c r="H1678" s="317" t="b">
        <v>1</v>
      </c>
      <c r="I1678" s="143" t="s">
        <v>980</v>
      </c>
      <c r="J1678" s="321" t="s">
        <v>1181</v>
      </c>
      <c r="K1678" s="317" t="b">
        <v>0</v>
      </c>
      <c r="L1678" s="279" t="b">
        <v>1</v>
      </c>
    </row>
    <row r="1679" ht="14.25" hidden="1" customHeight="1" outlineLevel="1">
      <c r="A1679" s="344">
        <v>46143.0</v>
      </c>
      <c r="B1679" s="132">
        <v>46164.0</v>
      </c>
      <c r="C1679" s="327" t="s">
        <v>61</v>
      </c>
      <c r="D1679" s="315">
        <v>1.0</v>
      </c>
      <c r="E1679" s="316">
        <v>150.0</v>
      </c>
      <c r="F1679" s="316">
        <f t="shared" si="293"/>
        <v>150</v>
      </c>
      <c r="G1679" s="316">
        <f t="shared" si="294"/>
        <v>150</v>
      </c>
      <c r="H1679" s="317" t="b">
        <v>1</v>
      </c>
      <c r="I1679" s="143" t="s">
        <v>236</v>
      </c>
      <c r="J1679" s="321" t="s">
        <v>1184</v>
      </c>
      <c r="K1679" s="279" t="b">
        <v>0</v>
      </c>
      <c r="L1679" s="279" t="b">
        <v>1</v>
      </c>
    </row>
    <row r="1680" ht="14.25" hidden="1" customHeight="1" outlineLevel="1">
      <c r="A1680" s="344">
        <v>46143.0</v>
      </c>
      <c r="B1680" s="132">
        <v>46164.0</v>
      </c>
      <c r="C1680" s="41" t="s">
        <v>231</v>
      </c>
      <c r="D1680" s="67">
        <v>1.0</v>
      </c>
      <c r="E1680" s="69">
        <v>39.9</v>
      </c>
      <c r="F1680" s="287">
        <f t="shared" si="293"/>
        <v>39.9</v>
      </c>
      <c r="G1680" s="287">
        <f t="shared" si="294"/>
        <v>39.9</v>
      </c>
      <c r="H1680" s="279" t="b">
        <v>0</v>
      </c>
      <c r="I1680" s="143" t="s">
        <v>1919</v>
      </c>
      <c r="J1680" s="42" t="s">
        <v>1920</v>
      </c>
      <c r="K1680" s="279" t="b">
        <v>1</v>
      </c>
      <c r="L1680" s="279" t="b">
        <v>1</v>
      </c>
    </row>
    <row r="1681" ht="14.25" hidden="1" customHeight="1" outlineLevel="1">
      <c r="A1681" s="344">
        <v>46143.0</v>
      </c>
      <c r="B1681" s="132">
        <v>46166.0</v>
      </c>
      <c r="C1681" s="41" t="s">
        <v>61</v>
      </c>
      <c r="D1681" s="182">
        <v>1.0</v>
      </c>
      <c r="E1681" s="316">
        <v>200.0</v>
      </c>
      <c r="F1681" s="316">
        <v>200.0</v>
      </c>
      <c r="G1681" s="316">
        <v>200.0</v>
      </c>
      <c r="H1681" s="317" t="b">
        <v>1</v>
      </c>
      <c r="I1681" s="318" t="s">
        <v>490</v>
      </c>
      <c r="J1681" s="321" t="s">
        <v>1192</v>
      </c>
      <c r="K1681" s="279" t="b">
        <v>0</v>
      </c>
      <c r="L1681" s="279" t="b">
        <v>1</v>
      </c>
    </row>
    <row r="1682" ht="14.25" hidden="1" customHeight="1" outlineLevel="1">
      <c r="A1682" s="344">
        <v>46143.0</v>
      </c>
      <c r="B1682" s="132">
        <v>46166.0</v>
      </c>
      <c r="C1682" s="41" t="s">
        <v>61</v>
      </c>
      <c r="D1682" s="182">
        <v>1.0</v>
      </c>
      <c r="E1682" s="316">
        <v>200.0</v>
      </c>
      <c r="F1682" s="316">
        <v>200.0</v>
      </c>
      <c r="G1682" s="316">
        <v>200.0</v>
      </c>
      <c r="H1682" s="317" t="b">
        <v>1</v>
      </c>
      <c r="I1682" s="318" t="s">
        <v>296</v>
      </c>
      <c r="J1682" s="321" t="s">
        <v>1193</v>
      </c>
      <c r="K1682" s="279" t="b">
        <v>0</v>
      </c>
      <c r="L1682" s="279" t="b">
        <v>1</v>
      </c>
    </row>
    <row r="1683" ht="14.25" hidden="1" customHeight="1" outlineLevel="1">
      <c r="A1683" s="344">
        <v>46143.0</v>
      </c>
      <c r="B1683" s="132">
        <v>46166.0</v>
      </c>
      <c r="C1683" s="41" t="s">
        <v>61</v>
      </c>
      <c r="D1683" s="182">
        <v>1.0</v>
      </c>
      <c r="E1683" s="316">
        <v>200.0</v>
      </c>
      <c r="F1683" s="316">
        <v>200.0</v>
      </c>
      <c r="G1683" s="316">
        <v>200.0</v>
      </c>
      <c r="H1683" s="317" t="b">
        <v>1</v>
      </c>
      <c r="I1683" s="318" t="s">
        <v>1484</v>
      </c>
      <c r="J1683" s="321" t="s">
        <v>1195</v>
      </c>
      <c r="K1683" s="279" t="b">
        <v>0</v>
      </c>
      <c r="L1683" s="279" t="b">
        <v>1</v>
      </c>
    </row>
    <row r="1684" ht="14.25" hidden="1" customHeight="1" outlineLevel="1">
      <c r="A1684" s="344">
        <v>46143.0</v>
      </c>
      <c r="B1684" s="132">
        <v>46167.0</v>
      </c>
      <c r="C1684" s="41" t="s">
        <v>61</v>
      </c>
      <c r="D1684" s="182">
        <v>1.0</v>
      </c>
      <c r="E1684" s="183">
        <v>100.0</v>
      </c>
      <c r="F1684" s="183">
        <v>100.0</v>
      </c>
      <c r="G1684" s="183">
        <v>100.0</v>
      </c>
      <c r="H1684" s="279" t="b">
        <v>1</v>
      </c>
      <c r="I1684" s="143" t="s">
        <v>1327</v>
      </c>
      <c r="J1684" s="41" t="s">
        <v>1923</v>
      </c>
      <c r="K1684" s="279" t="b">
        <v>0</v>
      </c>
      <c r="L1684" s="279" t="b">
        <v>1</v>
      </c>
    </row>
    <row r="1685" ht="14.25" hidden="1" customHeight="1" outlineLevel="1">
      <c r="A1685" s="344">
        <v>46143.0</v>
      </c>
      <c r="B1685" s="132">
        <v>46167.0</v>
      </c>
      <c r="C1685" s="41" t="s">
        <v>112</v>
      </c>
      <c r="D1685" s="67">
        <v>4.0</v>
      </c>
      <c r="E1685" s="69">
        <v>6.99</v>
      </c>
      <c r="F1685" s="287">
        <f t="shared" ref="F1685:F1686" si="295">D1685*E1685</f>
        <v>27.96</v>
      </c>
      <c r="G1685" s="501">
        <f>SUM(F1685:F1686)</f>
        <v>69.03</v>
      </c>
      <c r="H1685" s="278" t="b">
        <v>0</v>
      </c>
      <c r="I1685" s="164" t="s">
        <v>1928</v>
      </c>
      <c r="J1685" s="42" t="s">
        <v>1930</v>
      </c>
      <c r="K1685" s="278" t="b">
        <v>1</v>
      </c>
      <c r="L1685" s="278" t="b">
        <v>1</v>
      </c>
    </row>
    <row r="1686" ht="14.25" hidden="1" customHeight="1" outlineLevel="1">
      <c r="A1686" s="344">
        <v>46143.0</v>
      </c>
      <c r="B1686" s="132">
        <v>46167.0</v>
      </c>
      <c r="C1686" s="41" t="s">
        <v>112</v>
      </c>
      <c r="D1686" s="67">
        <v>3.0</v>
      </c>
      <c r="E1686" s="69">
        <v>13.69</v>
      </c>
      <c r="F1686" s="287">
        <f t="shared" si="295"/>
        <v>41.07</v>
      </c>
      <c r="G1686" s="10"/>
      <c r="H1686" s="10"/>
      <c r="I1686" s="74"/>
      <c r="J1686" s="42" t="s">
        <v>1931</v>
      </c>
      <c r="K1686" s="10"/>
      <c r="L1686" s="10"/>
    </row>
    <row r="1687" ht="14.25" hidden="1" customHeight="1" outlineLevel="1">
      <c r="A1687" s="344">
        <v>46143.0</v>
      </c>
      <c r="B1687" s="132">
        <v>46168.0</v>
      </c>
      <c r="C1687" s="41" t="s">
        <v>61</v>
      </c>
      <c r="D1687" s="182">
        <v>1.0</v>
      </c>
      <c r="E1687" s="183">
        <v>150.0</v>
      </c>
      <c r="F1687" s="183">
        <v>150.0</v>
      </c>
      <c r="G1687" s="183">
        <v>150.0</v>
      </c>
      <c r="H1687" s="279" t="b">
        <v>1</v>
      </c>
      <c r="I1687" s="143" t="s">
        <v>236</v>
      </c>
      <c r="J1687" s="41" t="s">
        <v>1772</v>
      </c>
      <c r="K1687" s="279" t="b">
        <v>0</v>
      </c>
      <c r="L1687" s="279" t="b">
        <v>1</v>
      </c>
    </row>
    <row r="1688" ht="14.25" hidden="1" customHeight="1" outlineLevel="1">
      <c r="A1688" s="344">
        <v>46143.0</v>
      </c>
      <c r="B1688" s="132">
        <v>46168.0</v>
      </c>
      <c r="C1688" s="41" t="s">
        <v>80</v>
      </c>
      <c r="D1688" s="67">
        <v>2.0</v>
      </c>
      <c r="E1688" s="69">
        <v>16.0</v>
      </c>
      <c r="F1688" s="287">
        <f t="shared" ref="F1688:F1694" si="296">D1688*E1688</f>
        <v>32</v>
      </c>
      <c r="G1688" s="287">
        <f t="shared" ref="G1688:G1694" si="297">F1688</f>
        <v>32</v>
      </c>
      <c r="H1688" s="279" t="b">
        <v>0</v>
      </c>
      <c r="I1688" s="143" t="s">
        <v>481</v>
      </c>
      <c r="J1688" s="42" t="s">
        <v>1908</v>
      </c>
      <c r="K1688" s="279" t="b">
        <v>1</v>
      </c>
      <c r="L1688" s="279" t="b">
        <v>1</v>
      </c>
    </row>
    <row r="1689" ht="14.25" hidden="1" customHeight="1" outlineLevel="1">
      <c r="A1689" s="344">
        <v>46143.0</v>
      </c>
      <c r="B1689" s="132">
        <v>46169.0</v>
      </c>
      <c r="C1689" s="41" t="s">
        <v>680</v>
      </c>
      <c r="D1689" s="67">
        <v>6.0</v>
      </c>
      <c r="E1689" s="69">
        <v>170.0</v>
      </c>
      <c r="F1689" s="287">
        <f t="shared" si="296"/>
        <v>1020</v>
      </c>
      <c r="G1689" s="287">
        <f t="shared" si="297"/>
        <v>1020</v>
      </c>
      <c r="H1689" s="279" t="b">
        <v>0</v>
      </c>
      <c r="I1689" s="143" t="s">
        <v>1934</v>
      </c>
      <c r="J1689" s="42" t="s">
        <v>1935</v>
      </c>
      <c r="K1689" s="279" t="b">
        <v>0</v>
      </c>
      <c r="L1689" s="279" t="b">
        <v>1</v>
      </c>
    </row>
    <row r="1690" ht="14.25" hidden="1" customHeight="1" outlineLevel="1">
      <c r="A1690" s="344">
        <v>46143.0</v>
      </c>
      <c r="B1690" s="132">
        <v>46170.0</v>
      </c>
      <c r="C1690" s="41" t="s">
        <v>61</v>
      </c>
      <c r="D1690" s="182">
        <v>1.0</v>
      </c>
      <c r="E1690" s="183">
        <v>150.0</v>
      </c>
      <c r="F1690" s="183">
        <f t="shared" si="296"/>
        <v>150</v>
      </c>
      <c r="G1690" s="183">
        <f t="shared" si="297"/>
        <v>150</v>
      </c>
      <c r="H1690" s="279" t="b">
        <v>1</v>
      </c>
      <c r="I1690" s="143" t="s">
        <v>980</v>
      </c>
      <c r="J1690" s="41" t="s">
        <v>1181</v>
      </c>
      <c r="K1690" s="279" t="b">
        <v>0</v>
      </c>
      <c r="L1690" s="279" t="b">
        <v>1</v>
      </c>
    </row>
    <row r="1691" ht="14.25" hidden="1" customHeight="1" outlineLevel="1">
      <c r="A1691" s="344">
        <v>46143.0</v>
      </c>
      <c r="B1691" s="132">
        <v>46170.0</v>
      </c>
      <c r="C1691" s="41" t="s">
        <v>61</v>
      </c>
      <c r="D1691" s="182">
        <v>1.0</v>
      </c>
      <c r="E1691" s="183">
        <v>3300.0</v>
      </c>
      <c r="F1691" s="183">
        <f t="shared" si="296"/>
        <v>3300</v>
      </c>
      <c r="G1691" s="183">
        <f t="shared" si="297"/>
        <v>3300</v>
      </c>
      <c r="H1691" s="279" t="b">
        <v>1</v>
      </c>
      <c r="I1691" s="143" t="s">
        <v>263</v>
      </c>
      <c r="J1691" s="41" t="s">
        <v>1937</v>
      </c>
      <c r="K1691" s="279" t="b">
        <v>0</v>
      </c>
      <c r="L1691" s="279" t="b">
        <v>1</v>
      </c>
    </row>
    <row r="1692" ht="14.25" hidden="1" customHeight="1" outlineLevel="1">
      <c r="A1692" s="344">
        <v>46143.0</v>
      </c>
      <c r="B1692" s="132">
        <v>46171.0</v>
      </c>
      <c r="C1692" s="41" t="s">
        <v>61</v>
      </c>
      <c r="D1692" s="182">
        <v>1.0</v>
      </c>
      <c r="E1692" s="183">
        <v>150.0</v>
      </c>
      <c r="F1692" s="183">
        <f t="shared" si="296"/>
        <v>150</v>
      </c>
      <c r="G1692" s="183">
        <f t="shared" si="297"/>
        <v>150</v>
      </c>
      <c r="H1692" s="279" t="b">
        <v>1</v>
      </c>
      <c r="I1692" s="143" t="s">
        <v>236</v>
      </c>
      <c r="J1692" s="41" t="s">
        <v>1184</v>
      </c>
      <c r="K1692" s="279" t="b">
        <v>0</v>
      </c>
      <c r="L1692" s="279" t="b">
        <v>1</v>
      </c>
    </row>
    <row r="1693" ht="14.25" hidden="1" customHeight="1" outlineLevel="1">
      <c r="A1693" s="344">
        <v>46143.0</v>
      </c>
      <c r="B1693" s="132">
        <v>46171.0</v>
      </c>
      <c r="C1693" s="41" t="s">
        <v>61</v>
      </c>
      <c r="D1693" s="182">
        <v>1.0</v>
      </c>
      <c r="E1693" s="183">
        <v>2400.0</v>
      </c>
      <c r="F1693" s="183">
        <f t="shared" si="296"/>
        <v>2400</v>
      </c>
      <c r="G1693" s="183">
        <f t="shared" si="297"/>
        <v>2400</v>
      </c>
      <c r="H1693" s="279" t="b">
        <v>1</v>
      </c>
      <c r="I1693" s="143" t="s">
        <v>1900</v>
      </c>
      <c r="J1693" s="41" t="s">
        <v>1937</v>
      </c>
      <c r="K1693" s="279" t="b">
        <v>0</v>
      </c>
      <c r="L1693" s="279" t="b">
        <v>1</v>
      </c>
    </row>
    <row r="1694" ht="14.25" hidden="1" customHeight="1" outlineLevel="1">
      <c r="A1694" s="344">
        <v>46143.0</v>
      </c>
      <c r="B1694" s="132">
        <v>46172.0</v>
      </c>
      <c r="C1694" s="41" t="s">
        <v>58</v>
      </c>
      <c r="D1694" s="67">
        <v>1.0</v>
      </c>
      <c r="E1694" s="69">
        <v>16.79</v>
      </c>
      <c r="F1694" s="287">
        <f t="shared" si="296"/>
        <v>16.79</v>
      </c>
      <c r="G1694" s="287">
        <f t="shared" si="297"/>
        <v>16.79</v>
      </c>
      <c r="H1694" s="279" t="b">
        <v>0</v>
      </c>
      <c r="I1694" s="143" t="s">
        <v>1911</v>
      </c>
      <c r="J1694" s="42" t="s">
        <v>1941</v>
      </c>
      <c r="K1694" s="279" t="b">
        <v>1</v>
      </c>
      <c r="L1694" s="279" t="b">
        <v>1</v>
      </c>
    </row>
    <row r="1695" ht="14.25" hidden="1" customHeight="1" outlineLevel="1">
      <c r="A1695" s="344">
        <v>46143.0</v>
      </c>
      <c r="B1695" s="132">
        <v>46173.0</v>
      </c>
      <c r="C1695" s="41" t="s">
        <v>61</v>
      </c>
      <c r="D1695" s="182">
        <v>1.0</v>
      </c>
      <c r="E1695" s="316">
        <v>200.0</v>
      </c>
      <c r="F1695" s="316">
        <v>200.0</v>
      </c>
      <c r="G1695" s="316">
        <v>200.0</v>
      </c>
      <c r="H1695" s="317" t="b">
        <v>1</v>
      </c>
      <c r="I1695" s="318" t="s">
        <v>490</v>
      </c>
      <c r="J1695" s="321" t="s">
        <v>1192</v>
      </c>
      <c r="K1695" s="279" t="b">
        <v>0</v>
      </c>
      <c r="L1695" s="279" t="b">
        <v>1</v>
      </c>
    </row>
    <row r="1696" ht="14.25" hidden="1" customHeight="1" outlineLevel="1">
      <c r="A1696" s="344">
        <v>46143.0</v>
      </c>
      <c r="B1696" s="132">
        <v>46173.0</v>
      </c>
      <c r="C1696" s="41" t="s">
        <v>61</v>
      </c>
      <c r="D1696" s="182">
        <v>1.0</v>
      </c>
      <c r="E1696" s="316">
        <v>200.0</v>
      </c>
      <c r="F1696" s="316">
        <v>200.0</v>
      </c>
      <c r="G1696" s="316">
        <v>200.0</v>
      </c>
      <c r="H1696" s="317" t="b">
        <v>1</v>
      </c>
      <c r="I1696" s="318" t="s">
        <v>1251</v>
      </c>
      <c r="J1696" s="321" t="s">
        <v>1193</v>
      </c>
      <c r="K1696" s="279" t="b">
        <v>0</v>
      </c>
      <c r="L1696" s="279" t="b">
        <v>1</v>
      </c>
    </row>
    <row r="1697" ht="14.25" hidden="1" customHeight="1" outlineLevel="1">
      <c r="A1697" s="344">
        <v>46143.0</v>
      </c>
      <c r="B1697" s="132">
        <v>46173.0</v>
      </c>
      <c r="C1697" s="41" t="s">
        <v>61</v>
      </c>
      <c r="D1697" s="182">
        <v>1.0</v>
      </c>
      <c r="E1697" s="316">
        <v>200.0</v>
      </c>
      <c r="F1697" s="316">
        <v>200.0</v>
      </c>
      <c r="G1697" s="316">
        <v>200.0</v>
      </c>
      <c r="H1697" s="317" t="b">
        <v>1</v>
      </c>
      <c r="I1697" s="318" t="s">
        <v>342</v>
      </c>
      <c r="J1697" s="321" t="s">
        <v>1195</v>
      </c>
      <c r="K1697" s="279" t="b">
        <v>0</v>
      </c>
      <c r="L1697" s="279" t="b">
        <v>1</v>
      </c>
    </row>
    <row r="1698" ht="14.25" customHeight="1">
      <c r="A1698" s="180" t="s">
        <v>192</v>
      </c>
      <c r="B1698" s="27"/>
      <c r="C1698" s="27"/>
      <c r="D1698" s="27"/>
      <c r="E1698" s="28"/>
      <c r="F1698" s="181">
        <f t="shared" ref="F1698:G1698" si="298">SUM(F1651:F1697)</f>
        <v>13298.61</v>
      </c>
      <c r="G1698" s="181">
        <f t="shared" si="298"/>
        <v>13298.61</v>
      </c>
    </row>
    <row r="1699" ht="14.25" customHeight="1" collapsed="1">
      <c r="A1699" s="245" t="s">
        <v>1635</v>
      </c>
      <c r="B1699" s="246"/>
      <c r="C1699" s="246"/>
      <c r="D1699" s="246"/>
      <c r="E1699" s="246"/>
      <c r="F1699" s="246"/>
      <c r="G1699" s="246"/>
      <c r="H1699" s="246"/>
      <c r="I1699" s="246"/>
      <c r="J1699" s="247"/>
    </row>
    <row r="1700" ht="14.25" hidden="1" customHeight="1" outlineLevel="1">
      <c r="A1700" s="344">
        <v>46174.0</v>
      </c>
      <c r="B1700" s="132">
        <v>46174.0</v>
      </c>
      <c r="C1700" s="41" t="s">
        <v>61</v>
      </c>
      <c r="D1700" s="182">
        <v>1.0</v>
      </c>
      <c r="E1700" s="183">
        <v>150.0</v>
      </c>
      <c r="F1700" s="183">
        <v>150.0</v>
      </c>
      <c r="G1700" s="183">
        <v>150.0</v>
      </c>
      <c r="H1700" s="279" t="b">
        <v>1</v>
      </c>
      <c r="I1700" s="143" t="s">
        <v>1327</v>
      </c>
      <c r="J1700" s="41" t="s">
        <v>1947</v>
      </c>
      <c r="K1700" s="279" t="b">
        <v>0</v>
      </c>
      <c r="L1700" s="279" t="b">
        <v>1</v>
      </c>
    </row>
    <row r="1701" ht="14.25" hidden="1" customHeight="1" outlineLevel="1">
      <c r="A1701" s="344">
        <v>46174.0</v>
      </c>
      <c r="B1701" s="132">
        <v>46175.0</v>
      </c>
      <c r="C1701" s="41" t="s">
        <v>61</v>
      </c>
      <c r="D1701" s="182">
        <v>1.0</v>
      </c>
      <c r="E1701" s="183">
        <v>150.0</v>
      </c>
      <c r="F1701" s="183">
        <v>150.0</v>
      </c>
      <c r="G1701" s="183">
        <v>150.0</v>
      </c>
      <c r="H1701" s="279" t="b">
        <v>1</v>
      </c>
      <c r="I1701" s="143" t="s">
        <v>236</v>
      </c>
      <c r="J1701" s="41" t="s">
        <v>1772</v>
      </c>
      <c r="K1701" s="279" t="b">
        <v>0</v>
      </c>
      <c r="L1701" s="279" t="b">
        <v>1</v>
      </c>
    </row>
    <row r="1702" ht="14.25" hidden="1" customHeight="1" outlineLevel="1">
      <c r="A1702" s="344">
        <v>46174.0</v>
      </c>
      <c r="B1702" s="132">
        <v>46176.0</v>
      </c>
      <c r="C1702" s="41" t="s">
        <v>171</v>
      </c>
      <c r="D1702" s="67">
        <v>1.0</v>
      </c>
      <c r="E1702" s="69">
        <v>280.3</v>
      </c>
      <c r="F1702" s="287">
        <f t="shared" ref="F1702:F1705" si="299">D1702*E1702</f>
        <v>280.3</v>
      </c>
      <c r="G1702" s="515">
        <f t="shared" ref="G1702:G1705" si="300">F1702</f>
        <v>280.3</v>
      </c>
      <c r="H1702" s="279" t="b">
        <v>0</v>
      </c>
      <c r="I1702" s="143" t="s">
        <v>1948</v>
      </c>
      <c r="J1702" s="42" t="s">
        <v>1494</v>
      </c>
      <c r="K1702" s="279" t="b">
        <v>1</v>
      </c>
      <c r="L1702" s="279" t="b">
        <v>1</v>
      </c>
    </row>
    <row r="1703" ht="14.25" hidden="1" customHeight="1" outlineLevel="1">
      <c r="A1703" s="344">
        <v>46174.0</v>
      </c>
      <c r="B1703" s="132">
        <v>46177.0</v>
      </c>
      <c r="C1703" s="327" t="s">
        <v>61</v>
      </c>
      <c r="D1703" s="315">
        <v>1.0</v>
      </c>
      <c r="E1703" s="337">
        <v>200.0</v>
      </c>
      <c r="F1703" s="316">
        <f t="shared" si="299"/>
        <v>200</v>
      </c>
      <c r="G1703" s="316">
        <f t="shared" si="300"/>
        <v>200</v>
      </c>
      <c r="H1703" s="317" t="b">
        <v>1</v>
      </c>
      <c r="I1703" s="143" t="s">
        <v>490</v>
      </c>
      <c r="J1703" s="321" t="s">
        <v>1119</v>
      </c>
      <c r="K1703" s="317" t="b">
        <v>0</v>
      </c>
      <c r="L1703" s="279" t="b">
        <v>1</v>
      </c>
    </row>
    <row r="1704" ht="14.25" hidden="1" customHeight="1" outlineLevel="1">
      <c r="A1704" s="344">
        <v>46174.0</v>
      </c>
      <c r="B1704" s="132">
        <v>46178.0</v>
      </c>
      <c r="C1704" s="327" t="s">
        <v>61</v>
      </c>
      <c r="D1704" s="315">
        <v>1.0</v>
      </c>
      <c r="E1704" s="316">
        <v>150.0</v>
      </c>
      <c r="F1704" s="316">
        <f t="shared" si="299"/>
        <v>150</v>
      </c>
      <c r="G1704" s="316">
        <f t="shared" si="300"/>
        <v>150</v>
      </c>
      <c r="H1704" s="317" t="b">
        <v>1</v>
      </c>
      <c r="I1704" s="143" t="s">
        <v>236</v>
      </c>
      <c r="J1704" s="321" t="s">
        <v>1184</v>
      </c>
      <c r="K1704" s="317" t="b">
        <v>0</v>
      </c>
      <c r="L1704" s="279" t="b">
        <v>1</v>
      </c>
    </row>
    <row r="1705" ht="14.25" hidden="1" customHeight="1" outlineLevel="1">
      <c r="A1705" s="344">
        <v>46174.0</v>
      </c>
      <c r="B1705" s="132">
        <v>46178.0</v>
      </c>
      <c r="C1705" s="41" t="s">
        <v>80</v>
      </c>
      <c r="D1705" s="67">
        <v>2.0</v>
      </c>
      <c r="E1705" s="69">
        <v>16.0</v>
      </c>
      <c r="F1705" s="287">
        <f t="shared" si="299"/>
        <v>32</v>
      </c>
      <c r="G1705" s="287">
        <f t="shared" si="300"/>
        <v>32</v>
      </c>
      <c r="H1705" s="279" t="b">
        <v>0</v>
      </c>
      <c r="I1705" s="143" t="s">
        <v>481</v>
      </c>
      <c r="J1705" s="42" t="s">
        <v>1949</v>
      </c>
      <c r="K1705" s="279" t="b">
        <v>1</v>
      </c>
      <c r="L1705" s="279" t="b">
        <v>1</v>
      </c>
    </row>
    <row r="1706" ht="14.25" hidden="1" customHeight="1" outlineLevel="1">
      <c r="A1706" s="344">
        <v>46174.0</v>
      </c>
      <c r="B1706" s="132">
        <v>46179.0</v>
      </c>
      <c r="C1706" s="41" t="s">
        <v>61</v>
      </c>
      <c r="D1706" s="182">
        <v>1.0</v>
      </c>
      <c r="E1706" s="337">
        <v>150.0</v>
      </c>
      <c r="F1706" s="337">
        <v>150.0</v>
      </c>
      <c r="G1706" s="337">
        <v>150.0</v>
      </c>
      <c r="H1706" s="317" t="b">
        <v>1</v>
      </c>
      <c r="I1706" s="318" t="s">
        <v>1251</v>
      </c>
      <c r="J1706" s="321" t="s">
        <v>1950</v>
      </c>
      <c r="K1706" s="279" t="b">
        <v>0</v>
      </c>
      <c r="L1706" s="279" t="b">
        <v>1</v>
      </c>
    </row>
    <row r="1707" ht="14.25" hidden="1" customHeight="1" outlineLevel="1">
      <c r="A1707" s="344">
        <v>46174.0</v>
      </c>
      <c r="B1707" s="132">
        <v>46180.0</v>
      </c>
      <c r="C1707" s="41" t="s">
        <v>61</v>
      </c>
      <c r="D1707" s="182">
        <v>1.0</v>
      </c>
      <c r="E1707" s="316">
        <v>200.0</v>
      </c>
      <c r="F1707" s="316">
        <v>200.0</v>
      </c>
      <c r="G1707" s="316">
        <v>200.0</v>
      </c>
      <c r="H1707" s="317" t="b">
        <v>1</v>
      </c>
      <c r="I1707" s="318" t="s">
        <v>490</v>
      </c>
      <c r="J1707" s="321" t="s">
        <v>1192</v>
      </c>
      <c r="K1707" s="279" t="b">
        <v>0</v>
      </c>
      <c r="L1707" s="279" t="b">
        <v>1</v>
      </c>
    </row>
    <row r="1708" ht="14.25" hidden="1" customHeight="1" outlineLevel="1">
      <c r="A1708" s="344">
        <v>46174.0</v>
      </c>
      <c r="B1708" s="132">
        <v>46180.0</v>
      </c>
      <c r="C1708" s="41" t="s">
        <v>61</v>
      </c>
      <c r="D1708" s="182">
        <v>1.0</v>
      </c>
      <c r="E1708" s="316">
        <v>200.0</v>
      </c>
      <c r="F1708" s="316">
        <v>200.0</v>
      </c>
      <c r="G1708" s="316">
        <v>200.0</v>
      </c>
      <c r="H1708" s="317" t="b">
        <v>1</v>
      </c>
      <c r="I1708" s="318" t="s">
        <v>1251</v>
      </c>
      <c r="J1708" s="321" t="s">
        <v>1193</v>
      </c>
      <c r="K1708" s="279" t="b">
        <v>0</v>
      </c>
      <c r="L1708" s="279" t="b">
        <v>1</v>
      </c>
    </row>
    <row r="1709" ht="14.25" hidden="1" customHeight="1" outlineLevel="1">
      <c r="A1709" s="344">
        <v>46174.0</v>
      </c>
      <c r="B1709" s="132">
        <v>46180.0</v>
      </c>
      <c r="C1709" s="41" t="s">
        <v>61</v>
      </c>
      <c r="D1709" s="182">
        <v>1.0</v>
      </c>
      <c r="E1709" s="316">
        <v>200.0</v>
      </c>
      <c r="F1709" s="316">
        <v>200.0</v>
      </c>
      <c r="G1709" s="316">
        <v>200.0</v>
      </c>
      <c r="H1709" s="317" t="b">
        <v>1</v>
      </c>
      <c r="I1709" s="318" t="s">
        <v>325</v>
      </c>
      <c r="J1709" s="321" t="s">
        <v>1195</v>
      </c>
      <c r="K1709" s="279" t="b">
        <v>0</v>
      </c>
      <c r="L1709" s="279" t="b">
        <v>1</v>
      </c>
    </row>
    <row r="1710" ht="14.25" hidden="1" customHeight="1" outlineLevel="1">
      <c r="A1710" s="344">
        <v>46174.0</v>
      </c>
      <c r="B1710" s="132">
        <v>46181.0</v>
      </c>
      <c r="C1710" s="41" t="s">
        <v>61</v>
      </c>
      <c r="D1710" s="182">
        <v>1.0</v>
      </c>
      <c r="E1710" s="183">
        <v>150.0</v>
      </c>
      <c r="F1710" s="183">
        <v>150.0</v>
      </c>
      <c r="G1710" s="183">
        <v>150.0</v>
      </c>
      <c r="H1710" s="279" t="b">
        <v>1</v>
      </c>
      <c r="I1710" s="143" t="s">
        <v>1327</v>
      </c>
      <c r="J1710" s="41" t="s">
        <v>1691</v>
      </c>
      <c r="K1710" s="279" t="b">
        <v>0</v>
      </c>
      <c r="L1710" s="279" t="b">
        <v>1</v>
      </c>
    </row>
    <row r="1711" ht="14.25" hidden="1" customHeight="1" outlineLevel="1">
      <c r="A1711" s="344">
        <v>46174.0</v>
      </c>
      <c r="B1711" s="132">
        <v>46182.0</v>
      </c>
      <c r="C1711" s="41" t="s">
        <v>61</v>
      </c>
      <c r="D1711" s="182">
        <v>1.0</v>
      </c>
      <c r="E1711" s="183">
        <v>150.0</v>
      </c>
      <c r="F1711" s="183">
        <v>150.0</v>
      </c>
      <c r="G1711" s="183">
        <v>150.0</v>
      </c>
      <c r="H1711" s="279" t="b">
        <v>1</v>
      </c>
      <c r="I1711" s="143" t="s">
        <v>236</v>
      </c>
      <c r="J1711" s="41" t="s">
        <v>1772</v>
      </c>
      <c r="K1711" s="279" t="b">
        <v>0</v>
      </c>
      <c r="L1711" s="279" t="b">
        <v>1</v>
      </c>
    </row>
    <row r="1712" ht="14.25" hidden="1" customHeight="1" outlineLevel="1">
      <c r="A1712" s="344">
        <v>46174.0</v>
      </c>
      <c r="B1712" s="132">
        <v>46184.0</v>
      </c>
      <c r="C1712" s="327" t="s">
        <v>61</v>
      </c>
      <c r="D1712" s="315">
        <v>1.0</v>
      </c>
      <c r="E1712" s="316">
        <v>150.0</v>
      </c>
      <c r="F1712" s="316">
        <f t="shared" ref="F1712:F1715" si="301">D1712*E1712</f>
        <v>150</v>
      </c>
      <c r="G1712" s="316">
        <f t="shared" ref="G1712:G1715" si="302">F1712</f>
        <v>150</v>
      </c>
      <c r="H1712" s="317" t="b">
        <v>1</v>
      </c>
      <c r="I1712" s="143" t="s">
        <v>980</v>
      </c>
      <c r="J1712" s="321" t="s">
        <v>1181</v>
      </c>
      <c r="K1712" s="317" t="b">
        <v>0</v>
      </c>
      <c r="L1712" s="279" t="b">
        <v>1</v>
      </c>
    </row>
    <row r="1713" ht="14.25" hidden="1" customHeight="1" outlineLevel="1">
      <c r="A1713" s="344">
        <v>46174.0</v>
      </c>
      <c r="B1713" s="132">
        <v>46184.0</v>
      </c>
      <c r="C1713" s="41" t="s">
        <v>80</v>
      </c>
      <c r="D1713" s="67">
        <v>1.0</v>
      </c>
      <c r="E1713" s="69">
        <v>16.0</v>
      </c>
      <c r="F1713" s="287">
        <f t="shared" si="301"/>
        <v>16</v>
      </c>
      <c r="G1713" s="287">
        <f t="shared" si="302"/>
        <v>16</v>
      </c>
      <c r="H1713" s="279" t="b">
        <v>0</v>
      </c>
      <c r="I1713" s="143" t="s">
        <v>481</v>
      </c>
      <c r="J1713" s="42" t="s">
        <v>1949</v>
      </c>
      <c r="K1713" s="279" t="b">
        <v>1</v>
      </c>
      <c r="L1713" s="279" t="b">
        <v>1</v>
      </c>
    </row>
    <row r="1714" ht="14.25" hidden="1" customHeight="1" outlineLevel="1">
      <c r="A1714" s="344">
        <v>46174.0</v>
      </c>
      <c r="B1714" s="132">
        <v>46185.0</v>
      </c>
      <c r="C1714" s="327" t="s">
        <v>61</v>
      </c>
      <c r="D1714" s="315">
        <v>1.0</v>
      </c>
      <c r="E1714" s="316">
        <v>150.0</v>
      </c>
      <c r="F1714" s="316">
        <f t="shared" si="301"/>
        <v>150</v>
      </c>
      <c r="G1714" s="316">
        <f t="shared" si="302"/>
        <v>150</v>
      </c>
      <c r="H1714" s="317" t="b">
        <v>1</v>
      </c>
      <c r="I1714" s="143" t="s">
        <v>236</v>
      </c>
      <c r="J1714" s="321" t="s">
        <v>1184</v>
      </c>
      <c r="K1714" s="317" t="b">
        <v>0</v>
      </c>
      <c r="L1714" s="279" t="b">
        <v>1</v>
      </c>
    </row>
    <row r="1715" ht="14.25" hidden="1" customHeight="1" outlineLevel="1">
      <c r="A1715" s="344">
        <v>46174.0</v>
      </c>
      <c r="B1715" s="132">
        <v>46185.0</v>
      </c>
      <c r="C1715" s="41" t="s">
        <v>171</v>
      </c>
      <c r="D1715" s="67">
        <v>1.0</v>
      </c>
      <c r="E1715" s="69">
        <v>282.75</v>
      </c>
      <c r="F1715" s="287">
        <f t="shared" si="301"/>
        <v>282.75</v>
      </c>
      <c r="G1715" s="530">
        <f t="shared" si="302"/>
        <v>282.75</v>
      </c>
      <c r="H1715" s="279" t="b">
        <v>0</v>
      </c>
      <c r="I1715" s="143" t="s">
        <v>1948</v>
      </c>
      <c r="J1715" s="42" t="s">
        <v>1494</v>
      </c>
      <c r="K1715" s="279" t="b">
        <v>1</v>
      </c>
      <c r="L1715" s="279" t="b">
        <v>1</v>
      </c>
    </row>
    <row r="1716" ht="14.25" hidden="1" customHeight="1" outlineLevel="1">
      <c r="A1716" s="344">
        <v>46174.0</v>
      </c>
      <c r="B1716" s="132">
        <v>46187.0</v>
      </c>
      <c r="C1716" s="41" t="s">
        <v>61</v>
      </c>
      <c r="D1716" s="182">
        <v>1.0</v>
      </c>
      <c r="E1716" s="316">
        <v>200.0</v>
      </c>
      <c r="F1716" s="316">
        <v>200.0</v>
      </c>
      <c r="G1716" s="316">
        <v>200.0</v>
      </c>
      <c r="H1716" s="317" t="b">
        <v>1</v>
      </c>
      <c r="I1716" s="318" t="s">
        <v>490</v>
      </c>
      <c r="J1716" s="321" t="s">
        <v>1192</v>
      </c>
      <c r="K1716" s="279" t="b">
        <v>0</v>
      </c>
      <c r="L1716" s="279" t="b">
        <v>1</v>
      </c>
    </row>
    <row r="1717" ht="14.25" hidden="1" customHeight="1" outlineLevel="1">
      <c r="A1717" s="344">
        <v>46174.0</v>
      </c>
      <c r="B1717" s="132">
        <v>46187.0</v>
      </c>
      <c r="C1717" s="41" t="s">
        <v>61</v>
      </c>
      <c r="D1717" s="182">
        <v>1.0</v>
      </c>
      <c r="E1717" s="316">
        <v>200.0</v>
      </c>
      <c r="F1717" s="316">
        <v>200.0</v>
      </c>
      <c r="G1717" s="316">
        <v>200.0</v>
      </c>
      <c r="H1717" s="317" t="b">
        <v>1</v>
      </c>
      <c r="I1717" s="318" t="s">
        <v>342</v>
      </c>
      <c r="J1717" s="321" t="s">
        <v>1195</v>
      </c>
      <c r="K1717" s="279" t="b">
        <v>0</v>
      </c>
      <c r="L1717" s="279" t="b">
        <v>1</v>
      </c>
    </row>
    <row r="1718" ht="14.25" hidden="1" customHeight="1" outlineLevel="1">
      <c r="A1718" s="344">
        <v>46174.0</v>
      </c>
      <c r="B1718" s="132">
        <v>46187.0</v>
      </c>
      <c r="C1718" s="41" t="s">
        <v>61</v>
      </c>
      <c r="D1718" s="182">
        <v>1.0</v>
      </c>
      <c r="E1718" s="316">
        <v>200.0</v>
      </c>
      <c r="F1718" s="316">
        <v>200.0</v>
      </c>
      <c r="G1718" s="316">
        <v>200.0</v>
      </c>
      <c r="H1718" s="317" t="b">
        <v>1</v>
      </c>
      <c r="I1718" s="318" t="s">
        <v>974</v>
      </c>
      <c r="J1718" s="321" t="s">
        <v>1953</v>
      </c>
      <c r="K1718" s="279" t="b">
        <v>0</v>
      </c>
      <c r="L1718" s="279" t="b">
        <v>1</v>
      </c>
    </row>
    <row r="1719" ht="14.25" hidden="1" customHeight="1" outlineLevel="1">
      <c r="A1719" s="344">
        <v>46174.0</v>
      </c>
      <c r="B1719" s="132">
        <v>46188.0</v>
      </c>
      <c r="C1719" s="41" t="s">
        <v>75</v>
      </c>
      <c r="D1719" s="67">
        <v>8.0</v>
      </c>
      <c r="E1719" s="69">
        <v>40.0</v>
      </c>
      <c r="F1719" s="287">
        <f t="shared" ref="F1719:F1721" si="303">D1719*E1719</f>
        <v>320</v>
      </c>
      <c r="G1719" s="501">
        <f>SUM(F1719:F1720)</f>
        <v>440</v>
      </c>
      <c r="H1719" s="278" t="b">
        <v>0</v>
      </c>
      <c r="I1719" s="164" t="s">
        <v>318</v>
      </c>
      <c r="J1719" s="42" t="s">
        <v>1954</v>
      </c>
      <c r="K1719" s="278" t="b">
        <v>0</v>
      </c>
      <c r="L1719" s="278" t="b">
        <v>1</v>
      </c>
    </row>
    <row r="1720" ht="14.25" hidden="1" customHeight="1" outlineLevel="1">
      <c r="A1720" s="344">
        <v>46174.0</v>
      </c>
      <c r="B1720" s="132">
        <v>46188.0</v>
      </c>
      <c r="C1720" s="41" t="s">
        <v>75</v>
      </c>
      <c r="D1720" s="67">
        <v>3.0</v>
      </c>
      <c r="E1720" s="69">
        <v>40.0</v>
      </c>
      <c r="F1720" s="287">
        <f t="shared" si="303"/>
        <v>120</v>
      </c>
      <c r="G1720" s="10"/>
      <c r="H1720" s="10"/>
      <c r="I1720" s="194"/>
      <c r="J1720" s="42" t="s">
        <v>1609</v>
      </c>
      <c r="K1720" s="10"/>
      <c r="L1720" s="10"/>
    </row>
    <row r="1721" ht="14.25" hidden="1" customHeight="1" outlineLevel="1">
      <c r="A1721" s="344">
        <v>46174.0</v>
      </c>
      <c r="B1721" s="132">
        <v>46188.0</v>
      </c>
      <c r="C1721" s="41" t="s">
        <v>75</v>
      </c>
      <c r="D1721" s="67">
        <v>1.0</v>
      </c>
      <c r="E1721" s="69">
        <v>32.9</v>
      </c>
      <c r="F1721" s="287">
        <f t="shared" si="303"/>
        <v>32.9</v>
      </c>
      <c r="G1721" s="287">
        <f>F1721</f>
        <v>32.9</v>
      </c>
      <c r="H1721" s="279" t="b">
        <v>1</v>
      </c>
      <c r="I1721" s="143" t="s">
        <v>225</v>
      </c>
      <c r="J1721" s="42" t="s">
        <v>1955</v>
      </c>
      <c r="K1721" s="279" t="b">
        <v>1</v>
      </c>
      <c r="L1721" s="279" t="b">
        <v>1</v>
      </c>
    </row>
    <row r="1722" ht="14.25" hidden="1" customHeight="1" outlineLevel="1">
      <c r="A1722" s="344">
        <v>46174.0</v>
      </c>
      <c r="B1722" s="132">
        <v>46189.0</v>
      </c>
      <c r="C1722" s="41" t="s">
        <v>61</v>
      </c>
      <c r="D1722" s="182">
        <v>1.0</v>
      </c>
      <c r="E1722" s="183">
        <v>150.0</v>
      </c>
      <c r="F1722" s="183">
        <v>150.0</v>
      </c>
      <c r="G1722" s="183">
        <v>150.0</v>
      </c>
      <c r="H1722" s="279" t="b">
        <v>1</v>
      </c>
      <c r="I1722" s="143" t="s">
        <v>236</v>
      </c>
      <c r="J1722" s="41" t="s">
        <v>1772</v>
      </c>
      <c r="K1722" s="279" t="b">
        <v>0</v>
      </c>
      <c r="L1722" s="279" t="b">
        <v>1</v>
      </c>
    </row>
    <row r="1723" ht="14.25" hidden="1" customHeight="1" outlineLevel="1">
      <c r="A1723" s="344">
        <v>46174.0</v>
      </c>
      <c r="B1723" s="132">
        <v>46191.0</v>
      </c>
      <c r="C1723" s="327" t="s">
        <v>61</v>
      </c>
      <c r="D1723" s="315">
        <v>1.0</v>
      </c>
      <c r="E1723" s="316">
        <v>150.0</v>
      </c>
      <c r="F1723" s="316">
        <f t="shared" ref="F1723:F1725" si="304">D1723*E1723</f>
        <v>150</v>
      </c>
      <c r="G1723" s="316">
        <f t="shared" ref="G1723:G1725" si="305">F1723</f>
        <v>150</v>
      </c>
      <c r="H1723" s="317" t="b">
        <v>1</v>
      </c>
      <c r="I1723" s="143" t="s">
        <v>980</v>
      </c>
      <c r="J1723" s="321" t="s">
        <v>1181</v>
      </c>
      <c r="K1723" s="317" t="b">
        <v>0</v>
      </c>
      <c r="L1723" s="279" t="b">
        <v>1</v>
      </c>
    </row>
    <row r="1724" ht="14.25" hidden="1" customHeight="1" outlineLevel="1">
      <c r="A1724" s="344">
        <v>46174.0</v>
      </c>
      <c r="B1724" s="132">
        <v>46192.0</v>
      </c>
      <c r="C1724" s="327" t="s">
        <v>61</v>
      </c>
      <c r="D1724" s="315">
        <v>1.0</v>
      </c>
      <c r="E1724" s="316">
        <v>150.0</v>
      </c>
      <c r="F1724" s="316">
        <f t="shared" si="304"/>
        <v>150</v>
      </c>
      <c r="G1724" s="316">
        <f t="shared" si="305"/>
        <v>150</v>
      </c>
      <c r="H1724" s="317" t="b">
        <v>1</v>
      </c>
      <c r="I1724" s="143" t="s">
        <v>236</v>
      </c>
      <c r="J1724" s="321" t="s">
        <v>1184</v>
      </c>
      <c r="K1724" s="317" t="b">
        <v>0</v>
      </c>
      <c r="L1724" s="279" t="b">
        <v>1</v>
      </c>
    </row>
    <row r="1725" ht="14.25" hidden="1" customHeight="1" outlineLevel="1">
      <c r="A1725" s="344">
        <v>46174.0</v>
      </c>
      <c r="B1725" s="132">
        <v>46192.0</v>
      </c>
      <c r="C1725" s="41" t="s">
        <v>93</v>
      </c>
      <c r="D1725" s="67">
        <v>1.0</v>
      </c>
      <c r="E1725" s="69">
        <v>231.72</v>
      </c>
      <c r="F1725" s="287">
        <f t="shared" si="304"/>
        <v>231.72</v>
      </c>
      <c r="G1725" s="287">
        <f t="shared" si="305"/>
        <v>231.72</v>
      </c>
      <c r="H1725" s="279" t="b">
        <v>0</v>
      </c>
      <c r="I1725" s="143" t="s">
        <v>1956</v>
      </c>
      <c r="J1725" s="42" t="s">
        <v>1957</v>
      </c>
      <c r="K1725" s="279" t="b">
        <v>1</v>
      </c>
      <c r="L1725" s="279" t="b">
        <v>1</v>
      </c>
    </row>
    <row r="1726" ht="14.25" hidden="1" customHeight="1" outlineLevel="1">
      <c r="A1726" s="344">
        <v>46174.0</v>
      </c>
      <c r="B1726" s="132">
        <v>46194.0</v>
      </c>
      <c r="C1726" s="41" t="s">
        <v>61</v>
      </c>
      <c r="D1726" s="182">
        <v>1.0</v>
      </c>
      <c r="E1726" s="316">
        <v>200.0</v>
      </c>
      <c r="F1726" s="316">
        <v>200.0</v>
      </c>
      <c r="G1726" s="316">
        <v>200.0</v>
      </c>
      <c r="H1726" s="317" t="b">
        <v>1</v>
      </c>
      <c r="I1726" s="318" t="s">
        <v>490</v>
      </c>
      <c r="J1726" s="321" t="s">
        <v>1192</v>
      </c>
      <c r="K1726" s="279" t="b">
        <v>0</v>
      </c>
      <c r="L1726" s="279" t="b">
        <v>1</v>
      </c>
    </row>
    <row r="1727" ht="14.25" hidden="1" customHeight="1" outlineLevel="1">
      <c r="A1727" s="344">
        <v>46174.0</v>
      </c>
      <c r="B1727" s="132">
        <v>46194.0</v>
      </c>
      <c r="C1727" s="41" t="s">
        <v>61</v>
      </c>
      <c r="D1727" s="182">
        <v>1.0</v>
      </c>
      <c r="E1727" s="316">
        <v>200.0</v>
      </c>
      <c r="F1727" s="316">
        <v>200.0</v>
      </c>
      <c r="G1727" s="316">
        <v>200.0</v>
      </c>
      <c r="H1727" s="317" t="b">
        <v>1</v>
      </c>
      <c r="I1727" s="318" t="s">
        <v>1251</v>
      </c>
      <c r="J1727" s="321" t="s">
        <v>1193</v>
      </c>
      <c r="K1727" s="279" t="b">
        <v>0</v>
      </c>
      <c r="L1727" s="279" t="b">
        <v>1</v>
      </c>
    </row>
    <row r="1728" ht="14.25" hidden="1" customHeight="1" outlineLevel="1">
      <c r="A1728" s="344">
        <v>46174.0</v>
      </c>
      <c r="B1728" s="132">
        <v>46194.0</v>
      </c>
      <c r="C1728" s="41" t="s">
        <v>61</v>
      </c>
      <c r="D1728" s="182">
        <v>1.0</v>
      </c>
      <c r="E1728" s="316">
        <v>200.0</v>
      </c>
      <c r="F1728" s="316">
        <v>200.0</v>
      </c>
      <c r="G1728" s="316">
        <v>200.0</v>
      </c>
      <c r="H1728" s="317" t="b">
        <v>1</v>
      </c>
      <c r="I1728" s="318" t="s">
        <v>1660</v>
      </c>
      <c r="J1728" s="321" t="s">
        <v>1195</v>
      </c>
      <c r="K1728" s="279" t="b">
        <v>0</v>
      </c>
      <c r="L1728" s="279" t="b">
        <v>1</v>
      </c>
    </row>
    <row r="1729" ht="14.25" hidden="1" customHeight="1" outlineLevel="1">
      <c r="A1729" s="344">
        <v>46174.0</v>
      </c>
      <c r="B1729" s="132">
        <v>46195.0</v>
      </c>
      <c r="C1729" s="41" t="s">
        <v>61</v>
      </c>
      <c r="D1729" s="182">
        <v>1.0</v>
      </c>
      <c r="E1729" s="183">
        <v>150.0</v>
      </c>
      <c r="F1729" s="183">
        <v>150.0</v>
      </c>
      <c r="G1729" s="183">
        <v>150.0</v>
      </c>
      <c r="H1729" s="279" t="b">
        <v>1</v>
      </c>
      <c r="I1729" s="143" t="s">
        <v>1327</v>
      </c>
      <c r="J1729" s="41" t="s">
        <v>1691</v>
      </c>
      <c r="K1729" s="279" t="b">
        <v>0</v>
      </c>
      <c r="L1729" s="279" t="b">
        <v>1</v>
      </c>
    </row>
    <row r="1730" ht="14.25" hidden="1" customHeight="1" outlineLevel="1">
      <c r="A1730" s="344">
        <v>46174.0</v>
      </c>
      <c r="B1730" s="132">
        <v>46195.0</v>
      </c>
      <c r="C1730" s="41" t="s">
        <v>61</v>
      </c>
      <c r="D1730" s="182">
        <v>1.0</v>
      </c>
      <c r="E1730" s="183">
        <v>150.0</v>
      </c>
      <c r="F1730" s="183">
        <v>150.0</v>
      </c>
      <c r="G1730" s="183">
        <v>150.0</v>
      </c>
      <c r="H1730" s="279" t="b">
        <v>1</v>
      </c>
      <c r="I1730" s="143" t="s">
        <v>1329</v>
      </c>
      <c r="J1730" s="41" t="s">
        <v>1322</v>
      </c>
      <c r="K1730" s="279" t="b">
        <v>0</v>
      </c>
      <c r="L1730" s="279" t="b">
        <v>1</v>
      </c>
      <c r="N1730" s="283" t="s">
        <v>1958</v>
      </c>
    </row>
    <row r="1731" ht="14.25" hidden="1" customHeight="1" outlineLevel="1">
      <c r="A1731" s="344">
        <v>46174.0</v>
      </c>
      <c r="B1731" s="132">
        <v>46196.0</v>
      </c>
      <c r="C1731" s="41" t="s">
        <v>61</v>
      </c>
      <c r="D1731" s="182">
        <v>1.0</v>
      </c>
      <c r="E1731" s="183">
        <v>150.0</v>
      </c>
      <c r="F1731" s="183">
        <v>150.0</v>
      </c>
      <c r="G1731" s="183">
        <v>150.0</v>
      </c>
      <c r="H1731" s="279" t="b">
        <v>1</v>
      </c>
      <c r="I1731" s="143" t="s">
        <v>236</v>
      </c>
      <c r="J1731" s="41" t="s">
        <v>1772</v>
      </c>
      <c r="K1731" s="279" t="b">
        <v>0</v>
      </c>
      <c r="L1731" s="279" t="b">
        <v>1</v>
      </c>
    </row>
    <row r="1732" ht="14.25" hidden="1" customHeight="1" outlineLevel="1">
      <c r="A1732" s="344">
        <v>46174.0</v>
      </c>
      <c r="B1732" s="132">
        <v>46196.0</v>
      </c>
      <c r="C1732" s="41" t="s">
        <v>61</v>
      </c>
      <c r="D1732" s="182">
        <v>1.0</v>
      </c>
      <c r="E1732" s="183">
        <v>150.0</v>
      </c>
      <c r="F1732" s="183">
        <v>150.0</v>
      </c>
      <c r="G1732" s="183">
        <v>150.0</v>
      </c>
      <c r="H1732" s="279" t="b">
        <v>1</v>
      </c>
      <c r="I1732" s="143" t="s">
        <v>296</v>
      </c>
      <c r="J1732" s="41" t="s">
        <v>1773</v>
      </c>
      <c r="K1732" s="279" t="b">
        <v>0</v>
      </c>
      <c r="L1732" s="279" t="b">
        <v>1</v>
      </c>
      <c r="N1732" s="283" t="s">
        <v>1958</v>
      </c>
    </row>
    <row r="1733" ht="14.25" hidden="1" customHeight="1" outlineLevel="1">
      <c r="A1733" s="344">
        <v>46174.0</v>
      </c>
      <c r="B1733" s="132">
        <v>46198.0</v>
      </c>
      <c r="C1733" s="327" t="s">
        <v>61</v>
      </c>
      <c r="D1733" s="315">
        <v>1.0</v>
      </c>
      <c r="E1733" s="316">
        <v>150.0</v>
      </c>
      <c r="F1733" s="316">
        <f t="shared" ref="F1733:F1734" si="306">D1733*E1733</f>
        <v>150</v>
      </c>
      <c r="G1733" s="316">
        <f t="shared" ref="G1733:G1734" si="307">F1733</f>
        <v>150</v>
      </c>
      <c r="H1733" s="317" t="b">
        <v>1</v>
      </c>
      <c r="I1733" s="143" t="s">
        <v>980</v>
      </c>
      <c r="J1733" s="321" t="s">
        <v>1181</v>
      </c>
      <c r="K1733" s="317" t="b">
        <v>0</v>
      </c>
      <c r="L1733" s="279" t="b">
        <v>1</v>
      </c>
    </row>
    <row r="1734" ht="14.25" hidden="1" customHeight="1" outlineLevel="1">
      <c r="A1734" s="344">
        <v>46174.0</v>
      </c>
      <c r="B1734" s="132">
        <v>46199.0</v>
      </c>
      <c r="C1734" s="327" t="s">
        <v>61</v>
      </c>
      <c r="D1734" s="315">
        <v>1.0</v>
      </c>
      <c r="E1734" s="316">
        <v>150.0</v>
      </c>
      <c r="F1734" s="316">
        <f t="shared" si="306"/>
        <v>150</v>
      </c>
      <c r="G1734" s="316">
        <f t="shared" si="307"/>
        <v>150</v>
      </c>
      <c r="H1734" s="317" t="b">
        <v>1</v>
      </c>
      <c r="I1734" s="143" t="s">
        <v>236</v>
      </c>
      <c r="J1734" s="321" t="s">
        <v>1184</v>
      </c>
      <c r="K1734" s="317" t="b">
        <v>0</v>
      </c>
      <c r="L1734" s="279" t="b">
        <v>1</v>
      </c>
    </row>
    <row r="1735" ht="14.25" hidden="1" customHeight="1" outlineLevel="1">
      <c r="A1735" s="344">
        <v>46174.0</v>
      </c>
      <c r="B1735" s="132">
        <v>46201.0</v>
      </c>
      <c r="C1735" s="41" t="s">
        <v>61</v>
      </c>
      <c r="D1735" s="182">
        <v>1.0</v>
      </c>
      <c r="E1735" s="316">
        <v>200.0</v>
      </c>
      <c r="F1735" s="316">
        <v>200.0</v>
      </c>
      <c r="G1735" s="316">
        <v>200.0</v>
      </c>
      <c r="H1735" s="317" t="b">
        <v>1</v>
      </c>
      <c r="I1735" s="318" t="s">
        <v>1329</v>
      </c>
      <c r="J1735" s="321" t="s">
        <v>1192</v>
      </c>
      <c r="K1735" s="279" t="b">
        <v>0</v>
      </c>
      <c r="L1735" s="279" t="b">
        <v>1</v>
      </c>
    </row>
    <row r="1736" ht="14.25" hidden="1" customHeight="1" outlineLevel="1">
      <c r="A1736" s="344">
        <v>46174.0</v>
      </c>
      <c r="B1736" s="132">
        <v>46201.0</v>
      </c>
      <c r="C1736" s="41" t="s">
        <v>61</v>
      </c>
      <c r="D1736" s="182">
        <v>1.0</v>
      </c>
      <c r="E1736" s="316">
        <v>200.0</v>
      </c>
      <c r="F1736" s="316">
        <v>200.0</v>
      </c>
      <c r="G1736" s="316">
        <v>200.0</v>
      </c>
      <c r="H1736" s="317" t="b">
        <v>1</v>
      </c>
      <c r="I1736" s="318" t="s">
        <v>980</v>
      </c>
      <c r="J1736" s="321" t="s">
        <v>1193</v>
      </c>
      <c r="K1736" s="279" t="b">
        <v>0</v>
      </c>
      <c r="L1736" s="279" t="b">
        <v>1</v>
      </c>
    </row>
    <row r="1737" ht="14.25" hidden="1" customHeight="1" outlineLevel="1">
      <c r="A1737" s="344">
        <v>46174.0</v>
      </c>
      <c r="B1737" s="132">
        <v>46201.0</v>
      </c>
      <c r="C1737" s="41" t="s">
        <v>61</v>
      </c>
      <c r="D1737" s="182">
        <v>1.0</v>
      </c>
      <c r="E1737" s="316">
        <v>200.0</v>
      </c>
      <c r="F1737" s="316">
        <v>200.0</v>
      </c>
      <c r="G1737" s="316">
        <v>200.0</v>
      </c>
      <c r="H1737" s="317" t="b">
        <v>1</v>
      </c>
      <c r="I1737" s="318" t="s">
        <v>1605</v>
      </c>
      <c r="J1737" s="321" t="s">
        <v>1195</v>
      </c>
      <c r="K1737" s="279" t="b">
        <v>0</v>
      </c>
      <c r="L1737" s="279" t="b">
        <v>1</v>
      </c>
    </row>
    <row r="1738" ht="14.25" hidden="1" customHeight="1" outlineLevel="1">
      <c r="A1738" s="344">
        <v>46174.0</v>
      </c>
      <c r="B1738" s="132">
        <v>46202.0</v>
      </c>
      <c r="C1738" s="41" t="s">
        <v>61</v>
      </c>
      <c r="D1738" s="182">
        <v>1.0</v>
      </c>
      <c r="E1738" s="183">
        <v>150.0</v>
      </c>
      <c r="F1738" s="183">
        <v>150.0</v>
      </c>
      <c r="G1738" s="183">
        <v>150.0</v>
      </c>
      <c r="H1738" s="279" t="b">
        <v>1</v>
      </c>
      <c r="I1738" s="143" t="s">
        <v>1327</v>
      </c>
      <c r="J1738" s="41" t="s">
        <v>1691</v>
      </c>
      <c r="K1738" s="279" t="b">
        <v>0</v>
      </c>
      <c r="L1738" s="279" t="b">
        <v>1</v>
      </c>
    </row>
    <row r="1739" ht="14.25" hidden="1" customHeight="1" outlineLevel="1">
      <c r="A1739" s="344">
        <v>46174.0</v>
      </c>
      <c r="B1739" s="132">
        <v>46202.0</v>
      </c>
      <c r="C1739" s="41" t="s">
        <v>61</v>
      </c>
      <c r="D1739" s="182">
        <v>1.0</v>
      </c>
      <c r="E1739" s="183">
        <v>3150.0</v>
      </c>
      <c r="F1739" s="183">
        <f>D1739*E1739</f>
        <v>3150</v>
      </c>
      <c r="G1739" s="183">
        <f>F1739</f>
        <v>3150</v>
      </c>
      <c r="H1739" s="279" t="b">
        <v>1</v>
      </c>
      <c r="I1739" s="143" t="s">
        <v>119</v>
      </c>
      <c r="J1739" s="41" t="s">
        <v>1959</v>
      </c>
      <c r="K1739" s="279" t="b">
        <v>0</v>
      </c>
      <c r="L1739" s="279" t="b">
        <v>1</v>
      </c>
    </row>
    <row r="1740" ht="14.25" hidden="1" customHeight="1" outlineLevel="1">
      <c r="A1740" s="344">
        <v>46174.0</v>
      </c>
      <c r="B1740" s="132">
        <v>46203.0</v>
      </c>
      <c r="C1740" s="41" t="s">
        <v>61</v>
      </c>
      <c r="D1740" s="182">
        <v>1.0</v>
      </c>
      <c r="E1740" s="183">
        <v>150.0</v>
      </c>
      <c r="F1740" s="183">
        <v>150.0</v>
      </c>
      <c r="G1740" s="183">
        <v>150.0</v>
      </c>
      <c r="H1740" s="279" t="b">
        <v>1</v>
      </c>
      <c r="I1740" s="143" t="s">
        <v>236</v>
      </c>
      <c r="J1740" s="41" t="s">
        <v>1772</v>
      </c>
      <c r="K1740" s="279" t="b">
        <v>0</v>
      </c>
      <c r="L1740" s="279" t="b">
        <v>1</v>
      </c>
    </row>
    <row r="1741" ht="14.25" hidden="1" customHeight="1" outlineLevel="1">
      <c r="A1741" s="344">
        <v>46174.0</v>
      </c>
      <c r="B1741" s="132">
        <v>46203.0</v>
      </c>
      <c r="C1741" s="41" t="s">
        <v>61</v>
      </c>
      <c r="D1741" s="182">
        <v>1.0</v>
      </c>
      <c r="E1741" s="183">
        <v>2400.0</v>
      </c>
      <c r="F1741" s="183">
        <f t="shared" ref="F1741:F1743" si="308">D1741*E1741</f>
        <v>2400</v>
      </c>
      <c r="G1741" s="183">
        <f t="shared" ref="G1741:G1743" si="309">F1741</f>
        <v>2400</v>
      </c>
      <c r="H1741" s="279" t="b">
        <v>1</v>
      </c>
      <c r="I1741" s="143" t="s">
        <v>1636</v>
      </c>
      <c r="J1741" s="41" t="s">
        <v>1959</v>
      </c>
      <c r="K1741" s="279" t="b">
        <v>0</v>
      </c>
      <c r="L1741" s="279" t="b">
        <v>1</v>
      </c>
    </row>
    <row r="1742" ht="14.25" hidden="1" customHeight="1" outlineLevel="1">
      <c r="A1742" s="344">
        <v>46174.0</v>
      </c>
      <c r="B1742" s="132">
        <v>46203.0</v>
      </c>
      <c r="C1742" s="41" t="s">
        <v>248</v>
      </c>
      <c r="D1742" s="67">
        <v>1.0</v>
      </c>
      <c r="E1742" s="69">
        <v>2150.0</v>
      </c>
      <c r="F1742" s="287">
        <f t="shared" si="308"/>
        <v>2150</v>
      </c>
      <c r="G1742" s="287">
        <f t="shared" si="309"/>
        <v>2150</v>
      </c>
      <c r="H1742" s="279" t="b">
        <v>0</v>
      </c>
      <c r="I1742" s="143" t="s">
        <v>704</v>
      </c>
      <c r="J1742" s="42" t="s">
        <v>698</v>
      </c>
      <c r="K1742" s="279" t="b">
        <v>0</v>
      </c>
      <c r="L1742" s="279" t="b">
        <v>1</v>
      </c>
    </row>
    <row r="1743" ht="14.25" hidden="1" customHeight="1" outlineLevel="1">
      <c r="A1743" s="344">
        <v>46174.0</v>
      </c>
      <c r="B1743" s="132">
        <v>46174.0</v>
      </c>
      <c r="C1743" s="41" t="s">
        <v>80</v>
      </c>
      <c r="D1743" s="67">
        <v>3.0</v>
      </c>
      <c r="E1743" s="69">
        <v>17.0</v>
      </c>
      <c r="F1743" s="287">
        <f t="shared" si="308"/>
        <v>51</v>
      </c>
      <c r="G1743" s="287">
        <f t="shared" si="309"/>
        <v>51</v>
      </c>
      <c r="H1743" s="279" t="b">
        <v>0</v>
      </c>
      <c r="I1743" s="143" t="s">
        <v>481</v>
      </c>
      <c r="J1743" s="42" t="s">
        <v>1960</v>
      </c>
      <c r="K1743" s="279" t="b">
        <v>1</v>
      </c>
      <c r="L1743" s="279" t="b">
        <v>1</v>
      </c>
    </row>
    <row r="1744" ht="14.25" hidden="1" customHeight="1" outlineLevel="1">
      <c r="A1744" s="344">
        <v>46174.0</v>
      </c>
      <c r="B1744" s="132">
        <v>46174.0</v>
      </c>
      <c r="C1744" s="327"/>
      <c r="D1744" s="286"/>
      <c r="E1744" s="287"/>
      <c r="F1744" s="287"/>
      <c r="G1744" s="287"/>
      <c r="H1744" s="279" t="b">
        <v>0</v>
      </c>
      <c r="I1744" s="143"/>
      <c r="J1744" s="42"/>
      <c r="K1744" s="279" t="b">
        <v>0</v>
      </c>
      <c r="L1744" s="279" t="b">
        <v>0</v>
      </c>
    </row>
    <row r="1745" ht="14.25" hidden="1" customHeight="1" outlineLevel="1">
      <c r="A1745" s="344">
        <v>46174.0</v>
      </c>
      <c r="B1745" s="132">
        <v>46174.0</v>
      </c>
      <c r="C1745" s="327"/>
      <c r="D1745" s="286"/>
      <c r="E1745" s="287"/>
      <c r="F1745" s="287"/>
      <c r="G1745" s="287"/>
      <c r="H1745" s="279" t="b">
        <v>0</v>
      </c>
      <c r="I1745" s="143"/>
      <c r="J1745" s="42"/>
      <c r="K1745" s="279" t="b">
        <v>0</v>
      </c>
      <c r="L1745" s="279" t="b">
        <v>0</v>
      </c>
    </row>
    <row r="1746" ht="14.25" hidden="1" customHeight="1" outlineLevel="1">
      <c r="A1746" s="344">
        <v>46174.0</v>
      </c>
      <c r="B1746" s="132">
        <v>46174.0</v>
      </c>
      <c r="C1746" s="327"/>
      <c r="D1746" s="286"/>
      <c r="E1746" s="287"/>
      <c r="F1746" s="287"/>
      <c r="G1746" s="287"/>
      <c r="H1746" s="279" t="b">
        <v>0</v>
      </c>
      <c r="I1746" s="143"/>
      <c r="J1746" s="42"/>
      <c r="K1746" s="279" t="b">
        <v>0</v>
      </c>
      <c r="L1746" s="279" t="b">
        <v>0</v>
      </c>
    </row>
    <row r="1747" ht="14.25" customHeight="1">
      <c r="A1747" s="180" t="s">
        <v>192</v>
      </c>
      <c r="B1747" s="27"/>
      <c r="C1747" s="27"/>
      <c r="D1747" s="27"/>
      <c r="E1747" s="28"/>
      <c r="F1747" s="181">
        <f t="shared" ref="F1747:G1747" si="310">SUM(F1700:F1746)</f>
        <v>14516.67</v>
      </c>
      <c r="G1747" s="181">
        <f t="shared" si="310"/>
        <v>14516.67</v>
      </c>
    </row>
    <row r="1748" ht="14.25" customHeight="1" collapsed="1">
      <c r="A1748" s="245" t="s">
        <v>1678</v>
      </c>
      <c r="B1748" s="246"/>
      <c r="C1748" s="246"/>
      <c r="D1748" s="246"/>
      <c r="E1748" s="246"/>
      <c r="F1748" s="246"/>
      <c r="G1748" s="246"/>
      <c r="H1748" s="246"/>
      <c r="I1748" s="246"/>
      <c r="J1748" s="247"/>
    </row>
    <row r="1749" ht="14.25" hidden="1" customHeight="1" outlineLevel="1">
      <c r="A1749" s="344">
        <v>46204.0</v>
      </c>
      <c r="B1749" s="132">
        <v>46205.0</v>
      </c>
      <c r="C1749" s="327" t="s">
        <v>61</v>
      </c>
      <c r="D1749" s="315">
        <v>1.0</v>
      </c>
      <c r="E1749" s="316">
        <v>150.0</v>
      </c>
      <c r="F1749" s="316">
        <f t="shared" ref="F1749:F1750" si="311">D1749*E1749</f>
        <v>150</v>
      </c>
      <c r="G1749" s="316">
        <f t="shared" ref="G1749:G1750" si="312">F1749</f>
        <v>150</v>
      </c>
      <c r="H1749" s="317" t="b">
        <v>1</v>
      </c>
      <c r="I1749" s="143" t="s">
        <v>980</v>
      </c>
      <c r="J1749" s="321" t="s">
        <v>1181</v>
      </c>
      <c r="K1749" s="317" t="b">
        <v>0</v>
      </c>
      <c r="L1749" s="279" t="b">
        <v>1</v>
      </c>
    </row>
    <row r="1750" ht="14.25" hidden="1" customHeight="1" outlineLevel="1">
      <c r="A1750" s="344">
        <v>46204.0</v>
      </c>
      <c r="B1750" s="132">
        <v>46206.0</v>
      </c>
      <c r="C1750" s="327" t="s">
        <v>61</v>
      </c>
      <c r="D1750" s="315">
        <v>1.0</v>
      </c>
      <c r="E1750" s="316">
        <v>150.0</v>
      </c>
      <c r="F1750" s="316">
        <f t="shared" si="311"/>
        <v>150</v>
      </c>
      <c r="G1750" s="316">
        <f t="shared" si="312"/>
        <v>150</v>
      </c>
      <c r="H1750" s="317" t="b">
        <v>1</v>
      </c>
      <c r="I1750" s="143" t="s">
        <v>236</v>
      </c>
      <c r="J1750" s="321" t="s">
        <v>1184</v>
      </c>
      <c r="K1750" s="317" t="b">
        <v>0</v>
      </c>
      <c r="L1750" s="279" t="b">
        <v>1</v>
      </c>
    </row>
    <row r="1751" ht="14.25" hidden="1" customHeight="1" outlineLevel="1">
      <c r="A1751" s="344">
        <v>46204.0</v>
      </c>
      <c r="B1751" s="132">
        <v>46207.0</v>
      </c>
      <c r="C1751" s="41" t="s">
        <v>61</v>
      </c>
      <c r="D1751" s="182">
        <v>1.0</v>
      </c>
      <c r="E1751" s="183">
        <v>100.0</v>
      </c>
      <c r="F1751" s="183">
        <v>150.0</v>
      </c>
      <c r="G1751" s="183">
        <v>150.0</v>
      </c>
      <c r="H1751" s="279" t="b">
        <v>1</v>
      </c>
      <c r="I1751" s="143" t="s">
        <v>1327</v>
      </c>
      <c r="J1751" s="41" t="s">
        <v>1961</v>
      </c>
      <c r="K1751" s="279" t="b">
        <v>0</v>
      </c>
      <c r="L1751" s="279" t="b">
        <v>1</v>
      </c>
    </row>
    <row r="1752" ht="14.25" hidden="1" customHeight="1" outlineLevel="1">
      <c r="A1752" s="344">
        <v>46204.0</v>
      </c>
      <c r="B1752" s="132">
        <v>46207.0</v>
      </c>
      <c r="C1752" s="41" t="s">
        <v>61</v>
      </c>
      <c r="D1752" s="182">
        <v>1.0</v>
      </c>
      <c r="E1752" s="183">
        <v>100.0</v>
      </c>
      <c r="F1752" s="183">
        <v>100.0</v>
      </c>
      <c r="G1752" s="183">
        <v>100.0</v>
      </c>
      <c r="H1752" s="279" t="b">
        <v>1</v>
      </c>
      <c r="I1752" s="143" t="s">
        <v>1962</v>
      </c>
      <c r="J1752" s="532" t="s">
        <v>1963</v>
      </c>
      <c r="K1752" s="279" t="b">
        <v>0</v>
      </c>
      <c r="L1752" s="279" t="b">
        <v>1</v>
      </c>
    </row>
    <row r="1753" ht="14.25" hidden="1" customHeight="1" outlineLevel="1">
      <c r="A1753" s="344">
        <v>46204.0</v>
      </c>
      <c r="B1753" s="132">
        <v>46207.0</v>
      </c>
      <c r="C1753" s="41" t="s">
        <v>61</v>
      </c>
      <c r="D1753" s="182">
        <v>1.0</v>
      </c>
      <c r="E1753" s="183">
        <v>150.0</v>
      </c>
      <c r="F1753" s="183">
        <v>150.0</v>
      </c>
      <c r="G1753" s="183">
        <v>150.0</v>
      </c>
      <c r="H1753" s="279" t="b">
        <v>1</v>
      </c>
      <c r="I1753" s="143" t="s">
        <v>1964</v>
      </c>
      <c r="J1753" s="41" t="s">
        <v>1965</v>
      </c>
      <c r="K1753" s="279" t="b">
        <v>0</v>
      </c>
      <c r="L1753" s="279" t="b">
        <v>1</v>
      </c>
    </row>
    <row r="1754" ht="14.25" hidden="1" customHeight="1" outlineLevel="1">
      <c r="A1754" s="344">
        <v>46204.0</v>
      </c>
      <c r="B1754" s="132">
        <v>46208.0</v>
      </c>
      <c r="C1754" s="41" t="s">
        <v>61</v>
      </c>
      <c r="D1754" s="182">
        <v>1.0</v>
      </c>
      <c r="E1754" s="316">
        <v>200.0</v>
      </c>
      <c r="F1754" s="316">
        <v>200.0</v>
      </c>
      <c r="G1754" s="316">
        <v>200.0</v>
      </c>
      <c r="H1754" s="317" t="b">
        <v>1</v>
      </c>
      <c r="I1754" s="318" t="s">
        <v>1685</v>
      </c>
      <c r="J1754" s="321" t="s">
        <v>1192</v>
      </c>
      <c r="K1754" s="279" t="b">
        <v>0</v>
      </c>
      <c r="L1754" s="279" t="b">
        <v>1</v>
      </c>
    </row>
    <row r="1755" ht="14.25" hidden="1" customHeight="1" outlineLevel="1">
      <c r="A1755" s="344">
        <v>46204.0</v>
      </c>
      <c r="B1755" s="132">
        <v>46208.0</v>
      </c>
      <c r="C1755" s="41" t="s">
        <v>61</v>
      </c>
      <c r="D1755" s="182">
        <v>1.0</v>
      </c>
      <c r="E1755" s="316">
        <v>200.0</v>
      </c>
      <c r="F1755" s="316">
        <v>200.0</v>
      </c>
      <c r="G1755" s="316">
        <v>200.0</v>
      </c>
      <c r="H1755" s="317" t="b">
        <v>1</v>
      </c>
      <c r="I1755" s="318" t="s">
        <v>1251</v>
      </c>
      <c r="J1755" s="321" t="s">
        <v>1193</v>
      </c>
      <c r="K1755" s="279" t="b">
        <v>0</v>
      </c>
      <c r="L1755" s="279" t="b">
        <v>1</v>
      </c>
    </row>
    <row r="1756" ht="14.25" hidden="1" customHeight="1" outlineLevel="1">
      <c r="A1756" s="344">
        <v>46204.0</v>
      </c>
      <c r="B1756" s="132">
        <v>46209.0</v>
      </c>
      <c r="C1756" s="41" t="s">
        <v>61</v>
      </c>
      <c r="D1756" s="182">
        <v>1.0</v>
      </c>
      <c r="E1756" s="183">
        <v>150.0</v>
      </c>
      <c r="F1756" s="183">
        <v>150.0</v>
      </c>
      <c r="G1756" s="183">
        <v>150.0</v>
      </c>
      <c r="H1756" s="279" t="b">
        <v>1</v>
      </c>
      <c r="I1756" s="143" t="s">
        <v>1327</v>
      </c>
      <c r="J1756" s="41" t="s">
        <v>1691</v>
      </c>
      <c r="K1756" s="279" t="b">
        <v>0</v>
      </c>
      <c r="L1756" s="279" t="b">
        <v>1</v>
      </c>
    </row>
    <row r="1757" ht="14.25" hidden="1" customHeight="1" outlineLevel="1">
      <c r="A1757" s="344">
        <v>46204.0</v>
      </c>
      <c r="B1757" s="132">
        <v>46209.0</v>
      </c>
      <c r="C1757" s="41" t="s">
        <v>93</v>
      </c>
      <c r="D1757" s="67">
        <v>1.0</v>
      </c>
      <c r="E1757" s="69">
        <v>233.11</v>
      </c>
      <c r="F1757" s="287">
        <f>D1757*E1757</f>
        <v>233.11</v>
      </c>
      <c r="G1757" s="515">
        <f>F1757</f>
        <v>233.11</v>
      </c>
      <c r="H1757" s="279" t="b">
        <v>0</v>
      </c>
      <c r="I1757" s="143" t="s">
        <v>1556</v>
      </c>
      <c r="J1757" s="42"/>
      <c r="K1757" s="279" t="b">
        <v>0</v>
      </c>
      <c r="L1757" s="279" t="b">
        <v>0</v>
      </c>
    </row>
    <row r="1758" ht="14.25" hidden="1" customHeight="1" outlineLevel="1">
      <c r="A1758" s="344">
        <v>46204.0</v>
      </c>
      <c r="B1758" s="132">
        <v>46210.0</v>
      </c>
      <c r="C1758" s="41" t="s">
        <v>61</v>
      </c>
      <c r="D1758" s="182">
        <v>1.0</v>
      </c>
      <c r="E1758" s="183">
        <v>150.0</v>
      </c>
      <c r="F1758" s="183">
        <v>150.0</v>
      </c>
      <c r="G1758" s="183">
        <v>150.0</v>
      </c>
      <c r="H1758" s="279" t="b">
        <v>1</v>
      </c>
      <c r="I1758" s="143" t="s">
        <v>236</v>
      </c>
      <c r="J1758" s="41" t="s">
        <v>1772</v>
      </c>
      <c r="K1758" s="279" t="b">
        <v>0</v>
      </c>
      <c r="L1758" s="279" t="b">
        <v>1</v>
      </c>
    </row>
    <row r="1759" ht="14.25" hidden="1" customHeight="1" outlineLevel="1">
      <c r="A1759" s="344">
        <v>46204.0</v>
      </c>
      <c r="B1759" s="132">
        <v>46211.0</v>
      </c>
      <c r="C1759" s="41" t="s">
        <v>69</v>
      </c>
      <c r="D1759" s="67">
        <v>2.0</v>
      </c>
      <c r="E1759" s="69">
        <v>6.99</v>
      </c>
      <c r="F1759" s="287">
        <f t="shared" ref="F1759:F1764" si="313">D1759*E1759</f>
        <v>13.98</v>
      </c>
      <c r="G1759" s="501">
        <f>SUM(F1759:F1761)</f>
        <v>64.84</v>
      </c>
      <c r="H1759" s="278" t="b">
        <v>0</v>
      </c>
      <c r="I1759" s="164" t="s">
        <v>1966</v>
      </c>
      <c r="J1759" s="42" t="s">
        <v>230</v>
      </c>
      <c r="K1759" s="278" t="b">
        <v>1</v>
      </c>
      <c r="L1759" s="278" t="b">
        <v>1</v>
      </c>
    </row>
    <row r="1760" ht="14.25" hidden="1" customHeight="1" outlineLevel="1">
      <c r="A1760" s="344">
        <v>46204.0</v>
      </c>
      <c r="B1760" s="132">
        <v>46211.0</v>
      </c>
      <c r="C1760" s="41" t="s">
        <v>231</v>
      </c>
      <c r="D1760" s="67">
        <v>1.0</v>
      </c>
      <c r="E1760" s="69">
        <v>9.79</v>
      </c>
      <c r="F1760" s="287">
        <f t="shared" si="313"/>
        <v>9.79</v>
      </c>
      <c r="G1760" s="58"/>
      <c r="H1760" s="58"/>
      <c r="I1760" s="194"/>
      <c r="J1760" s="42" t="s">
        <v>1967</v>
      </c>
      <c r="K1760" s="58"/>
      <c r="L1760" s="58"/>
    </row>
    <row r="1761" ht="14.25" hidden="1" customHeight="1" outlineLevel="1">
      <c r="A1761" s="344">
        <v>46204.0</v>
      </c>
      <c r="B1761" s="132">
        <v>46211.0</v>
      </c>
      <c r="C1761" s="41" t="s">
        <v>69</v>
      </c>
      <c r="D1761" s="67">
        <v>3.0</v>
      </c>
      <c r="E1761" s="69">
        <v>13.69</v>
      </c>
      <c r="F1761" s="287">
        <f t="shared" si="313"/>
        <v>41.07</v>
      </c>
      <c r="G1761" s="10"/>
      <c r="H1761" s="10"/>
      <c r="I1761" s="74"/>
      <c r="J1761" s="42" t="s">
        <v>1968</v>
      </c>
      <c r="K1761" s="10"/>
      <c r="L1761" s="10"/>
    </row>
    <row r="1762" ht="14.25" hidden="1" customHeight="1" outlineLevel="1">
      <c r="A1762" s="344">
        <v>46204.0</v>
      </c>
      <c r="B1762" s="132">
        <v>46212.0</v>
      </c>
      <c r="C1762" s="327" t="s">
        <v>61</v>
      </c>
      <c r="D1762" s="315">
        <v>1.0</v>
      </c>
      <c r="E1762" s="316">
        <v>150.0</v>
      </c>
      <c r="F1762" s="316">
        <f t="shared" si="313"/>
        <v>150</v>
      </c>
      <c r="G1762" s="316">
        <f t="shared" ref="G1762:G1764" si="314">F1762</f>
        <v>150</v>
      </c>
      <c r="H1762" s="317" t="b">
        <v>1</v>
      </c>
      <c r="I1762" s="143" t="s">
        <v>980</v>
      </c>
      <c r="J1762" s="321" t="s">
        <v>1181</v>
      </c>
      <c r="K1762" s="317" t="b">
        <v>0</v>
      </c>
      <c r="L1762" s="279" t="b">
        <v>1</v>
      </c>
    </row>
    <row r="1763" ht="14.25" hidden="1" customHeight="1" outlineLevel="1">
      <c r="A1763" s="344">
        <v>46204.0</v>
      </c>
      <c r="B1763" s="132">
        <v>46213.0</v>
      </c>
      <c r="C1763" s="327" t="s">
        <v>61</v>
      </c>
      <c r="D1763" s="315">
        <v>1.0</v>
      </c>
      <c r="E1763" s="316">
        <v>150.0</v>
      </c>
      <c r="F1763" s="316">
        <f t="shared" si="313"/>
        <v>150</v>
      </c>
      <c r="G1763" s="316">
        <f t="shared" si="314"/>
        <v>150</v>
      </c>
      <c r="H1763" s="317" t="b">
        <v>1</v>
      </c>
      <c r="I1763" s="143" t="s">
        <v>236</v>
      </c>
      <c r="J1763" s="321" t="s">
        <v>1184</v>
      </c>
      <c r="K1763" s="317" t="b">
        <v>0</v>
      </c>
      <c r="L1763" s="279" t="b">
        <v>1</v>
      </c>
    </row>
    <row r="1764" ht="14.25" hidden="1" customHeight="1" outlineLevel="1">
      <c r="A1764" s="344">
        <v>46204.0</v>
      </c>
      <c r="B1764" s="132">
        <v>46213.0</v>
      </c>
      <c r="C1764" s="327" t="s">
        <v>61</v>
      </c>
      <c r="D1764" s="315">
        <v>1.0</v>
      </c>
      <c r="E1764" s="316">
        <v>150.0</v>
      </c>
      <c r="F1764" s="316">
        <f t="shared" si="313"/>
        <v>150</v>
      </c>
      <c r="G1764" s="316">
        <f t="shared" si="314"/>
        <v>150</v>
      </c>
      <c r="H1764" s="317" t="b">
        <v>1</v>
      </c>
      <c r="I1764" s="143" t="s">
        <v>1064</v>
      </c>
      <c r="J1764" s="321" t="s">
        <v>1969</v>
      </c>
      <c r="K1764" s="317" t="b">
        <v>0</v>
      </c>
      <c r="L1764" s="279" t="b">
        <v>1</v>
      </c>
    </row>
    <row r="1765" ht="14.25" hidden="1" customHeight="1" outlineLevel="1">
      <c r="A1765" s="344">
        <v>46204.0</v>
      </c>
      <c r="B1765" s="132">
        <v>46215.0</v>
      </c>
      <c r="C1765" s="41" t="s">
        <v>61</v>
      </c>
      <c r="D1765" s="182">
        <v>1.0</v>
      </c>
      <c r="E1765" s="316">
        <v>200.0</v>
      </c>
      <c r="F1765" s="316">
        <v>200.0</v>
      </c>
      <c r="G1765" s="316">
        <v>200.0</v>
      </c>
      <c r="H1765" s="317" t="b">
        <v>1</v>
      </c>
      <c r="I1765" s="318" t="s">
        <v>490</v>
      </c>
      <c r="J1765" s="321" t="s">
        <v>1192</v>
      </c>
      <c r="K1765" s="279" t="b">
        <v>0</v>
      </c>
      <c r="L1765" s="279" t="b">
        <v>1</v>
      </c>
    </row>
    <row r="1766" ht="14.25" hidden="1" customHeight="1" outlineLevel="1">
      <c r="A1766" s="344">
        <v>46204.0</v>
      </c>
      <c r="B1766" s="132">
        <v>46215.0</v>
      </c>
      <c r="C1766" s="41" t="s">
        <v>61</v>
      </c>
      <c r="D1766" s="182">
        <v>1.0</v>
      </c>
      <c r="E1766" s="316">
        <v>200.0</v>
      </c>
      <c r="F1766" s="316">
        <v>200.0</v>
      </c>
      <c r="G1766" s="316">
        <v>200.0</v>
      </c>
      <c r="H1766" s="317" t="b">
        <v>1</v>
      </c>
      <c r="I1766" s="318" t="s">
        <v>980</v>
      </c>
      <c r="J1766" s="321" t="s">
        <v>1193</v>
      </c>
      <c r="K1766" s="279" t="b">
        <v>0</v>
      </c>
      <c r="L1766" s="279" t="b">
        <v>1</v>
      </c>
    </row>
    <row r="1767" ht="14.25" hidden="1" customHeight="1" outlineLevel="1">
      <c r="A1767" s="344">
        <v>46204.0</v>
      </c>
      <c r="B1767" s="132">
        <v>46215.0</v>
      </c>
      <c r="C1767" s="41" t="s">
        <v>61</v>
      </c>
      <c r="D1767" s="182">
        <v>1.0</v>
      </c>
      <c r="E1767" s="316">
        <v>200.0</v>
      </c>
      <c r="F1767" s="316">
        <v>200.0</v>
      </c>
      <c r="G1767" s="316">
        <v>200.0</v>
      </c>
      <c r="H1767" s="317" t="b">
        <v>1</v>
      </c>
      <c r="I1767" s="318" t="s">
        <v>342</v>
      </c>
      <c r="J1767" s="321" t="s">
        <v>1195</v>
      </c>
      <c r="K1767" s="279" t="b">
        <v>0</v>
      </c>
      <c r="L1767" s="279" t="b">
        <v>1</v>
      </c>
    </row>
    <row r="1768" ht="14.25" hidden="1" customHeight="1" outlineLevel="1">
      <c r="A1768" s="344">
        <v>46204.0</v>
      </c>
      <c r="B1768" s="132">
        <v>46216.0</v>
      </c>
      <c r="C1768" s="41" t="s">
        <v>61</v>
      </c>
      <c r="D1768" s="182">
        <v>1.0</v>
      </c>
      <c r="E1768" s="183">
        <v>150.0</v>
      </c>
      <c r="F1768" s="183">
        <v>150.0</v>
      </c>
      <c r="G1768" s="183">
        <v>150.0</v>
      </c>
      <c r="H1768" s="279" t="b">
        <v>1</v>
      </c>
      <c r="I1768" s="143" t="s">
        <v>1327</v>
      </c>
      <c r="J1768" s="41" t="s">
        <v>1691</v>
      </c>
      <c r="K1768" s="279" t="b">
        <v>0</v>
      </c>
      <c r="L1768" s="279" t="b">
        <v>1</v>
      </c>
    </row>
    <row r="1769" ht="14.25" hidden="1" customHeight="1" outlineLevel="1">
      <c r="A1769" s="344">
        <v>46204.0</v>
      </c>
      <c r="B1769" s="132">
        <v>46217.0</v>
      </c>
      <c r="C1769" s="41" t="s">
        <v>61</v>
      </c>
      <c r="D1769" s="182">
        <v>1.0</v>
      </c>
      <c r="E1769" s="183">
        <v>150.0</v>
      </c>
      <c r="F1769" s="183">
        <v>150.0</v>
      </c>
      <c r="G1769" s="183">
        <v>150.0</v>
      </c>
      <c r="H1769" s="279" t="b">
        <v>1</v>
      </c>
      <c r="I1769" s="143" t="s">
        <v>236</v>
      </c>
      <c r="J1769" s="41" t="s">
        <v>1772</v>
      </c>
      <c r="K1769" s="279" t="b">
        <v>0</v>
      </c>
      <c r="L1769" s="279" t="b">
        <v>1</v>
      </c>
    </row>
    <row r="1770" ht="14.25" hidden="1" customHeight="1" outlineLevel="1">
      <c r="A1770" s="344">
        <v>46204.0</v>
      </c>
      <c r="B1770" s="132">
        <v>46218.0</v>
      </c>
      <c r="C1770" s="41" t="s">
        <v>171</v>
      </c>
      <c r="D1770" s="67">
        <v>1.0</v>
      </c>
      <c r="E1770" s="69">
        <v>386.0</v>
      </c>
      <c r="F1770" s="287">
        <f t="shared" ref="F1770:F1778" si="315">D1770*E1770</f>
        <v>386</v>
      </c>
      <c r="G1770" s="287">
        <f t="shared" ref="G1770:G1775" si="316">F1770</f>
        <v>386</v>
      </c>
      <c r="H1770" s="279" t="b">
        <v>0</v>
      </c>
      <c r="I1770" s="143" t="s">
        <v>1971</v>
      </c>
      <c r="J1770" s="42" t="s">
        <v>898</v>
      </c>
      <c r="K1770" s="279" t="b">
        <v>1</v>
      </c>
      <c r="L1770" s="279" t="b">
        <v>1</v>
      </c>
    </row>
    <row r="1771" ht="14.25" hidden="1" customHeight="1" outlineLevel="1">
      <c r="A1771" s="344">
        <v>46204.0</v>
      </c>
      <c r="B1771" s="132">
        <v>46219.0</v>
      </c>
      <c r="C1771" s="327" t="s">
        <v>61</v>
      </c>
      <c r="D1771" s="315">
        <v>1.0</v>
      </c>
      <c r="E1771" s="316">
        <v>150.0</v>
      </c>
      <c r="F1771" s="316">
        <f t="shared" si="315"/>
        <v>150</v>
      </c>
      <c r="G1771" s="316">
        <f t="shared" si="316"/>
        <v>150</v>
      </c>
      <c r="H1771" s="317" t="b">
        <v>1</v>
      </c>
      <c r="I1771" s="143" t="s">
        <v>980</v>
      </c>
      <c r="J1771" s="321" t="s">
        <v>1181</v>
      </c>
      <c r="K1771" s="317" t="b">
        <v>0</v>
      </c>
      <c r="L1771" s="279" t="b">
        <v>1</v>
      </c>
    </row>
    <row r="1772" ht="14.25" hidden="1" customHeight="1" outlineLevel="1">
      <c r="A1772" s="344">
        <v>46204.0</v>
      </c>
      <c r="B1772" s="132">
        <v>46219.0</v>
      </c>
      <c r="C1772" s="285" t="s">
        <v>61</v>
      </c>
      <c r="D1772" s="533">
        <v>1.0</v>
      </c>
      <c r="E1772" s="534">
        <v>200.0</v>
      </c>
      <c r="F1772" s="535">
        <f t="shared" si="315"/>
        <v>200</v>
      </c>
      <c r="G1772" s="535">
        <f t="shared" si="316"/>
        <v>200</v>
      </c>
      <c r="H1772" s="317" t="b">
        <v>1</v>
      </c>
      <c r="I1772" s="318" t="s">
        <v>1972</v>
      </c>
      <c r="J1772" s="536" t="s">
        <v>1973</v>
      </c>
      <c r="K1772" s="317" t="b">
        <v>0</v>
      </c>
      <c r="L1772" s="317" t="b">
        <v>1</v>
      </c>
    </row>
    <row r="1773" ht="14.25" hidden="1" customHeight="1" outlineLevel="1">
      <c r="A1773" s="344">
        <v>46204.0</v>
      </c>
      <c r="B1773" s="132">
        <v>46220.0</v>
      </c>
      <c r="C1773" s="41" t="s">
        <v>1026</v>
      </c>
      <c r="D1773" s="67">
        <v>2.0</v>
      </c>
      <c r="E1773" s="69">
        <v>25.8</v>
      </c>
      <c r="F1773" s="287">
        <f t="shared" si="315"/>
        <v>51.6</v>
      </c>
      <c r="G1773" s="287">
        <f t="shared" si="316"/>
        <v>51.6</v>
      </c>
      <c r="H1773" s="279" t="b">
        <v>0</v>
      </c>
      <c r="I1773" s="143" t="s">
        <v>225</v>
      </c>
      <c r="J1773" s="42" t="s">
        <v>1974</v>
      </c>
      <c r="K1773" s="279" t="b">
        <v>1</v>
      </c>
      <c r="L1773" s="279" t="b">
        <v>1</v>
      </c>
    </row>
    <row r="1774" ht="14.25" hidden="1" customHeight="1" outlineLevel="1">
      <c r="A1774" s="344">
        <v>46204.0</v>
      </c>
      <c r="B1774" s="132">
        <v>46220.0</v>
      </c>
      <c r="C1774" s="41" t="s">
        <v>58</v>
      </c>
      <c r="D1774" s="67">
        <v>3.0</v>
      </c>
      <c r="E1774" s="69">
        <v>9.3</v>
      </c>
      <c r="F1774" s="287">
        <f t="shared" si="315"/>
        <v>27.9</v>
      </c>
      <c r="G1774" s="287">
        <f t="shared" si="316"/>
        <v>27.9</v>
      </c>
      <c r="H1774" s="279" t="b">
        <v>0</v>
      </c>
      <c r="I1774" s="143" t="s">
        <v>225</v>
      </c>
      <c r="J1774" s="42" t="s">
        <v>668</v>
      </c>
      <c r="K1774" s="279" t="b">
        <v>1</v>
      </c>
      <c r="L1774" s="279" t="b">
        <v>1</v>
      </c>
    </row>
    <row r="1775" ht="14.25" hidden="1" customHeight="1" outlineLevel="1">
      <c r="A1775" s="344">
        <v>46204.0</v>
      </c>
      <c r="B1775" s="132">
        <v>46220.0</v>
      </c>
      <c r="C1775" s="327" t="s">
        <v>61</v>
      </c>
      <c r="D1775" s="315">
        <v>1.0</v>
      </c>
      <c r="E1775" s="316">
        <v>150.0</v>
      </c>
      <c r="F1775" s="316">
        <f t="shared" si="315"/>
        <v>150</v>
      </c>
      <c r="G1775" s="316">
        <f t="shared" si="316"/>
        <v>150</v>
      </c>
      <c r="H1775" s="317" t="b">
        <v>1</v>
      </c>
      <c r="I1775" s="143" t="s">
        <v>236</v>
      </c>
      <c r="J1775" s="321" t="s">
        <v>1184</v>
      </c>
      <c r="K1775" s="317" t="b">
        <v>0</v>
      </c>
      <c r="L1775" s="279" t="b">
        <v>1</v>
      </c>
    </row>
    <row r="1776" ht="14.25" hidden="1" customHeight="1" outlineLevel="1">
      <c r="A1776" s="344">
        <v>46204.0</v>
      </c>
      <c r="B1776" s="132">
        <v>46221.0</v>
      </c>
      <c r="C1776" s="41" t="s">
        <v>308</v>
      </c>
      <c r="D1776" s="67">
        <v>2.0</v>
      </c>
      <c r="E1776" s="69">
        <v>230.6</v>
      </c>
      <c r="F1776" s="287">
        <f t="shared" si="315"/>
        <v>461.2</v>
      </c>
      <c r="G1776" s="501">
        <f>SUM(F1776:F1778)</f>
        <v>581.8</v>
      </c>
      <c r="H1776" s="278" t="b">
        <v>0</v>
      </c>
      <c r="I1776" s="164" t="s">
        <v>225</v>
      </c>
      <c r="J1776" s="42" t="s">
        <v>1975</v>
      </c>
      <c r="K1776" s="278" t="b">
        <v>1</v>
      </c>
      <c r="L1776" s="278" t="b">
        <v>1</v>
      </c>
    </row>
    <row r="1777" ht="14.25" hidden="1" customHeight="1" outlineLevel="1">
      <c r="A1777" s="344">
        <v>46204.0</v>
      </c>
      <c r="B1777" s="132">
        <v>46221.0</v>
      </c>
      <c r="C1777" s="41" t="s">
        <v>308</v>
      </c>
      <c r="D1777" s="67">
        <v>2.0</v>
      </c>
      <c r="E1777" s="69">
        <v>51.0</v>
      </c>
      <c r="F1777" s="287">
        <f t="shared" si="315"/>
        <v>102</v>
      </c>
      <c r="G1777" s="58"/>
      <c r="H1777" s="58"/>
      <c r="I1777" s="194"/>
      <c r="J1777" s="42" t="s">
        <v>1976</v>
      </c>
      <c r="K1777" s="58"/>
      <c r="L1777" s="58"/>
    </row>
    <row r="1778" ht="14.25" hidden="1" customHeight="1" outlineLevel="1">
      <c r="A1778" s="344">
        <v>46204.0</v>
      </c>
      <c r="B1778" s="132">
        <v>46221.0</v>
      </c>
      <c r="C1778" s="41" t="s">
        <v>58</v>
      </c>
      <c r="D1778" s="67">
        <v>2.0</v>
      </c>
      <c r="E1778" s="69">
        <v>9.3</v>
      </c>
      <c r="F1778" s="287">
        <f t="shared" si="315"/>
        <v>18.6</v>
      </c>
      <c r="G1778" s="10"/>
      <c r="H1778" s="10"/>
      <c r="I1778" s="74"/>
      <c r="J1778" s="42" t="s">
        <v>668</v>
      </c>
      <c r="K1778" s="10"/>
      <c r="L1778" s="10"/>
    </row>
    <row r="1779" ht="14.25" hidden="1" customHeight="1" outlineLevel="1">
      <c r="A1779" s="344">
        <v>46204.0</v>
      </c>
      <c r="B1779" s="132">
        <v>46222.0</v>
      </c>
      <c r="C1779" s="41" t="s">
        <v>61</v>
      </c>
      <c r="D1779" s="182">
        <v>1.0</v>
      </c>
      <c r="E1779" s="316">
        <v>200.0</v>
      </c>
      <c r="F1779" s="316">
        <v>200.0</v>
      </c>
      <c r="G1779" s="316">
        <v>200.0</v>
      </c>
      <c r="H1779" s="317" t="b">
        <v>1</v>
      </c>
      <c r="I1779" s="318" t="s">
        <v>490</v>
      </c>
      <c r="J1779" s="321" t="s">
        <v>1192</v>
      </c>
      <c r="K1779" s="279" t="b">
        <v>0</v>
      </c>
      <c r="L1779" s="279" t="b">
        <v>1</v>
      </c>
    </row>
    <row r="1780" ht="14.25" hidden="1" customHeight="1" outlineLevel="1">
      <c r="A1780" s="344">
        <v>46204.0</v>
      </c>
      <c r="B1780" s="132">
        <v>46222.0</v>
      </c>
      <c r="C1780" s="41" t="s">
        <v>61</v>
      </c>
      <c r="D1780" s="182">
        <v>1.0</v>
      </c>
      <c r="E1780" s="316">
        <v>200.0</v>
      </c>
      <c r="F1780" s="316">
        <v>200.0</v>
      </c>
      <c r="G1780" s="316">
        <v>200.0</v>
      </c>
      <c r="H1780" s="317" t="b">
        <v>1</v>
      </c>
      <c r="I1780" s="318" t="s">
        <v>1977</v>
      </c>
      <c r="J1780" s="321" t="s">
        <v>1193</v>
      </c>
      <c r="K1780" s="279" t="b">
        <v>0</v>
      </c>
      <c r="L1780" s="279" t="b">
        <v>1</v>
      </c>
    </row>
    <row r="1781" ht="14.25" hidden="1" customHeight="1" outlineLevel="1">
      <c r="A1781" s="344">
        <v>46204.0</v>
      </c>
      <c r="B1781" s="132">
        <v>46222.0</v>
      </c>
      <c r="C1781" s="41" t="s">
        <v>61</v>
      </c>
      <c r="D1781" s="182">
        <v>1.0</v>
      </c>
      <c r="E1781" s="316">
        <v>200.0</v>
      </c>
      <c r="F1781" s="316">
        <v>200.0</v>
      </c>
      <c r="G1781" s="316">
        <v>200.0</v>
      </c>
      <c r="H1781" s="317" t="b">
        <v>1</v>
      </c>
      <c r="I1781" s="318" t="s">
        <v>1706</v>
      </c>
      <c r="J1781" s="321" t="s">
        <v>1195</v>
      </c>
      <c r="K1781" s="279" t="b">
        <v>0</v>
      </c>
      <c r="L1781" s="279" t="b">
        <v>1</v>
      </c>
    </row>
    <row r="1782" ht="14.25" hidden="1" customHeight="1" outlineLevel="1">
      <c r="A1782" s="344">
        <v>46204.0</v>
      </c>
      <c r="B1782" s="132">
        <v>46223.0</v>
      </c>
      <c r="C1782" s="41" t="s">
        <v>61</v>
      </c>
      <c r="D1782" s="182">
        <v>1.0</v>
      </c>
      <c r="E1782" s="183">
        <v>150.0</v>
      </c>
      <c r="F1782" s="183">
        <v>150.0</v>
      </c>
      <c r="G1782" s="183">
        <v>150.0</v>
      </c>
      <c r="H1782" s="279" t="b">
        <v>1</v>
      </c>
      <c r="I1782" s="143" t="s">
        <v>1327</v>
      </c>
      <c r="J1782" s="41" t="s">
        <v>1691</v>
      </c>
      <c r="K1782" s="279" t="b">
        <v>0</v>
      </c>
      <c r="L1782" s="279" t="b">
        <v>1</v>
      </c>
    </row>
    <row r="1783" ht="14.25" hidden="1" customHeight="1" outlineLevel="1">
      <c r="A1783" s="344">
        <v>46204.0</v>
      </c>
      <c r="B1783" s="132">
        <v>46224.0</v>
      </c>
      <c r="C1783" s="41" t="s">
        <v>61</v>
      </c>
      <c r="D1783" s="182">
        <v>1.0</v>
      </c>
      <c r="E1783" s="183">
        <v>150.0</v>
      </c>
      <c r="F1783" s="183">
        <v>150.0</v>
      </c>
      <c r="G1783" s="183">
        <v>150.0</v>
      </c>
      <c r="H1783" s="279" t="b">
        <v>1</v>
      </c>
      <c r="I1783" s="143" t="s">
        <v>236</v>
      </c>
      <c r="J1783" s="41" t="s">
        <v>1772</v>
      </c>
      <c r="K1783" s="279" t="b">
        <v>0</v>
      </c>
      <c r="L1783" s="279" t="b">
        <v>1</v>
      </c>
    </row>
    <row r="1784" ht="14.25" hidden="1" customHeight="1" outlineLevel="1">
      <c r="A1784" s="344">
        <v>46204.0</v>
      </c>
      <c r="B1784" s="132">
        <v>46225.0</v>
      </c>
      <c r="C1784" s="41" t="s">
        <v>75</v>
      </c>
      <c r="D1784" s="67">
        <v>1.0</v>
      </c>
      <c r="E1784" s="69">
        <v>31.0</v>
      </c>
      <c r="F1784" s="287">
        <f t="shared" ref="F1784:F1790" si="317">D1784*E1784</f>
        <v>31</v>
      </c>
      <c r="G1784" s="501">
        <f>SUM(F1784:F1785)</f>
        <v>71</v>
      </c>
      <c r="H1784" s="278" t="b">
        <v>0</v>
      </c>
      <c r="I1784" s="164" t="s">
        <v>225</v>
      </c>
      <c r="J1784" s="42" t="s">
        <v>1978</v>
      </c>
      <c r="K1784" s="278" t="b">
        <v>1</v>
      </c>
      <c r="L1784" s="278" t="b">
        <v>1</v>
      </c>
    </row>
    <row r="1785" ht="14.25" hidden="1" customHeight="1" outlineLevel="1">
      <c r="A1785" s="344">
        <v>46204.0</v>
      </c>
      <c r="B1785" s="132">
        <v>46225.0</v>
      </c>
      <c r="C1785" s="41" t="s">
        <v>75</v>
      </c>
      <c r="D1785" s="67">
        <v>1.0</v>
      </c>
      <c r="E1785" s="69">
        <v>40.0</v>
      </c>
      <c r="F1785" s="287">
        <f t="shared" si="317"/>
        <v>40</v>
      </c>
      <c r="G1785" s="10"/>
      <c r="H1785" s="10"/>
      <c r="I1785" s="74"/>
      <c r="J1785" s="42" t="s">
        <v>1979</v>
      </c>
      <c r="K1785" s="10"/>
      <c r="L1785" s="10"/>
    </row>
    <row r="1786" ht="14.25" hidden="1" customHeight="1" outlineLevel="1">
      <c r="A1786" s="344">
        <v>46204.0</v>
      </c>
      <c r="B1786" s="132">
        <v>46227.0</v>
      </c>
      <c r="C1786" s="41" t="s">
        <v>75</v>
      </c>
      <c r="D1786" s="67">
        <v>10.0</v>
      </c>
      <c r="E1786" s="69">
        <v>40.0</v>
      </c>
      <c r="F1786" s="287">
        <f t="shared" si="317"/>
        <v>400</v>
      </c>
      <c r="G1786" s="501">
        <f>SUM(F1786:F1787)</f>
        <v>440</v>
      </c>
      <c r="H1786" s="278" t="b">
        <v>0</v>
      </c>
      <c r="I1786" s="164" t="s">
        <v>76</v>
      </c>
      <c r="J1786" s="42" t="s">
        <v>1979</v>
      </c>
      <c r="K1786" s="278" t="b">
        <v>0</v>
      </c>
      <c r="L1786" s="278" t="b">
        <v>1</v>
      </c>
    </row>
    <row r="1787" ht="14.25" hidden="1" customHeight="1" outlineLevel="1">
      <c r="A1787" s="344">
        <v>46204.0</v>
      </c>
      <c r="B1787" s="132">
        <v>46227.0</v>
      </c>
      <c r="C1787" s="41" t="s">
        <v>75</v>
      </c>
      <c r="D1787" s="67">
        <v>1.0</v>
      </c>
      <c r="E1787" s="69">
        <v>40.0</v>
      </c>
      <c r="F1787" s="287">
        <f t="shared" si="317"/>
        <v>40</v>
      </c>
      <c r="G1787" s="10"/>
      <c r="H1787" s="10"/>
      <c r="I1787" s="74"/>
      <c r="J1787" s="42" t="s">
        <v>1978</v>
      </c>
      <c r="K1787" s="10"/>
      <c r="L1787" s="10"/>
    </row>
    <row r="1788" ht="14.25" hidden="1" customHeight="1" outlineLevel="1">
      <c r="A1788" s="344">
        <v>46204.0</v>
      </c>
      <c r="B1788" s="132">
        <v>46227.0</v>
      </c>
      <c r="C1788" s="41" t="s">
        <v>80</v>
      </c>
      <c r="D1788" s="67">
        <v>2.0</v>
      </c>
      <c r="E1788" s="69">
        <v>17.0</v>
      </c>
      <c r="F1788" s="287">
        <f t="shared" si="317"/>
        <v>34</v>
      </c>
      <c r="G1788" s="287">
        <f t="shared" ref="G1788:G1790" si="318">F1788</f>
        <v>34</v>
      </c>
      <c r="H1788" s="279" t="b">
        <v>0</v>
      </c>
      <c r="I1788" s="143" t="s">
        <v>481</v>
      </c>
      <c r="J1788" s="42" t="s">
        <v>1092</v>
      </c>
      <c r="K1788" s="279" t="b">
        <v>1</v>
      </c>
      <c r="L1788" s="279" t="b">
        <v>1</v>
      </c>
    </row>
    <row r="1789" ht="14.25" hidden="1" customHeight="1" outlineLevel="1">
      <c r="A1789" s="344">
        <v>46204.0</v>
      </c>
      <c r="B1789" s="132">
        <v>46226.0</v>
      </c>
      <c r="C1789" s="327" t="s">
        <v>61</v>
      </c>
      <c r="D1789" s="315">
        <v>1.0</v>
      </c>
      <c r="E1789" s="316">
        <v>150.0</v>
      </c>
      <c r="F1789" s="316">
        <f t="shared" si="317"/>
        <v>150</v>
      </c>
      <c r="G1789" s="316">
        <f t="shared" si="318"/>
        <v>150</v>
      </c>
      <c r="H1789" s="317" t="b">
        <v>1</v>
      </c>
      <c r="I1789" s="143" t="s">
        <v>980</v>
      </c>
      <c r="J1789" s="321" t="s">
        <v>1181</v>
      </c>
      <c r="K1789" s="317" t="b">
        <v>0</v>
      </c>
      <c r="L1789" s="279" t="b">
        <v>1</v>
      </c>
    </row>
    <row r="1790" ht="14.25" hidden="1" customHeight="1" outlineLevel="1">
      <c r="A1790" s="344">
        <v>46204.0</v>
      </c>
      <c r="B1790" s="132">
        <v>46227.0</v>
      </c>
      <c r="C1790" s="327" t="s">
        <v>61</v>
      </c>
      <c r="D1790" s="315">
        <v>1.0</v>
      </c>
      <c r="E1790" s="316">
        <v>150.0</v>
      </c>
      <c r="F1790" s="316">
        <f t="shared" si="317"/>
        <v>150</v>
      </c>
      <c r="G1790" s="316">
        <f t="shared" si="318"/>
        <v>150</v>
      </c>
      <c r="H1790" s="317" t="b">
        <v>1</v>
      </c>
      <c r="I1790" s="143" t="s">
        <v>236</v>
      </c>
      <c r="J1790" s="321" t="s">
        <v>1184</v>
      </c>
      <c r="K1790" s="317" t="b">
        <v>0</v>
      </c>
      <c r="L1790" s="279" t="b">
        <v>1</v>
      </c>
    </row>
    <row r="1791" ht="14.25" hidden="1" customHeight="1" outlineLevel="1">
      <c r="A1791" s="344">
        <v>46204.0</v>
      </c>
      <c r="B1791" s="132">
        <v>46229.0</v>
      </c>
      <c r="C1791" s="41" t="s">
        <v>61</v>
      </c>
      <c r="D1791" s="182">
        <v>1.0</v>
      </c>
      <c r="E1791" s="316">
        <v>200.0</v>
      </c>
      <c r="F1791" s="316">
        <v>200.0</v>
      </c>
      <c r="G1791" s="316">
        <v>200.0</v>
      </c>
      <c r="H1791" s="317" t="b">
        <v>1</v>
      </c>
      <c r="I1791" s="318" t="s">
        <v>490</v>
      </c>
      <c r="J1791" s="321" t="s">
        <v>1192</v>
      </c>
      <c r="K1791" s="279" t="b">
        <v>0</v>
      </c>
      <c r="L1791" s="279" t="b">
        <v>1</v>
      </c>
    </row>
    <row r="1792" ht="14.25" hidden="1" customHeight="1" outlineLevel="1">
      <c r="A1792" s="344">
        <v>46204.0</v>
      </c>
      <c r="B1792" s="132">
        <v>46229.0</v>
      </c>
      <c r="C1792" s="41" t="s">
        <v>61</v>
      </c>
      <c r="D1792" s="182">
        <v>1.0</v>
      </c>
      <c r="E1792" s="316">
        <v>200.0</v>
      </c>
      <c r="F1792" s="316">
        <v>200.0</v>
      </c>
      <c r="G1792" s="316">
        <v>200.0</v>
      </c>
      <c r="H1792" s="317" t="b">
        <v>1</v>
      </c>
      <c r="I1792" s="318" t="s">
        <v>980</v>
      </c>
      <c r="J1792" s="321" t="s">
        <v>1193</v>
      </c>
      <c r="K1792" s="279" t="b">
        <v>0</v>
      </c>
      <c r="L1792" s="279" t="b">
        <v>1</v>
      </c>
    </row>
    <row r="1793" ht="14.25" hidden="1" customHeight="1" outlineLevel="1">
      <c r="A1793" s="344">
        <v>46204.0</v>
      </c>
      <c r="B1793" s="132">
        <v>46229.0</v>
      </c>
      <c r="C1793" s="41" t="s">
        <v>61</v>
      </c>
      <c r="D1793" s="182">
        <v>1.0</v>
      </c>
      <c r="E1793" s="316">
        <v>200.0</v>
      </c>
      <c r="F1793" s="316">
        <v>200.0</v>
      </c>
      <c r="G1793" s="316">
        <v>200.0</v>
      </c>
      <c r="H1793" s="317" t="b">
        <v>1</v>
      </c>
      <c r="I1793" s="318" t="s">
        <v>342</v>
      </c>
      <c r="J1793" s="321" t="s">
        <v>1195</v>
      </c>
      <c r="K1793" s="279" t="b">
        <v>0</v>
      </c>
      <c r="L1793" s="279" t="b">
        <v>1</v>
      </c>
    </row>
    <row r="1794" ht="14.25" hidden="1" customHeight="1" outlineLevel="1">
      <c r="A1794" s="344">
        <v>46204.0</v>
      </c>
      <c r="B1794" s="132">
        <v>46230.0</v>
      </c>
      <c r="C1794" s="41" t="s">
        <v>61</v>
      </c>
      <c r="D1794" s="182">
        <v>1.0</v>
      </c>
      <c r="E1794" s="183">
        <v>150.0</v>
      </c>
      <c r="F1794" s="183">
        <v>150.0</v>
      </c>
      <c r="G1794" s="183">
        <v>150.0</v>
      </c>
      <c r="H1794" s="279" t="b">
        <v>1</v>
      </c>
      <c r="I1794" s="143" t="s">
        <v>1327</v>
      </c>
      <c r="J1794" s="41" t="s">
        <v>1691</v>
      </c>
      <c r="K1794" s="279" t="b">
        <v>0</v>
      </c>
      <c r="L1794" s="279" t="b">
        <v>1</v>
      </c>
    </row>
    <row r="1795" ht="14.25" hidden="1" customHeight="1" outlineLevel="1">
      <c r="A1795" s="344">
        <v>46204.0</v>
      </c>
      <c r="B1795" s="132">
        <v>46231.0</v>
      </c>
      <c r="C1795" s="41" t="s">
        <v>61</v>
      </c>
      <c r="D1795" s="182">
        <v>1.0</v>
      </c>
      <c r="E1795" s="183">
        <v>150.0</v>
      </c>
      <c r="F1795" s="183">
        <v>150.0</v>
      </c>
      <c r="G1795" s="183">
        <v>150.0</v>
      </c>
      <c r="H1795" s="279" t="b">
        <v>1</v>
      </c>
      <c r="I1795" s="143" t="s">
        <v>236</v>
      </c>
      <c r="J1795" s="41" t="s">
        <v>1772</v>
      </c>
      <c r="K1795" s="279" t="b">
        <v>0</v>
      </c>
      <c r="L1795" s="279" t="b">
        <v>1</v>
      </c>
    </row>
    <row r="1796" ht="14.25" hidden="1" customHeight="1" outlineLevel="1">
      <c r="A1796" s="344">
        <v>46204.0</v>
      </c>
      <c r="B1796" s="132">
        <v>46233.0</v>
      </c>
      <c r="C1796" s="327" t="s">
        <v>61</v>
      </c>
      <c r="D1796" s="315">
        <v>1.0</v>
      </c>
      <c r="E1796" s="316">
        <v>150.0</v>
      </c>
      <c r="F1796" s="316">
        <f t="shared" ref="F1796:F1800" si="319">D1796*E1796</f>
        <v>150</v>
      </c>
      <c r="G1796" s="316">
        <f t="shared" ref="G1796:G1800" si="320">F1796</f>
        <v>150</v>
      </c>
      <c r="H1796" s="317" t="b">
        <v>1</v>
      </c>
      <c r="I1796" s="143" t="s">
        <v>980</v>
      </c>
      <c r="J1796" s="321" t="s">
        <v>1181</v>
      </c>
      <c r="K1796" s="317" t="b">
        <v>0</v>
      </c>
      <c r="L1796" s="279" t="b">
        <v>1</v>
      </c>
    </row>
    <row r="1797" ht="14.25" hidden="1" customHeight="1" outlineLevel="1">
      <c r="A1797" s="344">
        <v>46204.0</v>
      </c>
      <c r="B1797" s="132">
        <v>46233.0</v>
      </c>
      <c r="C1797" s="41" t="s">
        <v>80</v>
      </c>
      <c r="D1797" s="67">
        <v>3.0</v>
      </c>
      <c r="E1797" s="69">
        <v>17.0</v>
      </c>
      <c r="F1797" s="287">
        <f t="shared" si="319"/>
        <v>51</v>
      </c>
      <c r="G1797" s="287">
        <f t="shared" si="320"/>
        <v>51</v>
      </c>
      <c r="H1797" s="279" t="b">
        <v>0</v>
      </c>
      <c r="I1797" s="143" t="s">
        <v>481</v>
      </c>
      <c r="J1797" s="42" t="s">
        <v>1092</v>
      </c>
      <c r="K1797" s="279" t="b">
        <v>1</v>
      </c>
      <c r="L1797" s="279" t="b">
        <v>1</v>
      </c>
    </row>
    <row r="1798" ht="14.25" hidden="1" customHeight="1" outlineLevel="1">
      <c r="A1798" s="344">
        <v>46204.0</v>
      </c>
      <c r="B1798" s="132">
        <v>46234.0</v>
      </c>
      <c r="C1798" s="327" t="s">
        <v>61</v>
      </c>
      <c r="D1798" s="315">
        <v>1.0</v>
      </c>
      <c r="E1798" s="316">
        <v>150.0</v>
      </c>
      <c r="F1798" s="316">
        <f t="shared" si="319"/>
        <v>150</v>
      </c>
      <c r="G1798" s="316">
        <f t="shared" si="320"/>
        <v>150</v>
      </c>
      <c r="H1798" s="317" t="b">
        <v>1</v>
      </c>
      <c r="I1798" s="143" t="s">
        <v>236</v>
      </c>
      <c r="J1798" s="321" t="s">
        <v>1184</v>
      </c>
      <c r="K1798" s="317" t="b">
        <v>0</v>
      </c>
      <c r="L1798" s="279" t="b">
        <v>1</v>
      </c>
    </row>
    <row r="1799" ht="14.25" hidden="1" customHeight="1" outlineLevel="1">
      <c r="A1799" s="344">
        <v>46204.0</v>
      </c>
      <c r="B1799" s="132">
        <v>46234.0</v>
      </c>
      <c r="C1799" s="41" t="s">
        <v>61</v>
      </c>
      <c r="D1799" s="67">
        <v>1.0</v>
      </c>
      <c r="E1799" s="69">
        <v>3450.0</v>
      </c>
      <c r="F1799" s="287">
        <f t="shared" si="319"/>
        <v>3450</v>
      </c>
      <c r="G1799" s="287">
        <f t="shared" si="320"/>
        <v>3450</v>
      </c>
      <c r="H1799" s="279" t="b">
        <v>1</v>
      </c>
      <c r="I1799" s="143" t="s">
        <v>119</v>
      </c>
      <c r="J1799" s="42" t="s">
        <v>1982</v>
      </c>
      <c r="K1799" s="279" t="b">
        <v>0</v>
      </c>
      <c r="L1799" s="279" t="b">
        <v>1</v>
      </c>
    </row>
    <row r="1800" ht="14.25" hidden="1" customHeight="1" outlineLevel="1">
      <c r="A1800" s="344">
        <v>46204.0</v>
      </c>
      <c r="B1800" s="132">
        <v>46234.0</v>
      </c>
      <c r="C1800" s="41" t="s">
        <v>61</v>
      </c>
      <c r="D1800" s="67">
        <v>1.0</v>
      </c>
      <c r="E1800" s="69">
        <v>2700.0</v>
      </c>
      <c r="F1800" s="287">
        <f t="shared" si="319"/>
        <v>2700</v>
      </c>
      <c r="G1800" s="287">
        <f t="shared" si="320"/>
        <v>2700</v>
      </c>
      <c r="H1800" s="279" t="b">
        <v>1</v>
      </c>
      <c r="I1800" s="143" t="s">
        <v>119</v>
      </c>
      <c r="J1800" s="42" t="s">
        <v>1982</v>
      </c>
      <c r="K1800" s="279" t="b">
        <v>0</v>
      </c>
      <c r="L1800" s="279" t="b">
        <v>1</v>
      </c>
    </row>
    <row r="1801" ht="14.25" hidden="1" customHeight="1" outlineLevel="1">
      <c r="A1801" s="344">
        <v>46204.0</v>
      </c>
      <c r="B1801" s="132">
        <v>46204.0</v>
      </c>
      <c r="C1801" s="41"/>
      <c r="D1801" s="537"/>
      <c r="E1801" s="537"/>
      <c r="F1801" s="538"/>
      <c r="G1801" s="538"/>
      <c r="H1801" s="279" t="b">
        <v>0</v>
      </c>
      <c r="I1801" s="143"/>
      <c r="J1801" s="42"/>
      <c r="K1801" s="279" t="b">
        <v>0</v>
      </c>
      <c r="L1801" s="279" t="b">
        <v>0</v>
      </c>
    </row>
    <row r="1802" ht="14.25" hidden="1" customHeight="1" outlineLevel="1">
      <c r="A1802" s="344">
        <v>46204.0</v>
      </c>
      <c r="B1802" s="132">
        <v>46204.0</v>
      </c>
      <c r="C1802" s="41"/>
      <c r="D1802" s="537"/>
      <c r="E1802" s="537"/>
      <c r="F1802" s="538"/>
      <c r="G1802" s="538"/>
      <c r="H1802" s="279" t="b">
        <v>0</v>
      </c>
      <c r="I1802" s="143"/>
      <c r="J1802" s="42"/>
      <c r="K1802" s="279" t="b">
        <v>0</v>
      </c>
      <c r="L1802" s="279" t="b">
        <v>0</v>
      </c>
    </row>
    <row r="1803" ht="14.25" hidden="1" customHeight="1" outlineLevel="1">
      <c r="A1803" s="344">
        <v>46204.0</v>
      </c>
      <c r="B1803" s="132">
        <v>46204.0</v>
      </c>
      <c r="C1803" s="41"/>
      <c r="D1803" s="537"/>
      <c r="E1803" s="537"/>
      <c r="F1803" s="538"/>
      <c r="G1803" s="538"/>
      <c r="H1803" s="279" t="b">
        <v>0</v>
      </c>
      <c r="I1803" s="143"/>
      <c r="J1803" s="42"/>
      <c r="K1803" s="279" t="b">
        <v>0</v>
      </c>
      <c r="L1803" s="279" t="b">
        <v>0</v>
      </c>
    </row>
    <row r="1804" ht="14.25" hidden="1" customHeight="1" outlineLevel="1">
      <c r="A1804" s="344">
        <v>46204.0</v>
      </c>
      <c r="B1804" s="132">
        <v>46204.0</v>
      </c>
      <c r="C1804" s="41"/>
      <c r="D1804" s="537"/>
      <c r="E1804" s="537"/>
      <c r="F1804" s="538"/>
      <c r="G1804" s="538"/>
      <c r="H1804" s="279" t="b">
        <v>0</v>
      </c>
      <c r="I1804" s="143"/>
      <c r="J1804" s="42"/>
      <c r="K1804" s="279" t="b">
        <v>0</v>
      </c>
      <c r="L1804" s="279" t="b">
        <v>0</v>
      </c>
    </row>
    <row r="1805" ht="14.25" customHeight="1">
      <c r="A1805" s="180" t="s">
        <v>192</v>
      </c>
      <c r="B1805" s="27"/>
      <c r="C1805" s="27"/>
      <c r="D1805" s="27"/>
      <c r="E1805" s="28"/>
      <c r="F1805" s="181">
        <f t="shared" ref="F1805:G1805" si="321">SUM(F1749:F1804)</f>
        <v>13741.25</v>
      </c>
      <c r="G1805" s="181">
        <f t="shared" si="321"/>
        <v>13741.25</v>
      </c>
    </row>
    <row r="1806" ht="14.25" customHeight="1" collapsed="1">
      <c r="A1806" s="245" t="s">
        <v>1728</v>
      </c>
      <c r="B1806" s="246"/>
      <c r="C1806" s="246"/>
      <c r="D1806" s="246"/>
      <c r="E1806" s="246"/>
      <c r="F1806" s="246"/>
      <c r="G1806" s="246"/>
      <c r="H1806" s="246"/>
      <c r="I1806" s="246"/>
      <c r="J1806" s="247"/>
    </row>
    <row r="1807" ht="14.25" hidden="1" customHeight="1" outlineLevel="1">
      <c r="A1807" s="344">
        <v>46235.0</v>
      </c>
      <c r="B1807" s="132">
        <v>46236.0</v>
      </c>
      <c r="C1807" s="41" t="s">
        <v>61</v>
      </c>
      <c r="D1807" s="182">
        <v>1.0</v>
      </c>
      <c r="E1807" s="316">
        <v>200.0</v>
      </c>
      <c r="F1807" s="316">
        <v>200.0</v>
      </c>
      <c r="G1807" s="316">
        <v>200.0</v>
      </c>
      <c r="H1807" s="317" t="b">
        <v>1</v>
      </c>
      <c r="I1807" s="318" t="s">
        <v>490</v>
      </c>
      <c r="J1807" s="321" t="s">
        <v>1192</v>
      </c>
      <c r="K1807" s="279" t="b">
        <v>0</v>
      </c>
      <c r="L1807" s="279" t="b">
        <v>1</v>
      </c>
    </row>
    <row r="1808" ht="14.25" hidden="1" customHeight="1" outlineLevel="1">
      <c r="A1808" s="344">
        <v>46235.0</v>
      </c>
      <c r="B1808" s="132">
        <v>46236.0</v>
      </c>
      <c r="C1808" s="41" t="s">
        <v>61</v>
      </c>
      <c r="D1808" s="182">
        <v>1.0</v>
      </c>
      <c r="E1808" s="316">
        <v>200.0</v>
      </c>
      <c r="F1808" s="316">
        <v>200.0</v>
      </c>
      <c r="G1808" s="316">
        <v>200.0</v>
      </c>
      <c r="H1808" s="317" t="b">
        <v>1</v>
      </c>
      <c r="I1808" s="318" t="s">
        <v>1251</v>
      </c>
      <c r="J1808" s="321" t="s">
        <v>1193</v>
      </c>
      <c r="K1808" s="279" t="b">
        <v>0</v>
      </c>
      <c r="L1808" s="279" t="b">
        <v>1</v>
      </c>
    </row>
    <row r="1809" ht="14.25" hidden="1" customHeight="1" outlineLevel="1">
      <c r="A1809" s="344">
        <v>46235.0</v>
      </c>
      <c r="B1809" s="132">
        <v>46236.0</v>
      </c>
      <c r="C1809" s="41" t="s">
        <v>61</v>
      </c>
      <c r="D1809" s="182">
        <v>1.0</v>
      </c>
      <c r="E1809" s="316">
        <v>200.0</v>
      </c>
      <c r="F1809" s="316">
        <v>200.0</v>
      </c>
      <c r="G1809" s="316">
        <v>200.0</v>
      </c>
      <c r="H1809" s="317" t="b">
        <v>1</v>
      </c>
      <c r="I1809" s="318" t="s">
        <v>820</v>
      </c>
      <c r="J1809" s="321" t="s">
        <v>1195</v>
      </c>
      <c r="K1809" s="279" t="b">
        <v>0</v>
      </c>
      <c r="L1809" s="279" t="b">
        <v>1</v>
      </c>
    </row>
    <row r="1810" ht="14.25" hidden="1" customHeight="1" outlineLevel="1">
      <c r="A1810" s="344">
        <v>46235.0</v>
      </c>
      <c r="B1810" s="132">
        <v>46236.0</v>
      </c>
      <c r="C1810" s="41" t="s">
        <v>97</v>
      </c>
      <c r="D1810" s="539">
        <v>1.0</v>
      </c>
      <c r="E1810" s="540">
        <v>29.0</v>
      </c>
      <c r="F1810" s="540">
        <v>29.0</v>
      </c>
      <c r="G1810" s="540">
        <v>29.0</v>
      </c>
      <c r="H1810" s="279" t="b">
        <v>0</v>
      </c>
      <c r="I1810" s="143" t="s">
        <v>1984</v>
      </c>
      <c r="J1810" s="143" t="s">
        <v>1984</v>
      </c>
      <c r="K1810" s="279" t="b">
        <v>0</v>
      </c>
      <c r="L1810" s="279" t="b">
        <v>1</v>
      </c>
    </row>
    <row r="1811" ht="14.25" hidden="1" customHeight="1" outlineLevel="1">
      <c r="A1811" s="344">
        <v>46235.0</v>
      </c>
      <c r="B1811" s="132">
        <v>46237.0</v>
      </c>
      <c r="C1811" s="41" t="s">
        <v>112</v>
      </c>
      <c r="D1811" s="541">
        <v>1.0</v>
      </c>
      <c r="E1811" s="541">
        <v>24.99</v>
      </c>
      <c r="F1811" s="542">
        <f t="shared" ref="F1811:F1814" si="322">D1811*E1811</f>
        <v>24.99</v>
      </c>
      <c r="G1811" s="543">
        <f>SUM(F1811:F1814)</f>
        <v>93.42</v>
      </c>
      <c r="H1811" s="278" t="b">
        <v>0</v>
      </c>
      <c r="I1811" s="164"/>
      <c r="J1811" s="42" t="s">
        <v>1985</v>
      </c>
      <c r="K1811" s="278" t="b">
        <v>1</v>
      </c>
      <c r="L1811" s="278" t="b">
        <v>1</v>
      </c>
    </row>
    <row r="1812" ht="14.25" hidden="1" customHeight="1" outlineLevel="1">
      <c r="A1812" s="344">
        <v>46235.0</v>
      </c>
      <c r="B1812" s="132">
        <v>46237.0</v>
      </c>
      <c r="C1812" s="41" t="s">
        <v>112</v>
      </c>
      <c r="D1812" s="541">
        <v>1.0</v>
      </c>
      <c r="E1812" s="541">
        <v>18.99</v>
      </c>
      <c r="F1812" s="542">
        <f t="shared" si="322"/>
        <v>18.99</v>
      </c>
      <c r="G1812" s="58"/>
      <c r="H1812" s="58"/>
      <c r="I1812" s="194"/>
      <c r="J1812" s="42" t="s">
        <v>1986</v>
      </c>
      <c r="K1812" s="58"/>
      <c r="L1812" s="58"/>
    </row>
    <row r="1813" ht="14.25" hidden="1" customHeight="1" outlineLevel="1">
      <c r="A1813" s="344">
        <v>46235.0</v>
      </c>
      <c r="B1813" s="132">
        <v>46237.0</v>
      </c>
      <c r="C1813" s="41" t="s">
        <v>69</v>
      </c>
      <c r="D1813" s="541">
        <v>5.0</v>
      </c>
      <c r="E1813" s="541">
        <v>7.49</v>
      </c>
      <c r="F1813" s="542">
        <f t="shared" si="322"/>
        <v>37.45</v>
      </c>
      <c r="G1813" s="58"/>
      <c r="H1813" s="58"/>
      <c r="I1813" s="194"/>
      <c r="J1813" s="42" t="s">
        <v>1987</v>
      </c>
      <c r="K1813" s="58"/>
      <c r="L1813" s="58"/>
    </row>
    <row r="1814" ht="14.25" hidden="1" customHeight="1" outlineLevel="1">
      <c r="A1814" s="344">
        <v>46235.0</v>
      </c>
      <c r="B1814" s="132">
        <v>46237.0</v>
      </c>
      <c r="C1814" s="41" t="s">
        <v>112</v>
      </c>
      <c r="D1814" s="541">
        <v>1.0</v>
      </c>
      <c r="E1814" s="541">
        <v>11.99</v>
      </c>
      <c r="F1814" s="542">
        <f t="shared" si="322"/>
        <v>11.99</v>
      </c>
      <c r="G1814" s="10"/>
      <c r="H1814" s="10"/>
      <c r="I1814" s="74"/>
      <c r="J1814" s="42" t="s">
        <v>1988</v>
      </c>
      <c r="K1814" s="10"/>
      <c r="L1814" s="10"/>
    </row>
    <row r="1815" ht="14.25" hidden="1" customHeight="1" outlineLevel="1">
      <c r="A1815" s="344">
        <v>46235.0</v>
      </c>
      <c r="B1815" s="132">
        <v>46237.0</v>
      </c>
      <c r="C1815" s="41" t="s">
        <v>93</v>
      </c>
      <c r="D1815" s="544">
        <v>1.0</v>
      </c>
      <c r="E1815" s="545">
        <v>233.11</v>
      </c>
      <c r="F1815" s="545">
        <v>233.11</v>
      </c>
      <c r="G1815" s="545">
        <v>233.11</v>
      </c>
      <c r="H1815" s="279" t="b">
        <v>0</v>
      </c>
      <c r="I1815" s="143" t="s">
        <v>1989</v>
      </c>
      <c r="J1815" s="42" t="s">
        <v>1957</v>
      </c>
      <c r="K1815" s="279" t="b">
        <v>1</v>
      </c>
      <c r="L1815" s="279" t="b">
        <v>1</v>
      </c>
    </row>
    <row r="1816" ht="14.25" hidden="1" customHeight="1" outlineLevel="1">
      <c r="A1816" s="344">
        <v>46235.0</v>
      </c>
      <c r="B1816" s="132">
        <v>46238.0</v>
      </c>
      <c r="C1816" s="41" t="s">
        <v>61</v>
      </c>
      <c r="D1816" s="182">
        <v>1.0</v>
      </c>
      <c r="E1816" s="183">
        <v>150.0</v>
      </c>
      <c r="F1816" s="183">
        <v>150.0</v>
      </c>
      <c r="G1816" s="183">
        <v>150.0</v>
      </c>
      <c r="H1816" s="279" t="b">
        <v>1</v>
      </c>
      <c r="I1816" s="143" t="s">
        <v>296</v>
      </c>
      <c r="J1816" s="41" t="s">
        <v>1772</v>
      </c>
      <c r="K1816" s="279" t="b">
        <v>0</v>
      </c>
      <c r="L1816" s="279" t="b">
        <v>1</v>
      </c>
    </row>
    <row r="1817" ht="14.25" hidden="1" customHeight="1" outlineLevel="1">
      <c r="A1817" s="344">
        <v>46235.0</v>
      </c>
      <c r="B1817" s="132">
        <v>46240.0</v>
      </c>
      <c r="C1817" s="41" t="s">
        <v>61</v>
      </c>
      <c r="D1817" s="182">
        <v>1.0</v>
      </c>
      <c r="E1817" s="183">
        <v>150.0</v>
      </c>
      <c r="F1817" s="183">
        <v>150.0</v>
      </c>
      <c r="G1817" s="183">
        <v>150.0</v>
      </c>
      <c r="H1817" s="279" t="b">
        <v>1</v>
      </c>
      <c r="I1817" s="143" t="s">
        <v>980</v>
      </c>
      <c r="J1817" s="41" t="s">
        <v>1990</v>
      </c>
      <c r="K1817" s="279" t="b">
        <v>0</v>
      </c>
      <c r="L1817" s="279" t="b">
        <v>1</v>
      </c>
    </row>
    <row r="1818" ht="14.25" hidden="1" customHeight="1" outlineLevel="1">
      <c r="A1818" s="344">
        <v>46235.0</v>
      </c>
      <c r="B1818" s="132">
        <v>46241.0</v>
      </c>
      <c r="C1818" s="41" t="s">
        <v>61</v>
      </c>
      <c r="D1818" s="182">
        <v>1.0</v>
      </c>
      <c r="E1818" s="183">
        <v>150.0</v>
      </c>
      <c r="F1818" s="183">
        <v>150.0</v>
      </c>
      <c r="G1818" s="183">
        <v>150.0</v>
      </c>
      <c r="H1818" s="279" t="b">
        <v>1</v>
      </c>
      <c r="I1818" s="143" t="s">
        <v>296</v>
      </c>
      <c r="J1818" s="41" t="s">
        <v>1991</v>
      </c>
      <c r="K1818" s="279" t="b">
        <v>0</v>
      </c>
      <c r="L1818" s="279" t="b">
        <v>1</v>
      </c>
    </row>
    <row r="1819" ht="14.25" hidden="1" customHeight="1" outlineLevel="1">
      <c r="A1819" s="344">
        <v>46235.0</v>
      </c>
      <c r="B1819" s="132">
        <v>46242.0</v>
      </c>
      <c r="C1819" s="41" t="s">
        <v>61</v>
      </c>
      <c r="D1819" s="182">
        <v>1.0</v>
      </c>
      <c r="E1819" s="337">
        <v>250.0</v>
      </c>
      <c r="F1819" s="337">
        <v>250.0</v>
      </c>
      <c r="G1819" s="337">
        <v>250.0</v>
      </c>
      <c r="H1819" s="317" t="b">
        <v>1</v>
      </c>
      <c r="I1819" s="318" t="s">
        <v>1251</v>
      </c>
      <c r="J1819" s="321" t="s">
        <v>1992</v>
      </c>
      <c r="K1819" s="279" t="b">
        <v>0</v>
      </c>
      <c r="L1819" s="279" t="b">
        <v>1</v>
      </c>
    </row>
    <row r="1820" ht="14.25" hidden="1" customHeight="1" outlineLevel="1">
      <c r="A1820" s="344">
        <v>46235.0</v>
      </c>
      <c r="B1820" s="132">
        <v>46243.0</v>
      </c>
      <c r="C1820" s="41" t="s">
        <v>61</v>
      </c>
      <c r="D1820" s="182">
        <v>1.0</v>
      </c>
      <c r="E1820" s="316">
        <v>200.0</v>
      </c>
      <c r="F1820" s="316">
        <v>200.0</v>
      </c>
      <c r="G1820" s="316">
        <v>200.0</v>
      </c>
      <c r="H1820" s="317" t="b">
        <v>1</v>
      </c>
      <c r="I1820" s="318" t="s">
        <v>490</v>
      </c>
      <c r="J1820" s="321" t="s">
        <v>1192</v>
      </c>
      <c r="K1820" s="279" t="b">
        <v>0</v>
      </c>
      <c r="L1820" s="279" t="b">
        <v>1</v>
      </c>
    </row>
    <row r="1821" ht="14.25" hidden="1" customHeight="1" outlineLevel="1">
      <c r="A1821" s="344">
        <v>46235.0</v>
      </c>
      <c r="B1821" s="132">
        <v>46243.0</v>
      </c>
      <c r="C1821" s="41" t="s">
        <v>61</v>
      </c>
      <c r="D1821" s="182">
        <v>1.0</v>
      </c>
      <c r="E1821" s="316">
        <v>200.0</v>
      </c>
      <c r="F1821" s="316">
        <v>200.0</v>
      </c>
      <c r="G1821" s="316">
        <v>200.0</v>
      </c>
      <c r="H1821" s="317" t="b">
        <v>1</v>
      </c>
      <c r="I1821" s="318" t="s">
        <v>980</v>
      </c>
      <c r="J1821" s="321" t="s">
        <v>1193</v>
      </c>
      <c r="K1821" s="279" t="b">
        <v>0</v>
      </c>
      <c r="L1821" s="279" t="b">
        <v>1</v>
      </c>
    </row>
    <row r="1822" ht="14.25" hidden="1" customHeight="1" outlineLevel="1">
      <c r="A1822" s="344">
        <v>46235.0</v>
      </c>
      <c r="B1822" s="132">
        <v>46243.0</v>
      </c>
      <c r="C1822" s="41" t="s">
        <v>61</v>
      </c>
      <c r="D1822" s="182">
        <v>1.0</v>
      </c>
      <c r="E1822" s="316">
        <v>200.0</v>
      </c>
      <c r="F1822" s="316">
        <v>200.0</v>
      </c>
      <c r="G1822" s="316">
        <v>200.0</v>
      </c>
      <c r="H1822" s="317" t="b">
        <v>1</v>
      </c>
      <c r="I1822" s="318" t="s">
        <v>342</v>
      </c>
      <c r="J1822" s="321" t="s">
        <v>1195</v>
      </c>
      <c r="K1822" s="279" t="b">
        <v>0</v>
      </c>
      <c r="L1822" s="279" t="b">
        <v>1</v>
      </c>
    </row>
    <row r="1823" ht="14.25" hidden="1" customHeight="1" outlineLevel="1">
      <c r="A1823" s="344">
        <v>46235.0</v>
      </c>
      <c r="B1823" s="132">
        <v>46244.0</v>
      </c>
      <c r="C1823" s="41" t="s">
        <v>61</v>
      </c>
      <c r="D1823" s="182">
        <v>1.0</v>
      </c>
      <c r="E1823" s="183">
        <v>150.0</v>
      </c>
      <c r="F1823" s="183">
        <v>150.0</v>
      </c>
      <c r="G1823" s="183">
        <v>150.0</v>
      </c>
      <c r="H1823" s="279" t="b">
        <v>1</v>
      </c>
      <c r="I1823" s="143" t="s">
        <v>1327</v>
      </c>
      <c r="J1823" s="41" t="s">
        <v>1993</v>
      </c>
      <c r="K1823" s="279" t="b">
        <v>0</v>
      </c>
      <c r="L1823" s="279" t="b">
        <v>1</v>
      </c>
    </row>
    <row r="1824" ht="14.25" hidden="1" customHeight="1" outlineLevel="1">
      <c r="A1824" s="344">
        <v>46235.0</v>
      </c>
      <c r="B1824" s="132">
        <v>46245.0</v>
      </c>
      <c r="C1824" s="41" t="s">
        <v>61</v>
      </c>
      <c r="D1824" s="182">
        <v>1.0</v>
      </c>
      <c r="E1824" s="183">
        <v>150.0</v>
      </c>
      <c r="F1824" s="183">
        <v>150.0</v>
      </c>
      <c r="G1824" s="183">
        <v>150.0</v>
      </c>
      <c r="H1824" s="279" t="b">
        <v>1</v>
      </c>
      <c r="I1824" s="143" t="s">
        <v>296</v>
      </c>
      <c r="J1824" s="41" t="s">
        <v>1772</v>
      </c>
      <c r="K1824" s="279" t="b">
        <v>0</v>
      </c>
      <c r="L1824" s="279" t="b">
        <v>1</v>
      </c>
    </row>
    <row r="1825" ht="14.25" hidden="1" customHeight="1" outlineLevel="1">
      <c r="A1825" s="344">
        <v>46235.0</v>
      </c>
      <c r="B1825" s="132">
        <v>46245.0</v>
      </c>
      <c r="C1825" s="41" t="s">
        <v>315</v>
      </c>
      <c r="D1825" s="544">
        <v>6.0</v>
      </c>
      <c r="E1825" s="540">
        <v>44.9</v>
      </c>
      <c r="F1825" s="546">
        <f t="shared" ref="F1825:F1828" si="323">D1825*E1825</f>
        <v>269.4</v>
      </c>
      <c r="G1825" s="547">
        <f>SUM(F1825:F1826)</f>
        <v>323.4</v>
      </c>
      <c r="H1825" s="278" t="b">
        <v>0</v>
      </c>
      <c r="I1825" s="164" t="s">
        <v>1994</v>
      </c>
      <c r="J1825" s="42" t="s">
        <v>1995</v>
      </c>
      <c r="K1825" s="278" t="b">
        <v>1</v>
      </c>
      <c r="L1825" s="278" t="b">
        <v>1</v>
      </c>
    </row>
    <row r="1826" ht="14.25" hidden="1" customHeight="1" outlineLevel="1">
      <c r="A1826" s="344">
        <v>46235.0</v>
      </c>
      <c r="B1826" s="132">
        <v>46245.0</v>
      </c>
      <c r="C1826" s="41" t="s">
        <v>75</v>
      </c>
      <c r="D1826" s="539">
        <v>2.0</v>
      </c>
      <c r="E1826" s="540">
        <v>27.0</v>
      </c>
      <c r="F1826" s="546">
        <f t="shared" si="323"/>
        <v>54</v>
      </c>
      <c r="G1826" s="10"/>
      <c r="H1826" s="10"/>
      <c r="I1826" s="74"/>
      <c r="J1826" s="42" t="s">
        <v>1996</v>
      </c>
      <c r="K1826" s="10"/>
      <c r="L1826" s="10"/>
    </row>
    <row r="1827" ht="14.25" hidden="1" customHeight="1" outlineLevel="1">
      <c r="A1827" s="344">
        <v>46235.0</v>
      </c>
      <c r="B1827" s="132">
        <v>46245.0</v>
      </c>
      <c r="C1827" s="41" t="s">
        <v>97</v>
      </c>
      <c r="D1827" s="539">
        <v>1.0</v>
      </c>
      <c r="E1827" s="540">
        <v>16.0</v>
      </c>
      <c r="F1827" s="546">
        <f t="shared" si="323"/>
        <v>16</v>
      </c>
      <c r="G1827" s="548">
        <f t="shared" ref="G1827:G1828" si="324">F1827</f>
        <v>16</v>
      </c>
      <c r="H1827" s="279" t="b">
        <v>0</v>
      </c>
      <c r="I1827" s="143" t="s">
        <v>1994</v>
      </c>
      <c r="J1827" s="42" t="s">
        <v>1997</v>
      </c>
      <c r="K1827" s="279" t="b">
        <v>0</v>
      </c>
      <c r="L1827" s="279" t="b">
        <v>1</v>
      </c>
    </row>
    <row r="1828" ht="14.25" hidden="1" customHeight="1" outlineLevel="1">
      <c r="A1828" s="344">
        <v>46235.0</v>
      </c>
      <c r="B1828" s="132">
        <v>46246.0</v>
      </c>
      <c r="C1828" s="41" t="s">
        <v>80</v>
      </c>
      <c r="D1828" s="544">
        <v>3.0</v>
      </c>
      <c r="E1828" s="544">
        <v>17.0</v>
      </c>
      <c r="F1828" s="549">
        <f t="shared" si="323"/>
        <v>51</v>
      </c>
      <c r="G1828" s="550">
        <f t="shared" si="324"/>
        <v>51</v>
      </c>
      <c r="H1828" s="279" t="b">
        <v>0</v>
      </c>
      <c r="I1828" s="143" t="s">
        <v>481</v>
      </c>
      <c r="J1828" s="42" t="s">
        <v>1998</v>
      </c>
      <c r="K1828" s="279" t="b">
        <v>1</v>
      </c>
      <c r="L1828" s="279" t="b">
        <v>1</v>
      </c>
    </row>
    <row r="1829" ht="14.25" hidden="1" customHeight="1" outlineLevel="1">
      <c r="A1829" s="344">
        <v>46235.0</v>
      </c>
      <c r="B1829" s="132">
        <v>46246.0</v>
      </c>
      <c r="C1829" s="41" t="s">
        <v>61</v>
      </c>
      <c r="D1829" s="182">
        <v>1.0</v>
      </c>
      <c r="E1829" s="183">
        <v>150.0</v>
      </c>
      <c r="F1829" s="183">
        <v>150.0</v>
      </c>
      <c r="G1829" s="183">
        <v>150.0</v>
      </c>
      <c r="H1829" s="279" t="b">
        <v>1</v>
      </c>
      <c r="I1829" s="143" t="s">
        <v>1706</v>
      </c>
      <c r="J1829" s="41" t="s">
        <v>1999</v>
      </c>
      <c r="K1829" s="279" t="b">
        <v>0</v>
      </c>
      <c r="L1829" s="279" t="b">
        <v>1</v>
      </c>
    </row>
    <row r="1830" ht="14.25" hidden="1" customHeight="1" outlineLevel="1">
      <c r="A1830" s="344">
        <v>46235.0</v>
      </c>
      <c r="B1830" s="132">
        <v>46247.0</v>
      </c>
      <c r="C1830" s="41" t="s">
        <v>61</v>
      </c>
      <c r="D1830" s="182">
        <v>1.0</v>
      </c>
      <c r="E1830" s="183">
        <v>150.0</v>
      </c>
      <c r="F1830" s="183">
        <v>150.0</v>
      </c>
      <c r="G1830" s="183">
        <v>150.0</v>
      </c>
      <c r="H1830" s="279" t="b">
        <v>1</v>
      </c>
      <c r="I1830" s="143" t="s">
        <v>980</v>
      </c>
      <c r="J1830" s="41" t="s">
        <v>1990</v>
      </c>
      <c r="K1830" s="279" t="b">
        <v>0</v>
      </c>
      <c r="L1830" s="279" t="b">
        <v>1</v>
      </c>
    </row>
    <row r="1831" ht="14.25" hidden="1" customHeight="1" outlineLevel="1">
      <c r="A1831" s="344">
        <v>46235.0</v>
      </c>
      <c r="B1831" s="132">
        <v>46248.0</v>
      </c>
      <c r="C1831" s="41" t="s">
        <v>61</v>
      </c>
      <c r="D1831" s="182">
        <v>1.0</v>
      </c>
      <c r="E1831" s="183">
        <v>150.0</v>
      </c>
      <c r="F1831" s="183">
        <v>150.0</v>
      </c>
      <c r="G1831" s="183">
        <v>150.0</v>
      </c>
      <c r="H1831" s="279" t="b">
        <v>1</v>
      </c>
      <c r="I1831" s="143" t="s">
        <v>296</v>
      </c>
      <c r="J1831" s="41" t="s">
        <v>1991</v>
      </c>
      <c r="K1831" s="279" t="b">
        <v>0</v>
      </c>
      <c r="L1831" s="279" t="b">
        <v>1</v>
      </c>
    </row>
    <row r="1832" ht="14.25" hidden="1" customHeight="1" outlineLevel="1">
      <c r="A1832" s="344">
        <v>46235.0</v>
      </c>
      <c r="B1832" s="132">
        <v>46250.0</v>
      </c>
      <c r="C1832" s="41" t="s">
        <v>61</v>
      </c>
      <c r="D1832" s="182">
        <v>1.0</v>
      </c>
      <c r="E1832" s="316">
        <v>200.0</v>
      </c>
      <c r="F1832" s="316">
        <v>200.0</v>
      </c>
      <c r="G1832" s="316">
        <v>200.0</v>
      </c>
      <c r="H1832" s="317" t="b">
        <v>1</v>
      </c>
      <c r="I1832" s="318" t="s">
        <v>490</v>
      </c>
      <c r="J1832" s="321" t="s">
        <v>1192</v>
      </c>
      <c r="K1832" s="279" t="b">
        <v>0</v>
      </c>
      <c r="L1832" s="279" t="b">
        <v>1</v>
      </c>
    </row>
    <row r="1833" ht="14.25" hidden="1" customHeight="1" outlineLevel="1">
      <c r="A1833" s="344">
        <v>46235.0</v>
      </c>
      <c r="B1833" s="132">
        <v>46250.0</v>
      </c>
      <c r="C1833" s="41" t="s">
        <v>61</v>
      </c>
      <c r="D1833" s="182">
        <v>1.0</v>
      </c>
      <c r="E1833" s="316">
        <v>200.0</v>
      </c>
      <c r="F1833" s="316">
        <v>200.0</v>
      </c>
      <c r="G1833" s="316">
        <v>200.0</v>
      </c>
      <c r="H1833" s="317" t="b">
        <v>1</v>
      </c>
      <c r="I1833" s="318" t="s">
        <v>1251</v>
      </c>
      <c r="J1833" s="321" t="s">
        <v>1193</v>
      </c>
      <c r="K1833" s="279" t="b">
        <v>0</v>
      </c>
      <c r="L1833" s="279" t="b">
        <v>1</v>
      </c>
    </row>
    <row r="1834" ht="14.25" hidden="1" customHeight="1" outlineLevel="1">
      <c r="A1834" s="344">
        <v>46235.0</v>
      </c>
      <c r="B1834" s="132">
        <v>46250.0</v>
      </c>
      <c r="C1834" s="41" t="s">
        <v>61</v>
      </c>
      <c r="D1834" s="182">
        <v>1.0</v>
      </c>
      <c r="E1834" s="316">
        <v>200.0</v>
      </c>
      <c r="F1834" s="316">
        <v>200.0</v>
      </c>
      <c r="G1834" s="316">
        <v>200.0</v>
      </c>
      <c r="H1834" s="317" t="b">
        <v>1</v>
      </c>
      <c r="I1834" s="318" t="s">
        <v>820</v>
      </c>
      <c r="J1834" s="321" t="s">
        <v>1195</v>
      </c>
      <c r="K1834" s="279" t="b">
        <v>0</v>
      </c>
      <c r="L1834" s="279" t="b">
        <v>1</v>
      </c>
    </row>
    <row r="1835" ht="14.25" hidden="1" customHeight="1" outlineLevel="1">
      <c r="A1835" s="344">
        <v>46235.0</v>
      </c>
      <c r="B1835" s="132">
        <v>46251.0</v>
      </c>
      <c r="C1835" s="41" t="s">
        <v>61</v>
      </c>
      <c r="D1835" s="182">
        <v>1.0</v>
      </c>
      <c r="E1835" s="183">
        <v>150.0</v>
      </c>
      <c r="F1835" s="183">
        <v>150.0</v>
      </c>
      <c r="G1835" s="183">
        <v>150.0</v>
      </c>
      <c r="H1835" s="279" t="b">
        <v>1</v>
      </c>
      <c r="I1835" s="143" t="s">
        <v>1327</v>
      </c>
      <c r="J1835" s="41" t="s">
        <v>1993</v>
      </c>
      <c r="K1835" s="279" t="b">
        <v>0</v>
      </c>
      <c r="L1835" s="279" t="b">
        <v>1</v>
      </c>
    </row>
    <row r="1836" ht="14.25" hidden="1" customHeight="1" outlineLevel="1">
      <c r="A1836" s="344">
        <v>46235.0</v>
      </c>
      <c r="B1836" s="132">
        <v>46252.0</v>
      </c>
      <c r="C1836" s="41" t="s">
        <v>61</v>
      </c>
      <c r="D1836" s="182">
        <v>1.0</v>
      </c>
      <c r="E1836" s="183">
        <v>150.0</v>
      </c>
      <c r="F1836" s="183">
        <v>150.0</v>
      </c>
      <c r="G1836" s="183">
        <v>150.0</v>
      </c>
      <c r="H1836" s="279" t="b">
        <v>1</v>
      </c>
      <c r="I1836" s="143" t="s">
        <v>296</v>
      </c>
      <c r="J1836" s="41" t="s">
        <v>1772</v>
      </c>
      <c r="K1836" s="279" t="b">
        <v>0</v>
      </c>
      <c r="L1836" s="279" t="b">
        <v>1</v>
      </c>
    </row>
    <row r="1837" ht="14.25" hidden="1" customHeight="1" outlineLevel="1">
      <c r="A1837" s="344">
        <v>46235.0</v>
      </c>
      <c r="B1837" s="132">
        <v>46253.0</v>
      </c>
      <c r="C1837" s="41" t="s">
        <v>75</v>
      </c>
      <c r="D1837" s="539">
        <v>1.0</v>
      </c>
      <c r="E1837" s="540">
        <v>27.0</v>
      </c>
      <c r="F1837" s="546">
        <f t="shared" ref="F1837:F1840" si="325">D1837*E1837</f>
        <v>27</v>
      </c>
      <c r="G1837" s="551">
        <f>SUM(F1837:F1839)</f>
        <v>229</v>
      </c>
      <c r="H1837" s="278" t="b">
        <v>0</v>
      </c>
      <c r="I1837" s="164" t="s">
        <v>1994</v>
      </c>
      <c r="J1837" s="42" t="s">
        <v>1996</v>
      </c>
      <c r="K1837" s="278" t="b">
        <v>1</v>
      </c>
      <c r="L1837" s="278" t="b">
        <v>1</v>
      </c>
    </row>
    <row r="1838" ht="14.25" hidden="1" customHeight="1" outlineLevel="1">
      <c r="A1838" s="344">
        <v>46235.0</v>
      </c>
      <c r="B1838" s="132">
        <v>46253.0</v>
      </c>
      <c r="C1838" s="41" t="s">
        <v>75</v>
      </c>
      <c r="D1838" s="539">
        <v>1.0</v>
      </c>
      <c r="E1838" s="540">
        <v>27.0</v>
      </c>
      <c r="F1838" s="546">
        <f t="shared" si="325"/>
        <v>27</v>
      </c>
      <c r="G1838" s="58"/>
      <c r="H1838" s="58"/>
      <c r="I1838" s="194"/>
      <c r="J1838" s="42" t="s">
        <v>2000</v>
      </c>
      <c r="K1838" s="58"/>
      <c r="L1838" s="58"/>
    </row>
    <row r="1839" ht="14.25" hidden="1" customHeight="1" outlineLevel="1">
      <c r="A1839" s="344">
        <v>46235.0</v>
      </c>
      <c r="B1839" s="132">
        <v>46253.0</v>
      </c>
      <c r="C1839" s="41" t="s">
        <v>75</v>
      </c>
      <c r="D1839" s="539">
        <v>5.0</v>
      </c>
      <c r="E1839" s="540">
        <v>35.0</v>
      </c>
      <c r="F1839" s="546">
        <f t="shared" si="325"/>
        <v>175</v>
      </c>
      <c r="G1839" s="10"/>
      <c r="H1839" s="10"/>
      <c r="I1839" s="74"/>
      <c r="J1839" s="42" t="s">
        <v>2001</v>
      </c>
      <c r="K1839" s="10"/>
      <c r="L1839" s="10"/>
    </row>
    <row r="1840" ht="14.25" hidden="1" customHeight="1" outlineLevel="1">
      <c r="A1840" s="344">
        <v>46235.0</v>
      </c>
      <c r="B1840" s="132">
        <v>46253.0</v>
      </c>
      <c r="C1840" s="41" t="s">
        <v>97</v>
      </c>
      <c r="D1840" s="539">
        <v>1.0</v>
      </c>
      <c r="E1840" s="540">
        <v>16.0</v>
      </c>
      <c r="F1840" s="546">
        <f t="shared" si="325"/>
        <v>16</v>
      </c>
      <c r="G1840" s="548">
        <f>F1840</f>
        <v>16</v>
      </c>
      <c r="H1840" s="279" t="b">
        <v>0</v>
      </c>
      <c r="I1840" s="143" t="s">
        <v>1994</v>
      </c>
      <c r="J1840" s="42" t="s">
        <v>1997</v>
      </c>
      <c r="K1840" s="279" t="b">
        <v>0</v>
      </c>
      <c r="L1840" s="279" t="b">
        <v>1</v>
      </c>
    </row>
    <row r="1841" ht="14.25" hidden="1" customHeight="1" outlineLevel="1">
      <c r="A1841" s="344">
        <v>46235.0</v>
      </c>
      <c r="B1841" s="132">
        <v>46254.0</v>
      </c>
      <c r="C1841" s="41" t="s">
        <v>116</v>
      </c>
      <c r="D1841" s="539">
        <v>4.0</v>
      </c>
      <c r="E1841" s="540">
        <v>8.9</v>
      </c>
      <c r="F1841" s="546">
        <f t="shared" ref="F1841:F1844" si="326">D1841*E1841*0.9</f>
        <v>32.04</v>
      </c>
      <c r="G1841" s="551">
        <f>SUM(F1841:F1844)</f>
        <v>288.72</v>
      </c>
      <c r="H1841" s="278" t="b">
        <v>0</v>
      </c>
      <c r="I1841" s="143" t="s">
        <v>614</v>
      </c>
      <c r="J1841" s="42" t="s">
        <v>2002</v>
      </c>
      <c r="K1841" s="279" t="b">
        <v>0</v>
      </c>
      <c r="L1841" s="279" t="b">
        <v>0</v>
      </c>
    </row>
    <row r="1842" ht="14.25" hidden="1" customHeight="1" outlineLevel="1">
      <c r="A1842" s="344">
        <v>46235.0</v>
      </c>
      <c r="B1842" s="132">
        <v>46254.0</v>
      </c>
      <c r="C1842" s="41" t="s">
        <v>116</v>
      </c>
      <c r="D1842" s="539">
        <v>3.0</v>
      </c>
      <c r="E1842" s="540">
        <v>11.2</v>
      </c>
      <c r="F1842" s="546">
        <f t="shared" si="326"/>
        <v>30.24</v>
      </c>
      <c r="G1842" s="58"/>
      <c r="H1842" s="58"/>
      <c r="I1842" s="143"/>
      <c r="J1842" s="42" t="s">
        <v>2003</v>
      </c>
      <c r="K1842" s="279" t="b">
        <v>0</v>
      </c>
      <c r="L1842" s="279" t="b">
        <v>0</v>
      </c>
    </row>
    <row r="1843" ht="14.25" hidden="1" customHeight="1" outlineLevel="1">
      <c r="A1843" s="344">
        <v>46235.0</v>
      </c>
      <c r="B1843" s="132">
        <v>46254.0</v>
      </c>
      <c r="C1843" s="41" t="s">
        <v>116</v>
      </c>
      <c r="D1843" s="539">
        <v>2.0</v>
      </c>
      <c r="E1843" s="540">
        <v>12.4</v>
      </c>
      <c r="F1843" s="546">
        <f t="shared" si="326"/>
        <v>22.32</v>
      </c>
      <c r="G1843" s="58"/>
      <c r="H1843" s="58"/>
      <c r="I1843" s="143"/>
      <c r="J1843" s="552" t="s">
        <v>2004</v>
      </c>
      <c r="K1843" s="279" t="b">
        <v>0</v>
      </c>
      <c r="L1843" s="279" t="b">
        <v>0</v>
      </c>
    </row>
    <row r="1844" ht="14.25" hidden="1" customHeight="1" outlineLevel="1">
      <c r="A1844" s="344">
        <v>46235.0</v>
      </c>
      <c r="B1844" s="132">
        <v>46254.0</v>
      </c>
      <c r="C1844" s="41" t="s">
        <v>116</v>
      </c>
      <c r="D1844" s="539">
        <v>12.0</v>
      </c>
      <c r="E1844" s="540">
        <v>18.9</v>
      </c>
      <c r="F1844" s="546">
        <f t="shared" si="326"/>
        <v>204.12</v>
      </c>
      <c r="G1844" s="10"/>
      <c r="H1844" s="10"/>
      <c r="I1844" s="143"/>
      <c r="J1844" s="42" t="s">
        <v>2005</v>
      </c>
      <c r="K1844" s="279" t="b">
        <v>0</v>
      </c>
      <c r="L1844" s="279" t="b">
        <v>0</v>
      </c>
    </row>
    <row r="1845" ht="14.25" hidden="1" customHeight="1" outlineLevel="1">
      <c r="A1845" s="344">
        <v>46235.0</v>
      </c>
      <c r="B1845" s="132">
        <v>46254.0</v>
      </c>
      <c r="C1845" s="41" t="s">
        <v>171</v>
      </c>
      <c r="D1845" s="539">
        <v>1.0</v>
      </c>
      <c r="E1845" s="540">
        <v>29.99</v>
      </c>
      <c r="F1845" s="546">
        <f>D1845*E1845</f>
        <v>29.99</v>
      </c>
      <c r="G1845" s="548">
        <f>F1845</f>
        <v>29.99</v>
      </c>
      <c r="H1845" s="279" t="b">
        <v>0</v>
      </c>
      <c r="I1845" s="143" t="s">
        <v>2006</v>
      </c>
      <c r="J1845" s="42" t="s">
        <v>1449</v>
      </c>
      <c r="K1845" s="279" t="b">
        <v>1</v>
      </c>
      <c r="L1845" s="279" t="b">
        <v>0</v>
      </c>
    </row>
    <row r="1846" ht="14.25" hidden="1" customHeight="1" outlineLevel="1">
      <c r="A1846" s="344">
        <v>46235.0</v>
      </c>
      <c r="B1846" s="132">
        <v>46254.0</v>
      </c>
      <c r="C1846" s="41" t="s">
        <v>61</v>
      </c>
      <c r="D1846" s="182">
        <v>1.0</v>
      </c>
      <c r="E1846" s="183">
        <v>150.0</v>
      </c>
      <c r="F1846" s="183">
        <v>150.0</v>
      </c>
      <c r="G1846" s="183">
        <v>150.0</v>
      </c>
      <c r="H1846" s="279" t="b">
        <v>1</v>
      </c>
      <c r="I1846" s="143" t="s">
        <v>980</v>
      </c>
      <c r="J1846" s="41" t="s">
        <v>1990</v>
      </c>
      <c r="K1846" s="279" t="b">
        <v>0</v>
      </c>
      <c r="L1846" s="279" t="b">
        <v>1</v>
      </c>
    </row>
    <row r="1847" ht="14.25" hidden="1" customHeight="1" outlineLevel="1">
      <c r="A1847" s="344">
        <v>46235.0</v>
      </c>
      <c r="B1847" s="132">
        <v>46255.0</v>
      </c>
      <c r="C1847" s="41" t="s">
        <v>61</v>
      </c>
      <c r="D1847" s="182">
        <v>1.0</v>
      </c>
      <c r="E1847" s="183">
        <v>150.0</v>
      </c>
      <c r="F1847" s="183">
        <v>150.0</v>
      </c>
      <c r="G1847" s="183">
        <v>150.0</v>
      </c>
      <c r="H1847" s="279" t="b">
        <v>1</v>
      </c>
      <c r="I1847" s="143" t="s">
        <v>296</v>
      </c>
      <c r="J1847" s="41" t="s">
        <v>1991</v>
      </c>
      <c r="K1847" s="279" t="b">
        <v>0</v>
      </c>
      <c r="L1847" s="279" t="b">
        <v>1</v>
      </c>
    </row>
    <row r="1848" ht="14.25" hidden="1" customHeight="1" outlineLevel="1">
      <c r="A1848" s="344">
        <v>46235.0</v>
      </c>
      <c r="B1848" s="132">
        <v>46255.0</v>
      </c>
      <c r="C1848" s="41" t="s">
        <v>116</v>
      </c>
      <c r="D1848" s="539">
        <v>3.0</v>
      </c>
      <c r="E1848" s="540">
        <v>5.9</v>
      </c>
      <c r="F1848" s="548">
        <f>D1848*E1848</f>
        <v>17.7</v>
      </c>
      <c r="G1848" s="548">
        <f>F1848</f>
        <v>17.7</v>
      </c>
      <c r="H1848" s="279" t="b">
        <v>0</v>
      </c>
      <c r="I1848" s="143" t="s">
        <v>2007</v>
      </c>
      <c r="J1848" s="42" t="s">
        <v>2008</v>
      </c>
      <c r="K1848" s="279" t="b">
        <v>1</v>
      </c>
      <c r="L1848" s="279" t="b">
        <v>1</v>
      </c>
    </row>
    <row r="1849" ht="14.25" hidden="1" customHeight="1" outlineLevel="1">
      <c r="A1849" s="344">
        <v>46235.0</v>
      </c>
      <c r="B1849" s="132">
        <v>46257.0</v>
      </c>
      <c r="C1849" s="41" t="s">
        <v>61</v>
      </c>
      <c r="D1849" s="182">
        <v>1.0</v>
      </c>
      <c r="E1849" s="316">
        <v>200.0</v>
      </c>
      <c r="F1849" s="316">
        <v>200.0</v>
      </c>
      <c r="G1849" s="316">
        <v>200.0</v>
      </c>
      <c r="H1849" s="317" t="b">
        <v>1</v>
      </c>
      <c r="I1849" s="318" t="s">
        <v>490</v>
      </c>
      <c r="J1849" s="321" t="s">
        <v>1192</v>
      </c>
      <c r="K1849" s="279" t="b">
        <v>0</v>
      </c>
      <c r="L1849" s="279" t="b">
        <v>1</v>
      </c>
    </row>
    <row r="1850" ht="14.25" hidden="1" customHeight="1" outlineLevel="1">
      <c r="A1850" s="344">
        <v>46235.0</v>
      </c>
      <c r="B1850" s="132">
        <v>46257.0</v>
      </c>
      <c r="C1850" s="41" t="s">
        <v>61</v>
      </c>
      <c r="D1850" s="182">
        <v>1.0</v>
      </c>
      <c r="E1850" s="316">
        <v>200.0</v>
      </c>
      <c r="F1850" s="316">
        <v>200.0</v>
      </c>
      <c r="G1850" s="316">
        <v>200.0</v>
      </c>
      <c r="H1850" s="317" t="b">
        <v>1</v>
      </c>
      <c r="I1850" s="318" t="s">
        <v>1251</v>
      </c>
      <c r="J1850" s="321" t="s">
        <v>1193</v>
      </c>
      <c r="K1850" s="279" t="b">
        <v>0</v>
      </c>
      <c r="L1850" s="279" t="b">
        <v>1</v>
      </c>
    </row>
    <row r="1851" ht="14.25" hidden="1" customHeight="1" outlineLevel="1">
      <c r="A1851" s="344">
        <v>46235.0</v>
      </c>
      <c r="B1851" s="132">
        <v>46257.0</v>
      </c>
      <c r="C1851" s="41" t="s">
        <v>61</v>
      </c>
      <c r="D1851" s="182">
        <v>1.0</v>
      </c>
      <c r="E1851" s="316">
        <v>200.0</v>
      </c>
      <c r="F1851" s="316">
        <v>200.0</v>
      </c>
      <c r="G1851" s="316">
        <v>200.0</v>
      </c>
      <c r="H1851" s="317" t="b">
        <v>1</v>
      </c>
      <c r="I1851" s="318" t="s">
        <v>820</v>
      </c>
      <c r="J1851" s="321" t="s">
        <v>1195</v>
      </c>
      <c r="K1851" s="279" t="b">
        <v>0</v>
      </c>
      <c r="L1851" s="279" t="b">
        <v>1</v>
      </c>
    </row>
    <row r="1852" ht="14.25" hidden="1" customHeight="1" outlineLevel="1">
      <c r="A1852" s="344">
        <v>46235.0</v>
      </c>
      <c r="B1852" s="132">
        <v>46258.0</v>
      </c>
      <c r="C1852" s="41" t="s">
        <v>61</v>
      </c>
      <c r="D1852" s="182">
        <v>1.0</v>
      </c>
      <c r="E1852" s="183">
        <v>150.0</v>
      </c>
      <c r="F1852" s="183">
        <v>150.0</v>
      </c>
      <c r="G1852" s="183">
        <v>150.0</v>
      </c>
      <c r="H1852" s="279" t="b">
        <v>1</v>
      </c>
      <c r="I1852" s="143" t="s">
        <v>1327</v>
      </c>
      <c r="J1852" s="41" t="s">
        <v>1993</v>
      </c>
      <c r="K1852" s="279" t="b">
        <v>0</v>
      </c>
      <c r="L1852" s="279" t="b">
        <v>1</v>
      </c>
    </row>
    <row r="1853" ht="14.25" hidden="1" customHeight="1" outlineLevel="1">
      <c r="A1853" s="344">
        <v>46235.0</v>
      </c>
      <c r="B1853" s="132">
        <v>46259.0</v>
      </c>
      <c r="C1853" s="41" t="s">
        <v>61</v>
      </c>
      <c r="D1853" s="182">
        <v>1.0</v>
      </c>
      <c r="E1853" s="183">
        <v>150.0</v>
      </c>
      <c r="F1853" s="183">
        <v>150.0</v>
      </c>
      <c r="G1853" s="183">
        <v>150.0</v>
      </c>
      <c r="H1853" s="279" t="b">
        <v>1</v>
      </c>
      <c r="I1853" s="143" t="s">
        <v>296</v>
      </c>
      <c r="J1853" s="41" t="s">
        <v>1772</v>
      </c>
      <c r="K1853" s="279" t="b">
        <v>0</v>
      </c>
      <c r="L1853" s="279" t="b">
        <v>1</v>
      </c>
    </row>
    <row r="1854" ht="14.25" hidden="1" customHeight="1" outlineLevel="1">
      <c r="A1854" s="344">
        <v>46235.0</v>
      </c>
      <c r="B1854" s="132">
        <v>46260.0</v>
      </c>
      <c r="C1854" s="41" t="s">
        <v>97</v>
      </c>
      <c r="D1854" s="539">
        <v>2.0</v>
      </c>
      <c r="E1854" s="540">
        <v>13.79</v>
      </c>
      <c r="F1854" s="548">
        <f t="shared" ref="F1854:F1855" si="327">D1854*E1854</f>
        <v>27.58</v>
      </c>
      <c r="G1854" s="551">
        <f>SUM(F1854:F1855)</f>
        <v>42.57</v>
      </c>
      <c r="H1854" s="278" t="b">
        <v>0</v>
      </c>
      <c r="I1854" s="164" t="s">
        <v>86</v>
      </c>
      <c r="J1854" s="42" t="s">
        <v>2009</v>
      </c>
      <c r="K1854" s="278" t="b">
        <v>1</v>
      </c>
      <c r="L1854" s="278" t="b">
        <v>1</v>
      </c>
    </row>
    <row r="1855" ht="14.25" hidden="1" customHeight="1" outlineLevel="1">
      <c r="A1855" s="344">
        <v>46235.0</v>
      </c>
      <c r="B1855" s="132">
        <v>46260.0</v>
      </c>
      <c r="C1855" s="41" t="s">
        <v>58</v>
      </c>
      <c r="D1855" s="539">
        <v>1.0</v>
      </c>
      <c r="E1855" s="540">
        <v>14.99</v>
      </c>
      <c r="F1855" s="548">
        <f t="shared" si="327"/>
        <v>14.99</v>
      </c>
      <c r="G1855" s="10"/>
      <c r="H1855" s="10"/>
      <c r="I1855" s="74"/>
      <c r="J1855" s="42" t="s">
        <v>1941</v>
      </c>
      <c r="K1855" s="10"/>
      <c r="L1855" s="10"/>
    </row>
    <row r="1856" ht="14.25" hidden="1" customHeight="1" outlineLevel="1">
      <c r="A1856" s="344">
        <v>46235.0</v>
      </c>
      <c r="B1856" s="132">
        <v>46261.0</v>
      </c>
      <c r="C1856" s="41" t="s">
        <v>61</v>
      </c>
      <c r="D1856" s="182">
        <v>1.0</v>
      </c>
      <c r="E1856" s="183">
        <v>150.0</v>
      </c>
      <c r="F1856" s="183">
        <v>150.0</v>
      </c>
      <c r="G1856" s="183">
        <v>150.0</v>
      </c>
      <c r="H1856" s="279" t="b">
        <v>1</v>
      </c>
      <c r="I1856" s="143" t="s">
        <v>980</v>
      </c>
      <c r="J1856" s="41" t="s">
        <v>1990</v>
      </c>
      <c r="K1856" s="279" t="b">
        <v>0</v>
      </c>
      <c r="L1856" s="279" t="b">
        <v>1</v>
      </c>
    </row>
    <row r="1857" ht="14.25" hidden="1" customHeight="1" outlineLevel="1">
      <c r="A1857" s="344">
        <v>46235.0</v>
      </c>
      <c r="B1857" s="132">
        <v>46262.0</v>
      </c>
      <c r="C1857" s="41" t="s">
        <v>61</v>
      </c>
      <c r="D1857" s="182">
        <v>1.0</v>
      </c>
      <c r="E1857" s="183">
        <v>150.0</v>
      </c>
      <c r="F1857" s="183">
        <v>150.0</v>
      </c>
      <c r="G1857" s="183">
        <v>150.0</v>
      </c>
      <c r="H1857" s="279" t="b">
        <v>1</v>
      </c>
      <c r="I1857" s="143" t="s">
        <v>296</v>
      </c>
      <c r="J1857" s="41" t="s">
        <v>1991</v>
      </c>
      <c r="K1857" s="279" t="b">
        <v>0</v>
      </c>
      <c r="L1857" s="279" t="b">
        <v>1</v>
      </c>
    </row>
    <row r="1858" ht="14.25" hidden="1" customHeight="1" outlineLevel="1">
      <c r="A1858" s="344">
        <v>46235.0</v>
      </c>
      <c r="B1858" s="132">
        <v>46264.0</v>
      </c>
      <c r="C1858" s="41" t="s">
        <v>61</v>
      </c>
      <c r="D1858" s="182">
        <v>1.0</v>
      </c>
      <c r="E1858" s="316">
        <v>200.0</v>
      </c>
      <c r="F1858" s="316">
        <v>200.0</v>
      </c>
      <c r="G1858" s="316">
        <v>200.0</v>
      </c>
      <c r="H1858" s="317" t="b">
        <v>1</v>
      </c>
      <c r="I1858" s="318" t="s">
        <v>490</v>
      </c>
      <c r="J1858" s="321" t="s">
        <v>1192</v>
      </c>
      <c r="K1858" s="279" t="b">
        <v>0</v>
      </c>
      <c r="L1858" s="279" t="b">
        <v>1</v>
      </c>
    </row>
    <row r="1859" ht="14.25" hidden="1" customHeight="1" outlineLevel="1">
      <c r="A1859" s="344">
        <v>46235.0</v>
      </c>
      <c r="B1859" s="132">
        <v>46264.0</v>
      </c>
      <c r="C1859" s="41" t="s">
        <v>61</v>
      </c>
      <c r="D1859" s="182">
        <v>1.0</v>
      </c>
      <c r="E1859" s="316">
        <v>200.0</v>
      </c>
      <c r="F1859" s="316">
        <v>200.0</v>
      </c>
      <c r="G1859" s="316">
        <v>200.0</v>
      </c>
      <c r="H1859" s="317" t="b">
        <v>1</v>
      </c>
      <c r="I1859" s="318" t="s">
        <v>1251</v>
      </c>
      <c r="J1859" s="321" t="s">
        <v>1193</v>
      </c>
      <c r="K1859" s="279" t="b">
        <v>0</v>
      </c>
      <c r="L1859" s="279" t="b">
        <v>1</v>
      </c>
    </row>
    <row r="1860" ht="14.25" hidden="1" customHeight="1" outlineLevel="1">
      <c r="A1860" s="344">
        <v>46235.0</v>
      </c>
      <c r="B1860" s="132">
        <v>46264.0</v>
      </c>
      <c r="C1860" s="41" t="s">
        <v>61</v>
      </c>
      <c r="D1860" s="182">
        <v>1.0</v>
      </c>
      <c r="E1860" s="316">
        <v>200.0</v>
      </c>
      <c r="F1860" s="316">
        <v>200.0</v>
      </c>
      <c r="G1860" s="316">
        <v>200.0</v>
      </c>
      <c r="H1860" s="317" t="b">
        <v>1</v>
      </c>
      <c r="I1860" s="318" t="s">
        <v>820</v>
      </c>
      <c r="J1860" s="321" t="s">
        <v>1195</v>
      </c>
      <c r="K1860" s="279" t="b">
        <v>0</v>
      </c>
      <c r="L1860" s="279" t="b">
        <v>1</v>
      </c>
    </row>
    <row r="1861" ht="14.25" hidden="1" customHeight="1" outlineLevel="1">
      <c r="A1861" s="344">
        <v>46235.0</v>
      </c>
      <c r="B1861" s="132">
        <v>46264.0</v>
      </c>
      <c r="C1861" s="41" t="s">
        <v>97</v>
      </c>
      <c r="D1861" s="539">
        <v>1.0</v>
      </c>
      <c r="E1861" s="540">
        <v>25.0</v>
      </c>
      <c r="F1861" s="540">
        <v>25.0</v>
      </c>
      <c r="G1861" s="540">
        <v>25.0</v>
      </c>
      <c r="H1861" s="279" t="b">
        <v>0</v>
      </c>
      <c r="I1861" s="143" t="s">
        <v>1984</v>
      </c>
      <c r="J1861" s="143" t="s">
        <v>1984</v>
      </c>
      <c r="K1861" s="279" t="b">
        <v>0</v>
      </c>
      <c r="L1861" s="279" t="b">
        <v>1</v>
      </c>
    </row>
    <row r="1862" ht="14.25" hidden="1" customHeight="1" outlineLevel="1">
      <c r="A1862" s="344">
        <v>46235.0</v>
      </c>
      <c r="B1862" s="132">
        <v>46265.0</v>
      </c>
      <c r="C1862" s="41" t="s">
        <v>61</v>
      </c>
      <c r="D1862" s="182">
        <v>1.0</v>
      </c>
      <c r="E1862" s="183">
        <v>150.0</v>
      </c>
      <c r="F1862" s="183">
        <v>150.0</v>
      </c>
      <c r="G1862" s="183">
        <v>150.0</v>
      </c>
      <c r="H1862" s="279" t="b">
        <v>1</v>
      </c>
      <c r="I1862" s="143" t="s">
        <v>1327</v>
      </c>
      <c r="J1862" s="41" t="s">
        <v>1993</v>
      </c>
      <c r="K1862" s="279" t="b">
        <v>0</v>
      </c>
      <c r="L1862" s="279" t="b">
        <v>1</v>
      </c>
    </row>
    <row r="1863" ht="14.25" hidden="1" customHeight="1" outlineLevel="1">
      <c r="A1863" s="344">
        <v>46235.0</v>
      </c>
      <c r="B1863" s="132">
        <v>46265.0</v>
      </c>
      <c r="C1863" s="41" t="s">
        <v>61</v>
      </c>
      <c r="D1863" s="182">
        <v>1.0</v>
      </c>
      <c r="E1863" s="183">
        <v>3300.0</v>
      </c>
      <c r="F1863" s="183">
        <f t="shared" ref="F1863:G1863" si="328">E1863</f>
        <v>3300</v>
      </c>
      <c r="G1863" s="183">
        <f t="shared" si="328"/>
        <v>3300</v>
      </c>
      <c r="H1863" s="279" t="b">
        <v>1</v>
      </c>
      <c r="I1863" s="143" t="s">
        <v>119</v>
      </c>
      <c r="J1863" s="41" t="s">
        <v>2010</v>
      </c>
      <c r="K1863" s="279" t="b">
        <v>0</v>
      </c>
      <c r="L1863" s="279" t="b">
        <v>1</v>
      </c>
    </row>
    <row r="1864" ht="14.25" hidden="1" customHeight="1" outlineLevel="1">
      <c r="A1864" s="344">
        <v>46235.0</v>
      </c>
      <c r="B1864" s="132">
        <v>46265.0</v>
      </c>
      <c r="C1864" s="41" t="s">
        <v>61</v>
      </c>
      <c r="D1864" s="182">
        <v>1.0</v>
      </c>
      <c r="E1864" s="183">
        <v>2700.0</v>
      </c>
      <c r="F1864" s="183">
        <f t="shared" ref="F1864:G1864" si="329">E1864</f>
        <v>2700</v>
      </c>
      <c r="G1864" s="183">
        <f t="shared" si="329"/>
        <v>2700</v>
      </c>
      <c r="H1864" s="279" t="b">
        <v>1</v>
      </c>
      <c r="I1864" s="143" t="s">
        <v>1900</v>
      </c>
      <c r="J1864" s="41" t="s">
        <v>2010</v>
      </c>
      <c r="K1864" s="279" t="b">
        <v>1</v>
      </c>
      <c r="L1864" s="279" t="b">
        <v>1</v>
      </c>
    </row>
    <row r="1865" ht="14.25" hidden="1" customHeight="1" outlineLevel="1">
      <c r="A1865" s="344">
        <v>46235.0</v>
      </c>
      <c r="B1865" s="132">
        <v>46265.0</v>
      </c>
      <c r="C1865" s="41" t="s">
        <v>93</v>
      </c>
      <c r="D1865" s="544">
        <v>1.0</v>
      </c>
      <c r="E1865" s="545">
        <v>278.4</v>
      </c>
      <c r="F1865" s="545">
        <v>278.4</v>
      </c>
      <c r="G1865" s="545">
        <v>278.4</v>
      </c>
      <c r="H1865" s="279" t="b">
        <v>0</v>
      </c>
      <c r="I1865" s="143" t="s">
        <v>1989</v>
      </c>
      <c r="J1865" s="42" t="s">
        <v>1957</v>
      </c>
      <c r="K1865" s="279" t="b">
        <v>1</v>
      </c>
      <c r="L1865" s="279" t="b">
        <v>1</v>
      </c>
    </row>
    <row r="1866" ht="14.25" hidden="1" customHeight="1" outlineLevel="1">
      <c r="A1866" s="344">
        <v>46235.0</v>
      </c>
      <c r="B1866" s="132">
        <v>46265.0</v>
      </c>
      <c r="C1866" s="41" t="s">
        <v>75</v>
      </c>
      <c r="D1866" s="539">
        <v>12.0</v>
      </c>
      <c r="E1866" s="540">
        <v>35.0</v>
      </c>
      <c r="F1866" s="540">
        <f t="shared" ref="F1866:F1867" si="330">D1866*E1866</f>
        <v>420</v>
      </c>
      <c r="G1866" s="540">
        <f t="shared" ref="G1866:G1867" si="331">F1866</f>
        <v>420</v>
      </c>
      <c r="H1866" s="279" t="b">
        <v>0</v>
      </c>
      <c r="I1866" s="143" t="s">
        <v>2011</v>
      </c>
      <c r="J1866" s="42" t="s">
        <v>2012</v>
      </c>
      <c r="K1866" s="279" t="b">
        <v>1</v>
      </c>
      <c r="L1866" s="279" t="b">
        <v>1</v>
      </c>
    </row>
    <row r="1867" ht="14.25" hidden="1" customHeight="1" outlineLevel="1">
      <c r="A1867" s="344">
        <v>46235.0</v>
      </c>
      <c r="B1867" s="132">
        <v>46265.0</v>
      </c>
      <c r="C1867" s="41" t="s">
        <v>97</v>
      </c>
      <c r="D1867" s="539">
        <v>1.0</v>
      </c>
      <c r="E1867" s="540">
        <v>16.0</v>
      </c>
      <c r="F1867" s="540">
        <f t="shared" si="330"/>
        <v>16</v>
      </c>
      <c r="G1867" s="548">
        <f t="shared" si="331"/>
        <v>16</v>
      </c>
      <c r="H1867" s="279" t="b">
        <v>0</v>
      </c>
      <c r="I1867" s="143" t="s">
        <v>2011</v>
      </c>
      <c r="J1867" s="42" t="s">
        <v>2013</v>
      </c>
      <c r="K1867" s="279" t="b">
        <v>0</v>
      </c>
      <c r="L1867" s="279" t="b">
        <v>1</v>
      </c>
    </row>
    <row r="1868" ht="14.25" customHeight="1">
      <c r="A1868" s="180" t="s">
        <v>192</v>
      </c>
      <c r="B1868" s="27"/>
      <c r="C1868" s="27"/>
      <c r="D1868" s="27"/>
      <c r="E1868" s="28"/>
      <c r="F1868" s="181">
        <f t="shared" ref="F1868:G1868" si="332">SUM(F1807:F1867)</f>
        <v>13909.31</v>
      </c>
      <c r="G1868" s="181">
        <f t="shared" si="332"/>
        <v>13909.31</v>
      </c>
    </row>
    <row r="1869" ht="14.25" customHeight="1" collapsed="1">
      <c r="A1869" s="245" t="s">
        <v>1812</v>
      </c>
      <c r="B1869" s="246"/>
      <c r="C1869" s="246"/>
      <c r="D1869" s="246"/>
      <c r="E1869" s="246"/>
      <c r="F1869" s="246"/>
      <c r="G1869" s="246"/>
      <c r="H1869" s="246"/>
      <c r="I1869" s="246"/>
      <c r="J1869" s="247"/>
    </row>
    <row r="1870" ht="14.25" hidden="1" customHeight="1" outlineLevel="1">
      <c r="A1870" s="344">
        <v>46266.0</v>
      </c>
      <c r="B1870" s="132">
        <v>46266.0</v>
      </c>
      <c r="C1870" s="41" t="s">
        <v>61</v>
      </c>
      <c r="D1870" s="182">
        <v>1.0</v>
      </c>
      <c r="E1870" s="183">
        <v>150.0</v>
      </c>
      <c r="F1870" s="183">
        <v>150.0</v>
      </c>
      <c r="G1870" s="183">
        <v>150.0</v>
      </c>
      <c r="H1870" s="279" t="b">
        <v>1</v>
      </c>
      <c r="I1870" s="143" t="s">
        <v>296</v>
      </c>
      <c r="J1870" s="41" t="s">
        <v>1772</v>
      </c>
      <c r="K1870" s="279" t="b">
        <v>0</v>
      </c>
      <c r="L1870" s="279" t="b">
        <v>1</v>
      </c>
    </row>
    <row r="1871" ht="14.25" hidden="1" customHeight="1" outlineLevel="1">
      <c r="A1871" s="344">
        <v>46266.0</v>
      </c>
      <c r="B1871" s="132">
        <v>46267.0</v>
      </c>
      <c r="C1871" s="41" t="s">
        <v>61</v>
      </c>
      <c r="D1871" s="182">
        <v>1.0</v>
      </c>
      <c r="E1871" s="183">
        <v>150.0</v>
      </c>
      <c r="F1871" s="183">
        <v>150.0</v>
      </c>
      <c r="G1871" s="183">
        <v>150.0</v>
      </c>
      <c r="H1871" s="279" t="b">
        <v>1</v>
      </c>
      <c r="I1871" s="143" t="s">
        <v>1489</v>
      </c>
      <c r="J1871" s="41" t="s">
        <v>2014</v>
      </c>
      <c r="K1871" s="279" t="b">
        <v>0</v>
      </c>
      <c r="L1871" s="279" t="b">
        <v>1</v>
      </c>
    </row>
    <row r="1872" ht="14.25" hidden="1" customHeight="1" outlineLevel="1">
      <c r="A1872" s="344">
        <v>46266.0</v>
      </c>
      <c r="B1872" s="132">
        <v>46267.0</v>
      </c>
      <c r="C1872" s="41" t="s">
        <v>75</v>
      </c>
      <c r="D1872" s="182">
        <v>7.0</v>
      </c>
      <c r="E1872" s="183">
        <v>40.0</v>
      </c>
      <c r="F1872" s="183">
        <f t="shared" ref="F1872:F1873" si="333">D1872*E1872</f>
        <v>280</v>
      </c>
      <c r="G1872" s="196">
        <f>SUM(F1872:F1873)</f>
        <v>320</v>
      </c>
      <c r="H1872" s="278" t="b">
        <v>0</v>
      </c>
      <c r="I1872" s="164" t="s">
        <v>76</v>
      </c>
      <c r="J1872" s="41" t="s">
        <v>1954</v>
      </c>
      <c r="K1872" s="279" t="b">
        <v>0</v>
      </c>
      <c r="L1872" s="279" t="b">
        <v>1</v>
      </c>
    </row>
    <row r="1873" ht="14.25" hidden="1" customHeight="1" outlineLevel="1">
      <c r="A1873" s="344">
        <v>46266.0</v>
      </c>
      <c r="B1873" s="132">
        <v>46267.0</v>
      </c>
      <c r="C1873" s="41" t="s">
        <v>75</v>
      </c>
      <c r="D1873" s="539">
        <v>1.0</v>
      </c>
      <c r="E1873" s="540">
        <v>40.0</v>
      </c>
      <c r="F1873" s="183">
        <f t="shared" si="333"/>
        <v>40</v>
      </c>
      <c r="G1873" s="10"/>
      <c r="H1873" s="10"/>
      <c r="I1873" s="74"/>
      <c r="J1873" s="42" t="s">
        <v>2015</v>
      </c>
      <c r="K1873" s="279" t="b">
        <v>0</v>
      </c>
      <c r="L1873" s="279" t="b">
        <v>0</v>
      </c>
    </row>
    <row r="1874" ht="14.25" hidden="1" customHeight="1" outlineLevel="1">
      <c r="A1874" s="344">
        <v>46266.0</v>
      </c>
      <c r="B1874" s="132">
        <v>46268.0</v>
      </c>
      <c r="C1874" s="41" t="s">
        <v>61</v>
      </c>
      <c r="D1874" s="182">
        <v>1.0</v>
      </c>
      <c r="E1874" s="183">
        <v>150.0</v>
      </c>
      <c r="F1874" s="183">
        <v>150.0</v>
      </c>
      <c r="G1874" s="183">
        <v>150.0</v>
      </c>
      <c r="H1874" s="279" t="b">
        <v>1</v>
      </c>
      <c r="I1874" s="143" t="s">
        <v>980</v>
      </c>
      <c r="J1874" s="41" t="s">
        <v>1990</v>
      </c>
      <c r="K1874" s="279" t="b">
        <v>0</v>
      </c>
      <c r="L1874" s="279" t="b">
        <v>1</v>
      </c>
    </row>
    <row r="1875" ht="14.25" hidden="1" customHeight="1" outlineLevel="1">
      <c r="A1875" s="344">
        <v>46266.0</v>
      </c>
      <c r="B1875" s="132">
        <v>46269.0</v>
      </c>
      <c r="C1875" s="41" t="s">
        <v>61</v>
      </c>
      <c r="D1875" s="182">
        <v>1.0</v>
      </c>
      <c r="E1875" s="183">
        <v>150.0</v>
      </c>
      <c r="F1875" s="183">
        <v>150.0</v>
      </c>
      <c r="G1875" s="183">
        <v>150.0</v>
      </c>
      <c r="H1875" s="279" t="b">
        <v>1</v>
      </c>
      <c r="I1875" s="143" t="s">
        <v>296</v>
      </c>
      <c r="J1875" s="41" t="s">
        <v>2016</v>
      </c>
      <c r="K1875" s="279" t="b">
        <v>0</v>
      </c>
      <c r="L1875" s="279" t="b">
        <v>1</v>
      </c>
    </row>
    <row r="1876" ht="14.25" hidden="1" customHeight="1" outlineLevel="1">
      <c r="A1876" s="344">
        <v>46266.0</v>
      </c>
      <c r="B1876" s="132">
        <v>46269.0</v>
      </c>
      <c r="C1876" s="41" t="s">
        <v>80</v>
      </c>
      <c r="D1876" s="539">
        <v>3.0</v>
      </c>
      <c r="E1876" s="540">
        <v>17.0</v>
      </c>
      <c r="F1876" s="183">
        <f>D1876*E1876</f>
        <v>51</v>
      </c>
      <c r="G1876" s="548">
        <f>F1876</f>
        <v>51</v>
      </c>
      <c r="H1876" s="279" t="b">
        <v>0</v>
      </c>
      <c r="I1876" s="143" t="s">
        <v>2017</v>
      </c>
      <c r="J1876" s="42" t="s">
        <v>1483</v>
      </c>
      <c r="K1876" s="279" t="b">
        <v>1</v>
      </c>
      <c r="L1876" s="279" t="b">
        <v>1</v>
      </c>
    </row>
    <row r="1877" ht="14.25" hidden="1" customHeight="1" outlineLevel="1">
      <c r="A1877" s="344">
        <v>46266.0</v>
      </c>
      <c r="B1877" s="132">
        <v>46270.0</v>
      </c>
      <c r="C1877" s="41" t="s">
        <v>61</v>
      </c>
      <c r="D1877" s="182">
        <v>1.0</v>
      </c>
      <c r="E1877" s="183">
        <v>150.0</v>
      </c>
      <c r="F1877" s="183">
        <v>150.0</v>
      </c>
      <c r="G1877" s="183">
        <v>150.0</v>
      </c>
      <c r="H1877" s="279" t="b">
        <v>1</v>
      </c>
      <c r="I1877" s="143" t="s">
        <v>1251</v>
      </c>
      <c r="J1877" s="41" t="s">
        <v>1884</v>
      </c>
      <c r="K1877" s="279" t="b">
        <v>0</v>
      </c>
      <c r="L1877" s="279" t="b">
        <v>1</v>
      </c>
    </row>
    <row r="1878" ht="14.25" hidden="1" customHeight="1" outlineLevel="1">
      <c r="A1878" s="344">
        <v>46266.0</v>
      </c>
      <c r="B1878" s="132">
        <v>46271.0</v>
      </c>
      <c r="C1878" s="41" t="s">
        <v>61</v>
      </c>
      <c r="D1878" s="182">
        <v>1.0</v>
      </c>
      <c r="E1878" s="316">
        <v>200.0</v>
      </c>
      <c r="F1878" s="316">
        <v>200.0</v>
      </c>
      <c r="G1878" s="316">
        <v>200.0</v>
      </c>
      <c r="H1878" s="317" t="b">
        <v>1</v>
      </c>
      <c r="I1878" s="318" t="s">
        <v>490</v>
      </c>
      <c r="J1878" s="321" t="s">
        <v>1192</v>
      </c>
      <c r="K1878" s="279" t="b">
        <v>0</v>
      </c>
      <c r="L1878" s="279" t="b">
        <v>1</v>
      </c>
    </row>
    <row r="1879" ht="14.25" hidden="1" customHeight="1" outlineLevel="1">
      <c r="A1879" s="344">
        <v>46266.0</v>
      </c>
      <c r="B1879" s="132">
        <v>46271.0</v>
      </c>
      <c r="C1879" s="41" t="s">
        <v>61</v>
      </c>
      <c r="D1879" s="182">
        <v>1.0</v>
      </c>
      <c r="E1879" s="316">
        <v>200.0</v>
      </c>
      <c r="F1879" s="316">
        <v>200.0</v>
      </c>
      <c r="G1879" s="316">
        <v>200.0</v>
      </c>
      <c r="H1879" s="317" t="b">
        <v>1</v>
      </c>
      <c r="I1879" s="143" t="s">
        <v>1251</v>
      </c>
      <c r="J1879" s="321" t="s">
        <v>1193</v>
      </c>
      <c r="K1879" s="279" t="b">
        <v>0</v>
      </c>
      <c r="L1879" s="279" t="b">
        <v>1</v>
      </c>
    </row>
    <row r="1880" ht="14.25" hidden="1" customHeight="1" outlineLevel="1">
      <c r="A1880" s="344">
        <v>46266.0</v>
      </c>
      <c r="B1880" s="132">
        <v>46271.0</v>
      </c>
      <c r="C1880" s="41" t="s">
        <v>61</v>
      </c>
      <c r="D1880" s="182">
        <v>1.0</v>
      </c>
      <c r="E1880" s="316">
        <v>200.0</v>
      </c>
      <c r="F1880" s="316">
        <v>200.0</v>
      </c>
      <c r="G1880" s="316">
        <v>200.0</v>
      </c>
      <c r="H1880" s="317" t="b">
        <v>1</v>
      </c>
      <c r="I1880" s="318" t="s">
        <v>820</v>
      </c>
      <c r="J1880" s="321" t="s">
        <v>1195</v>
      </c>
      <c r="K1880" s="279" t="b">
        <v>0</v>
      </c>
      <c r="L1880" s="279" t="b">
        <v>1</v>
      </c>
    </row>
    <row r="1881" ht="14.25" hidden="1" customHeight="1" outlineLevel="1">
      <c r="A1881" s="344">
        <v>46266.0</v>
      </c>
      <c r="B1881" s="132">
        <v>46272.0</v>
      </c>
      <c r="C1881" s="41" t="s">
        <v>61</v>
      </c>
      <c r="D1881" s="182">
        <v>1.0</v>
      </c>
      <c r="E1881" s="183">
        <v>150.0</v>
      </c>
      <c r="F1881" s="183">
        <v>150.0</v>
      </c>
      <c r="G1881" s="183">
        <v>150.0</v>
      </c>
      <c r="H1881" s="279" t="b">
        <v>1</v>
      </c>
      <c r="I1881" s="143" t="s">
        <v>1327</v>
      </c>
      <c r="J1881" s="41" t="s">
        <v>1691</v>
      </c>
      <c r="K1881" s="279" t="b">
        <v>0</v>
      </c>
      <c r="L1881" s="279" t="b">
        <v>1</v>
      </c>
    </row>
    <row r="1882" ht="14.25" hidden="1" customHeight="1" outlineLevel="1">
      <c r="A1882" s="344">
        <v>46266.0</v>
      </c>
      <c r="B1882" s="132">
        <v>46273.0</v>
      </c>
      <c r="C1882" s="41" t="s">
        <v>61</v>
      </c>
      <c r="D1882" s="182">
        <v>1.0</v>
      </c>
      <c r="E1882" s="183">
        <v>150.0</v>
      </c>
      <c r="F1882" s="183">
        <v>150.0</v>
      </c>
      <c r="G1882" s="183">
        <v>150.0</v>
      </c>
      <c r="H1882" s="279" t="b">
        <v>1</v>
      </c>
      <c r="I1882" s="143" t="s">
        <v>296</v>
      </c>
      <c r="J1882" s="41" t="s">
        <v>1817</v>
      </c>
      <c r="K1882" s="279" t="b">
        <v>0</v>
      </c>
      <c r="L1882" s="279" t="b">
        <v>1</v>
      </c>
    </row>
    <row r="1883" ht="14.25" hidden="1" customHeight="1" outlineLevel="1">
      <c r="A1883" s="344">
        <v>46266.0</v>
      </c>
      <c r="B1883" s="132">
        <v>46274.0</v>
      </c>
      <c r="C1883" s="41" t="s">
        <v>61</v>
      </c>
      <c r="D1883" s="182">
        <v>1.0</v>
      </c>
      <c r="E1883" s="183">
        <v>150.0</v>
      </c>
      <c r="F1883" s="183">
        <v>150.0</v>
      </c>
      <c r="G1883" s="183">
        <v>150.0</v>
      </c>
      <c r="H1883" s="279" t="b">
        <v>1</v>
      </c>
      <c r="I1883" s="143" t="s">
        <v>1489</v>
      </c>
      <c r="J1883" s="41" t="s">
        <v>2014</v>
      </c>
      <c r="K1883" s="279" t="b">
        <v>0</v>
      </c>
      <c r="L1883" s="279" t="b">
        <v>1</v>
      </c>
    </row>
    <row r="1884" ht="14.25" hidden="1" customHeight="1" outlineLevel="1">
      <c r="A1884" s="344">
        <v>46266.0</v>
      </c>
      <c r="B1884" s="132">
        <v>46275.0</v>
      </c>
      <c r="C1884" s="41" t="s">
        <v>61</v>
      </c>
      <c r="D1884" s="182">
        <v>1.0</v>
      </c>
      <c r="E1884" s="183">
        <v>150.0</v>
      </c>
      <c r="F1884" s="183">
        <v>150.0</v>
      </c>
      <c r="G1884" s="183">
        <v>150.0</v>
      </c>
      <c r="H1884" s="279" t="b">
        <v>1</v>
      </c>
      <c r="I1884" s="143" t="s">
        <v>980</v>
      </c>
      <c r="J1884" s="41" t="s">
        <v>1990</v>
      </c>
      <c r="K1884" s="279" t="b">
        <v>0</v>
      </c>
      <c r="L1884" s="279" t="b">
        <v>1</v>
      </c>
    </row>
    <row r="1885" ht="14.25" hidden="1" customHeight="1" outlineLevel="1">
      <c r="A1885" s="344">
        <v>46266.0</v>
      </c>
      <c r="B1885" s="132">
        <v>46276.0</v>
      </c>
      <c r="C1885" s="41" t="s">
        <v>61</v>
      </c>
      <c r="D1885" s="182">
        <v>1.0</v>
      </c>
      <c r="E1885" s="183">
        <v>150.0</v>
      </c>
      <c r="F1885" s="183">
        <v>150.0</v>
      </c>
      <c r="G1885" s="183">
        <v>150.0</v>
      </c>
      <c r="H1885" s="279" t="b">
        <v>1</v>
      </c>
      <c r="I1885" s="143" t="s">
        <v>296</v>
      </c>
      <c r="J1885" s="41" t="s">
        <v>2016</v>
      </c>
      <c r="K1885" s="279" t="b">
        <v>0</v>
      </c>
      <c r="L1885" s="279" t="b">
        <v>1</v>
      </c>
    </row>
    <row r="1886" ht="14.25" hidden="1" customHeight="1" outlineLevel="1">
      <c r="A1886" s="344">
        <v>46266.0</v>
      </c>
      <c r="B1886" s="132">
        <v>46278.0</v>
      </c>
      <c r="C1886" s="41" t="s">
        <v>61</v>
      </c>
      <c r="D1886" s="182">
        <v>1.0</v>
      </c>
      <c r="E1886" s="316">
        <v>200.0</v>
      </c>
      <c r="F1886" s="316">
        <v>200.0</v>
      </c>
      <c r="G1886" s="316">
        <v>200.0</v>
      </c>
      <c r="H1886" s="317" t="b">
        <v>1</v>
      </c>
      <c r="I1886" s="318" t="s">
        <v>1605</v>
      </c>
      <c r="J1886" s="321" t="s">
        <v>1192</v>
      </c>
      <c r="K1886" s="279" t="b">
        <v>0</v>
      </c>
      <c r="L1886" s="279" t="b">
        <v>1</v>
      </c>
    </row>
    <row r="1887" ht="14.25" hidden="1" customHeight="1" outlineLevel="1">
      <c r="A1887" s="344">
        <v>46266.0</v>
      </c>
      <c r="B1887" s="132">
        <v>46278.0</v>
      </c>
      <c r="C1887" s="41" t="s">
        <v>61</v>
      </c>
      <c r="D1887" s="182">
        <v>1.0</v>
      </c>
      <c r="E1887" s="316">
        <v>200.0</v>
      </c>
      <c r="F1887" s="316">
        <v>200.0</v>
      </c>
      <c r="G1887" s="316">
        <v>200.0</v>
      </c>
      <c r="H1887" s="317" t="b">
        <v>1</v>
      </c>
      <c r="I1887" s="143" t="s">
        <v>1706</v>
      </c>
      <c r="J1887" s="321" t="s">
        <v>1193</v>
      </c>
      <c r="K1887" s="279" t="b">
        <v>0</v>
      </c>
      <c r="L1887" s="279" t="b">
        <v>1</v>
      </c>
    </row>
    <row r="1888" ht="14.25" hidden="1" customHeight="1" outlineLevel="1">
      <c r="A1888" s="344">
        <v>46266.0</v>
      </c>
      <c r="B1888" s="132">
        <v>46278.0</v>
      </c>
      <c r="C1888" s="41" t="s">
        <v>61</v>
      </c>
      <c r="D1888" s="182">
        <v>1.0</v>
      </c>
      <c r="E1888" s="316">
        <v>200.0</v>
      </c>
      <c r="F1888" s="316">
        <v>200.0</v>
      </c>
      <c r="G1888" s="316">
        <v>200.0</v>
      </c>
      <c r="H1888" s="317" t="b">
        <v>1</v>
      </c>
      <c r="I1888" s="318" t="s">
        <v>820</v>
      </c>
      <c r="J1888" s="321" t="s">
        <v>1195</v>
      </c>
      <c r="K1888" s="279" t="b">
        <v>0</v>
      </c>
      <c r="L1888" s="279" t="b">
        <v>1</v>
      </c>
    </row>
    <row r="1889" ht="14.25" hidden="1" customHeight="1" outlineLevel="1">
      <c r="A1889" s="344">
        <v>46266.0</v>
      </c>
      <c r="B1889" s="132">
        <v>46279.0</v>
      </c>
      <c r="C1889" s="41" t="s">
        <v>61</v>
      </c>
      <c r="D1889" s="182">
        <v>1.0</v>
      </c>
      <c r="E1889" s="183">
        <v>150.0</v>
      </c>
      <c r="F1889" s="183">
        <v>150.0</v>
      </c>
      <c r="G1889" s="183">
        <v>150.0</v>
      </c>
      <c r="H1889" s="279" t="b">
        <v>1</v>
      </c>
      <c r="I1889" s="143" t="s">
        <v>1327</v>
      </c>
      <c r="J1889" s="41" t="s">
        <v>1691</v>
      </c>
      <c r="K1889" s="279" t="b">
        <v>0</v>
      </c>
      <c r="L1889" s="279" t="b">
        <v>1</v>
      </c>
    </row>
    <row r="1890" ht="14.25" hidden="1" customHeight="1" outlineLevel="1">
      <c r="A1890" s="344">
        <v>46266.0</v>
      </c>
      <c r="B1890" s="132">
        <v>46279.0</v>
      </c>
      <c r="C1890" s="41" t="s">
        <v>61</v>
      </c>
      <c r="D1890" s="182">
        <v>1.0</v>
      </c>
      <c r="E1890" s="183">
        <v>150.0</v>
      </c>
      <c r="F1890" s="183">
        <v>150.0</v>
      </c>
      <c r="G1890" s="183">
        <v>150.0</v>
      </c>
      <c r="H1890" s="279" t="b">
        <v>1</v>
      </c>
      <c r="I1890" s="143" t="s">
        <v>1064</v>
      </c>
      <c r="J1890" s="41" t="s">
        <v>2018</v>
      </c>
      <c r="K1890" s="279" t="b">
        <v>0</v>
      </c>
      <c r="L1890" s="279" t="b">
        <v>1</v>
      </c>
    </row>
    <row r="1891" ht="14.25" hidden="1" customHeight="1" outlineLevel="1">
      <c r="A1891" s="344">
        <v>46266.0</v>
      </c>
      <c r="B1891" s="132">
        <v>46280.0</v>
      </c>
      <c r="C1891" s="41" t="s">
        <v>61</v>
      </c>
      <c r="D1891" s="182">
        <v>1.0</v>
      </c>
      <c r="E1891" s="183">
        <v>150.0</v>
      </c>
      <c r="F1891" s="183">
        <v>150.0</v>
      </c>
      <c r="G1891" s="183">
        <v>150.0</v>
      </c>
      <c r="H1891" s="279" t="b">
        <v>1</v>
      </c>
      <c r="I1891" s="143" t="s">
        <v>296</v>
      </c>
      <c r="J1891" s="41" t="s">
        <v>1817</v>
      </c>
      <c r="K1891" s="279" t="b">
        <v>0</v>
      </c>
      <c r="L1891" s="279" t="b">
        <v>1</v>
      </c>
    </row>
    <row r="1892" ht="14.25" hidden="1" customHeight="1" outlineLevel="1">
      <c r="A1892" s="344">
        <v>46266.0</v>
      </c>
      <c r="B1892" s="132">
        <v>46281.0</v>
      </c>
      <c r="C1892" s="41" t="s">
        <v>61</v>
      </c>
      <c r="D1892" s="182">
        <v>1.0</v>
      </c>
      <c r="E1892" s="183">
        <v>150.0</v>
      </c>
      <c r="F1892" s="183">
        <v>150.0</v>
      </c>
      <c r="G1892" s="183">
        <v>150.0</v>
      </c>
      <c r="H1892" s="279" t="b">
        <v>1</v>
      </c>
      <c r="I1892" s="143" t="s">
        <v>1489</v>
      </c>
      <c r="J1892" s="41" t="s">
        <v>2014</v>
      </c>
      <c r="K1892" s="279" t="b">
        <v>0</v>
      </c>
      <c r="L1892" s="279" t="b">
        <v>1</v>
      </c>
    </row>
    <row r="1893" ht="14.25" hidden="1" customHeight="1" outlineLevel="1">
      <c r="A1893" s="344">
        <v>46266.0</v>
      </c>
      <c r="B1893" s="132">
        <v>46282.0</v>
      </c>
      <c r="C1893" s="41" t="s">
        <v>61</v>
      </c>
      <c r="D1893" s="182">
        <v>1.0</v>
      </c>
      <c r="E1893" s="183">
        <v>150.0</v>
      </c>
      <c r="F1893" s="183">
        <v>150.0</v>
      </c>
      <c r="G1893" s="183">
        <v>150.0</v>
      </c>
      <c r="H1893" s="279" t="b">
        <v>1</v>
      </c>
      <c r="I1893" s="143" t="s">
        <v>980</v>
      </c>
      <c r="J1893" s="41" t="s">
        <v>1990</v>
      </c>
      <c r="K1893" s="279" t="b">
        <v>0</v>
      </c>
      <c r="L1893" s="279" t="b">
        <v>1</v>
      </c>
    </row>
    <row r="1894" ht="14.25" hidden="1" customHeight="1" outlineLevel="1">
      <c r="A1894" s="344">
        <v>46266.0</v>
      </c>
      <c r="B1894" s="132">
        <v>46282.0</v>
      </c>
      <c r="C1894" s="41" t="s">
        <v>55</v>
      </c>
      <c r="D1894" s="539">
        <v>1.0</v>
      </c>
      <c r="E1894" s="540">
        <v>272.25</v>
      </c>
      <c r="F1894" s="548">
        <f>D1894*E1894</f>
        <v>272.25</v>
      </c>
      <c r="G1894" s="548">
        <f>F1894</f>
        <v>272.25</v>
      </c>
      <c r="H1894" s="279" t="b">
        <v>0</v>
      </c>
      <c r="I1894" s="143" t="s">
        <v>2019</v>
      </c>
      <c r="J1894" s="42" t="s">
        <v>2020</v>
      </c>
      <c r="K1894" s="279" t="b">
        <v>1</v>
      </c>
      <c r="L1894" s="279" t="b">
        <v>1</v>
      </c>
    </row>
    <row r="1895" ht="14.25" hidden="1" customHeight="1" outlineLevel="1">
      <c r="A1895" s="344">
        <v>46266.0</v>
      </c>
      <c r="B1895" s="132">
        <v>46283.0</v>
      </c>
      <c r="C1895" s="41" t="s">
        <v>61</v>
      </c>
      <c r="D1895" s="182">
        <v>1.0</v>
      </c>
      <c r="E1895" s="183">
        <v>150.0</v>
      </c>
      <c r="F1895" s="183">
        <v>150.0</v>
      </c>
      <c r="G1895" s="183">
        <v>150.0</v>
      </c>
      <c r="H1895" s="279" t="b">
        <v>1</v>
      </c>
      <c r="I1895" s="143" t="s">
        <v>296</v>
      </c>
      <c r="J1895" s="41" t="s">
        <v>2016</v>
      </c>
      <c r="K1895" s="279" t="b">
        <v>0</v>
      </c>
      <c r="L1895" s="279" t="b">
        <v>1</v>
      </c>
    </row>
    <row r="1896" ht="14.25" hidden="1" customHeight="1" outlineLevel="1">
      <c r="A1896" s="344">
        <v>46266.0</v>
      </c>
      <c r="B1896" s="132">
        <v>46284.0</v>
      </c>
      <c r="C1896" s="41" t="s">
        <v>69</v>
      </c>
      <c r="D1896" s="539">
        <v>8.0</v>
      </c>
      <c r="E1896" s="540">
        <v>4.19</v>
      </c>
      <c r="F1896" s="548">
        <f>D1896*E1896</f>
        <v>33.52</v>
      </c>
      <c r="G1896" s="548">
        <f>F1896</f>
        <v>33.52</v>
      </c>
      <c r="H1896" s="279" t="b">
        <v>0</v>
      </c>
      <c r="I1896" s="143" t="s">
        <v>570</v>
      </c>
      <c r="J1896" s="42" t="s">
        <v>230</v>
      </c>
      <c r="K1896" s="279" t="b">
        <v>1</v>
      </c>
      <c r="L1896" s="279" t="b">
        <v>1</v>
      </c>
    </row>
    <row r="1897" ht="14.25" hidden="1" customHeight="1" outlineLevel="1">
      <c r="A1897" s="344">
        <v>46266.0</v>
      </c>
      <c r="B1897" s="132">
        <v>46285.0</v>
      </c>
      <c r="C1897" s="41" t="s">
        <v>61</v>
      </c>
      <c r="D1897" s="182">
        <v>1.0</v>
      </c>
      <c r="E1897" s="316">
        <v>200.0</v>
      </c>
      <c r="F1897" s="316">
        <v>200.0</v>
      </c>
      <c r="G1897" s="316">
        <v>200.0</v>
      </c>
      <c r="H1897" s="317" t="b">
        <v>1</v>
      </c>
      <c r="I1897" s="318" t="s">
        <v>1605</v>
      </c>
      <c r="J1897" s="321" t="s">
        <v>1192</v>
      </c>
      <c r="K1897" s="279" t="b">
        <v>0</v>
      </c>
      <c r="L1897" s="279" t="b">
        <v>1</v>
      </c>
    </row>
    <row r="1898" ht="14.25" hidden="1" customHeight="1" outlineLevel="1">
      <c r="A1898" s="344">
        <v>46266.0</v>
      </c>
      <c r="B1898" s="132">
        <v>46285.0</v>
      </c>
      <c r="C1898" s="41" t="s">
        <v>61</v>
      </c>
      <c r="D1898" s="182">
        <v>1.0</v>
      </c>
      <c r="E1898" s="316">
        <v>200.0</v>
      </c>
      <c r="F1898" s="316">
        <v>200.0</v>
      </c>
      <c r="G1898" s="316">
        <v>200.0</v>
      </c>
      <c r="H1898" s="317" t="b">
        <v>1</v>
      </c>
      <c r="I1898" s="143" t="s">
        <v>1706</v>
      </c>
      <c r="J1898" s="321" t="s">
        <v>1193</v>
      </c>
      <c r="K1898" s="279" t="b">
        <v>0</v>
      </c>
      <c r="L1898" s="279" t="b">
        <v>1</v>
      </c>
    </row>
    <row r="1899" ht="14.25" hidden="1" customHeight="1" outlineLevel="1">
      <c r="A1899" s="344">
        <v>46266.0</v>
      </c>
      <c r="B1899" s="132">
        <v>46285.0</v>
      </c>
      <c r="C1899" s="41" t="s">
        <v>61</v>
      </c>
      <c r="D1899" s="182">
        <v>1.0</v>
      </c>
      <c r="E1899" s="316">
        <v>200.0</v>
      </c>
      <c r="F1899" s="316">
        <v>200.0</v>
      </c>
      <c r="G1899" s="316">
        <v>200.0</v>
      </c>
      <c r="H1899" s="317" t="b">
        <v>1</v>
      </c>
      <c r="I1899" s="318" t="s">
        <v>820</v>
      </c>
      <c r="J1899" s="321" t="s">
        <v>1195</v>
      </c>
      <c r="K1899" s="279" t="b">
        <v>0</v>
      </c>
      <c r="L1899" s="279" t="b">
        <v>1</v>
      </c>
    </row>
    <row r="1900" ht="14.25" hidden="1" customHeight="1" outlineLevel="1">
      <c r="A1900" s="344">
        <v>46266.0</v>
      </c>
      <c r="B1900" s="132">
        <v>46286.0</v>
      </c>
      <c r="C1900" s="41" t="s">
        <v>61</v>
      </c>
      <c r="D1900" s="182">
        <v>1.0</v>
      </c>
      <c r="E1900" s="183">
        <v>150.0</v>
      </c>
      <c r="F1900" s="183">
        <v>150.0</v>
      </c>
      <c r="G1900" s="183">
        <v>150.0</v>
      </c>
      <c r="H1900" s="279" t="b">
        <v>1</v>
      </c>
      <c r="I1900" s="143" t="s">
        <v>1327</v>
      </c>
      <c r="J1900" s="41" t="s">
        <v>1691</v>
      </c>
      <c r="K1900" s="279" t="b">
        <v>0</v>
      </c>
      <c r="L1900" s="279" t="b">
        <v>1</v>
      </c>
    </row>
    <row r="1901" ht="14.25" hidden="1" customHeight="1" outlineLevel="1">
      <c r="A1901" s="344">
        <v>46266.0</v>
      </c>
      <c r="B1901" s="132">
        <v>46286.0</v>
      </c>
      <c r="C1901" s="41" t="s">
        <v>61</v>
      </c>
      <c r="D1901" s="182">
        <v>1.0</v>
      </c>
      <c r="E1901" s="183">
        <v>150.0</v>
      </c>
      <c r="F1901" s="183">
        <v>150.0</v>
      </c>
      <c r="G1901" s="183">
        <v>150.0</v>
      </c>
      <c r="H1901" s="279" t="b">
        <v>1</v>
      </c>
      <c r="I1901" s="143" t="s">
        <v>1064</v>
      </c>
      <c r="J1901" s="41" t="s">
        <v>2018</v>
      </c>
      <c r="K1901" s="279" t="b">
        <v>0</v>
      </c>
      <c r="L1901" s="279" t="b">
        <v>1</v>
      </c>
    </row>
    <row r="1902" ht="14.25" hidden="1" customHeight="1" outlineLevel="1">
      <c r="A1902" s="344">
        <v>46266.0</v>
      </c>
      <c r="B1902" s="132">
        <v>46287.0</v>
      </c>
      <c r="C1902" s="41" t="s">
        <v>61</v>
      </c>
      <c r="D1902" s="182">
        <v>1.0</v>
      </c>
      <c r="E1902" s="183">
        <v>150.0</v>
      </c>
      <c r="F1902" s="183">
        <v>150.0</v>
      </c>
      <c r="G1902" s="183">
        <v>150.0</v>
      </c>
      <c r="H1902" s="279" t="b">
        <v>1</v>
      </c>
      <c r="I1902" s="143" t="s">
        <v>296</v>
      </c>
      <c r="J1902" s="41" t="s">
        <v>1817</v>
      </c>
      <c r="K1902" s="279" t="b">
        <v>0</v>
      </c>
      <c r="L1902" s="279" t="b">
        <v>1</v>
      </c>
    </row>
    <row r="1903" ht="14.25" hidden="1" customHeight="1" outlineLevel="1">
      <c r="A1903" s="344">
        <v>46266.0</v>
      </c>
      <c r="B1903" s="132">
        <v>46288.0</v>
      </c>
      <c r="C1903" s="41" t="s">
        <v>61</v>
      </c>
      <c r="D1903" s="182">
        <v>1.0</v>
      </c>
      <c r="E1903" s="183">
        <v>150.0</v>
      </c>
      <c r="F1903" s="183">
        <v>150.0</v>
      </c>
      <c r="G1903" s="183">
        <v>150.0</v>
      </c>
      <c r="H1903" s="279" t="b">
        <v>1</v>
      </c>
      <c r="I1903" s="143" t="s">
        <v>1489</v>
      </c>
      <c r="J1903" s="41" t="s">
        <v>2014</v>
      </c>
      <c r="K1903" s="279" t="b">
        <v>0</v>
      </c>
      <c r="L1903" s="279" t="b">
        <v>1</v>
      </c>
    </row>
    <row r="1904" ht="14.25" hidden="1" customHeight="1" outlineLevel="1">
      <c r="A1904" s="344">
        <v>46266.0</v>
      </c>
      <c r="B1904" s="132">
        <v>46288.0</v>
      </c>
      <c r="C1904" s="41" t="s">
        <v>80</v>
      </c>
      <c r="D1904" s="539">
        <v>3.0</v>
      </c>
      <c r="E1904" s="540">
        <v>17.0</v>
      </c>
      <c r="F1904" s="548">
        <f>D1904*E1904</f>
        <v>51</v>
      </c>
      <c r="G1904" s="548">
        <f>F1904</f>
        <v>51</v>
      </c>
      <c r="H1904" s="279" t="b">
        <v>0</v>
      </c>
      <c r="I1904" s="143" t="s">
        <v>2017</v>
      </c>
      <c r="J1904" s="42" t="s">
        <v>1483</v>
      </c>
      <c r="K1904" s="279" t="b">
        <v>1</v>
      </c>
      <c r="L1904" s="279" t="b">
        <v>1</v>
      </c>
    </row>
    <row r="1905" ht="14.25" hidden="1" customHeight="1" outlineLevel="1">
      <c r="A1905" s="344">
        <v>46266.0</v>
      </c>
      <c r="B1905" s="132">
        <v>46289.0</v>
      </c>
      <c r="C1905" s="41" t="s">
        <v>61</v>
      </c>
      <c r="D1905" s="182">
        <v>1.0</v>
      </c>
      <c r="E1905" s="183">
        <v>150.0</v>
      </c>
      <c r="F1905" s="183">
        <v>150.0</v>
      </c>
      <c r="G1905" s="183">
        <v>150.0</v>
      </c>
      <c r="H1905" s="279" t="b">
        <v>1</v>
      </c>
      <c r="I1905" s="143" t="s">
        <v>980</v>
      </c>
      <c r="J1905" s="41" t="s">
        <v>1990</v>
      </c>
      <c r="K1905" s="279" t="b">
        <v>0</v>
      </c>
      <c r="L1905" s="279" t="b">
        <v>1</v>
      </c>
    </row>
    <row r="1906" ht="14.25" hidden="1" customHeight="1" outlineLevel="1">
      <c r="A1906" s="344">
        <v>46266.0</v>
      </c>
      <c r="B1906" s="132">
        <v>46290.0</v>
      </c>
      <c r="C1906" s="41" t="s">
        <v>61</v>
      </c>
      <c r="D1906" s="182">
        <v>1.0</v>
      </c>
      <c r="E1906" s="183">
        <v>150.0</v>
      </c>
      <c r="F1906" s="183">
        <v>150.0</v>
      </c>
      <c r="G1906" s="183">
        <v>150.0</v>
      </c>
      <c r="H1906" s="279" t="b">
        <v>1</v>
      </c>
      <c r="I1906" s="143" t="s">
        <v>236</v>
      </c>
      <c r="J1906" s="41" t="s">
        <v>2016</v>
      </c>
      <c r="K1906" s="279" t="b">
        <v>0</v>
      </c>
      <c r="L1906" s="279" t="b">
        <v>1</v>
      </c>
    </row>
    <row r="1907" ht="14.25" hidden="1" customHeight="1" outlineLevel="1">
      <c r="A1907" s="344">
        <v>46266.0</v>
      </c>
      <c r="B1907" s="132">
        <v>46291.0</v>
      </c>
      <c r="C1907" s="41" t="s">
        <v>93</v>
      </c>
      <c r="D1907" s="539">
        <v>1.0</v>
      </c>
      <c r="E1907" s="540">
        <v>151.0</v>
      </c>
      <c r="F1907" s="540">
        <v>151.0</v>
      </c>
      <c r="G1907" s="540">
        <v>151.0</v>
      </c>
      <c r="H1907" s="279" t="b">
        <v>0</v>
      </c>
      <c r="I1907" s="143" t="s">
        <v>2023</v>
      </c>
      <c r="J1907" s="42" t="s">
        <v>2024</v>
      </c>
      <c r="K1907" s="279" t="b">
        <v>1</v>
      </c>
      <c r="L1907" s="279" t="b">
        <v>1</v>
      </c>
    </row>
    <row r="1908" ht="14.25" hidden="1" customHeight="1" outlineLevel="1">
      <c r="A1908" s="344">
        <v>46266.0</v>
      </c>
      <c r="B1908" s="132">
        <v>46292.0</v>
      </c>
      <c r="C1908" s="41" t="s">
        <v>61</v>
      </c>
      <c r="D1908" s="182">
        <v>1.0</v>
      </c>
      <c r="E1908" s="316">
        <v>200.0</v>
      </c>
      <c r="F1908" s="316">
        <v>200.0</v>
      </c>
      <c r="G1908" s="316">
        <v>200.0</v>
      </c>
      <c r="H1908" s="317" t="b">
        <v>1</v>
      </c>
      <c r="I1908" s="318" t="s">
        <v>490</v>
      </c>
      <c r="J1908" s="321" t="s">
        <v>1192</v>
      </c>
      <c r="K1908" s="279" t="b">
        <v>0</v>
      </c>
      <c r="L1908" s="279" t="b">
        <v>1</v>
      </c>
    </row>
    <row r="1909" ht="14.25" hidden="1" customHeight="1" outlineLevel="1">
      <c r="A1909" s="344">
        <v>46266.0</v>
      </c>
      <c r="B1909" s="132">
        <v>46292.0</v>
      </c>
      <c r="C1909" s="41" t="s">
        <v>61</v>
      </c>
      <c r="D1909" s="182">
        <v>1.0</v>
      </c>
      <c r="E1909" s="316">
        <v>200.0</v>
      </c>
      <c r="F1909" s="316">
        <v>200.0</v>
      </c>
      <c r="G1909" s="316">
        <v>200.0</v>
      </c>
      <c r="H1909" s="317" t="b">
        <v>1</v>
      </c>
      <c r="I1909" s="143" t="s">
        <v>980</v>
      </c>
      <c r="J1909" s="321" t="s">
        <v>1193</v>
      </c>
      <c r="K1909" s="279" t="b">
        <v>0</v>
      </c>
      <c r="L1909" s="279" t="b">
        <v>1</v>
      </c>
    </row>
    <row r="1910" ht="14.25" hidden="1" customHeight="1" outlineLevel="1">
      <c r="A1910" s="344">
        <v>46266.0</v>
      </c>
      <c r="B1910" s="132">
        <v>46292.0</v>
      </c>
      <c r="C1910" s="41" t="s">
        <v>61</v>
      </c>
      <c r="D1910" s="182">
        <v>1.0</v>
      </c>
      <c r="E1910" s="316">
        <v>200.0</v>
      </c>
      <c r="F1910" s="316">
        <v>200.0</v>
      </c>
      <c r="G1910" s="316">
        <v>200.0</v>
      </c>
      <c r="H1910" s="317" t="b">
        <v>1</v>
      </c>
      <c r="I1910" s="143" t="s">
        <v>1706</v>
      </c>
      <c r="J1910" s="321" t="s">
        <v>1195</v>
      </c>
      <c r="K1910" s="279" t="b">
        <v>0</v>
      </c>
      <c r="L1910" s="279" t="b">
        <v>1</v>
      </c>
    </row>
    <row r="1911" ht="14.25" hidden="1" customHeight="1" outlineLevel="1">
      <c r="A1911" s="344">
        <v>46266.0</v>
      </c>
      <c r="B1911" s="132">
        <v>46293.0</v>
      </c>
      <c r="C1911" s="41" t="s">
        <v>61</v>
      </c>
      <c r="D1911" s="182">
        <v>1.0</v>
      </c>
      <c r="E1911" s="183">
        <v>150.0</v>
      </c>
      <c r="F1911" s="183">
        <v>150.0</v>
      </c>
      <c r="G1911" s="183">
        <v>150.0</v>
      </c>
      <c r="H1911" s="279" t="b">
        <v>1</v>
      </c>
      <c r="I1911" s="143" t="s">
        <v>1327</v>
      </c>
      <c r="J1911" s="41" t="s">
        <v>1691</v>
      </c>
      <c r="K1911" s="279" t="b">
        <v>0</v>
      </c>
      <c r="L1911" s="279" t="b">
        <v>1</v>
      </c>
    </row>
    <row r="1912" ht="14.25" hidden="1" customHeight="1" outlineLevel="1">
      <c r="A1912" s="344">
        <v>46266.0</v>
      </c>
      <c r="B1912" s="132">
        <v>46293.0</v>
      </c>
      <c r="C1912" s="41" t="s">
        <v>61</v>
      </c>
      <c r="D1912" s="182">
        <v>1.0</v>
      </c>
      <c r="E1912" s="183">
        <v>150.0</v>
      </c>
      <c r="F1912" s="183">
        <v>150.0</v>
      </c>
      <c r="G1912" s="183">
        <v>150.0</v>
      </c>
      <c r="H1912" s="279" t="b">
        <v>1</v>
      </c>
      <c r="I1912" s="143" t="s">
        <v>1064</v>
      </c>
      <c r="J1912" s="41" t="s">
        <v>2018</v>
      </c>
      <c r="K1912" s="279" t="b">
        <v>0</v>
      </c>
      <c r="L1912" s="279" t="b">
        <v>1</v>
      </c>
    </row>
    <row r="1913" ht="14.25" hidden="1" customHeight="1" outlineLevel="1">
      <c r="A1913" s="344">
        <v>46266.0</v>
      </c>
      <c r="B1913" s="132">
        <v>46293.0</v>
      </c>
      <c r="C1913" s="41" t="s">
        <v>97</v>
      </c>
      <c r="D1913" s="539">
        <v>1.0</v>
      </c>
      <c r="E1913" s="540">
        <v>35.9</v>
      </c>
      <c r="F1913" s="548">
        <f>D1913*E1913</f>
        <v>35.9</v>
      </c>
      <c r="G1913" s="548">
        <f>F1913</f>
        <v>35.9</v>
      </c>
      <c r="H1913" s="279" t="b">
        <v>0</v>
      </c>
      <c r="I1913" s="143" t="s">
        <v>185</v>
      </c>
      <c r="J1913" s="42" t="s">
        <v>2026</v>
      </c>
      <c r="K1913" s="279" t="b">
        <v>1</v>
      </c>
      <c r="L1913" s="279" t="b">
        <v>1</v>
      </c>
    </row>
    <row r="1914" ht="14.25" hidden="1" customHeight="1" outlineLevel="1">
      <c r="A1914" s="344">
        <v>46266.0</v>
      </c>
      <c r="B1914" s="132">
        <v>46294.0</v>
      </c>
      <c r="C1914" s="41" t="s">
        <v>61</v>
      </c>
      <c r="D1914" s="182">
        <v>1.0</v>
      </c>
      <c r="E1914" s="183">
        <v>150.0</v>
      </c>
      <c r="F1914" s="183">
        <v>150.0</v>
      </c>
      <c r="G1914" s="183">
        <v>150.0</v>
      </c>
      <c r="H1914" s="279" t="b">
        <v>1</v>
      </c>
      <c r="I1914" s="143" t="s">
        <v>236</v>
      </c>
      <c r="J1914" s="41" t="s">
        <v>1817</v>
      </c>
      <c r="K1914" s="279" t="b">
        <v>0</v>
      </c>
      <c r="L1914" s="279" t="b">
        <v>1</v>
      </c>
    </row>
    <row r="1915" ht="14.25" hidden="1" customHeight="1" outlineLevel="1">
      <c r="A1915" s="344">
        <v>46266.0</v>
      </c>
      <c r="B1915" s="132">
        <v>46295.0</v>
      </c>
      <c r="C1915" s="41" t="s">
        <v>61</v>
      </c>
      <c r="D1915" s="182">
        <v>1.0</v>
      </c>
      <c r="E1915" s="183">
        <v>3300.0</v>
      </c>
      <c r="F1915" s="183">
        <f t="shared" ref="F1915:F1916" si="334">D1915*E1915</f>
        <v>3300</v>
      </c>
      <c r="G1915" s="183">
        <f t="shared" ref="G1915:G1916" si="335">F1915</f>
        <v>3300</v>
      </c>
      <c r="H1915" s="279" t="b">
        <v>1</v>
      </c>
      <c r="I1915" s="143" t="s">
        <v>119</v>
      </c>
      <c r="J1915" s="42" t="s">
        <v>2027</v>
      </c>
      <c r="K1915" s="279" t="b">
        <v>0</v>
      </c>
      <c r="L1915" s="279" t="b">
        <v>1</v>
      </c>
    </row>
    <row r="1916" ht="14.25" hidden="1" customHeight="1" outlineLevel="1">
      <c r="A1916" s="344">
        <v>46266.0</v>
      </c>
      <c r="B1916" s="132">
        <v>46295.0</v>
      </c>
      <c r="C1916" s="41" t="s">
        <v>61</v>
      </c>
      <c r="D1916" s="182">
        <v>1.0</v>
      </c>
      <c r="E1916" s="183">
        <v>2550.0</v>
      </c>
      <c r="F1916" s="183">
        <f t="shared" si="334"/>
        <v>2550</v>
      </c>
      <c r="G1916" s="183">
        <f t="shared" si="335"/>
        <v>2550</v>
      </c>
      <c r="H1916" s="279" t="b">
        <v>1</v>
      </c>
      <c r="I1916" s="143" t="s">
        <v>2028</v>
      </c>
      <c r="J1916" s="42" t="s">
        <v>2027</v>
      </c>
      <c r="K1916" s="279" t="b">
        <v>0</v>
      </c>
      <c r="L1916" s="279" t="b">
        <v>1</v>
      </c>
    </row>
    <row r="1917" ht="14.25" hidden="1" customHeight="1" outlineLevel="1">
      <c r="A1917" s="344">
        <v>46266.0</v>
      </c>
      <c r="B1917" s="132">
        <v>46295.0</v>
      </c>
      <c r="C1917" s="41" t="s">
        <v>61</v>
      </c>
      <c r="D1917" s="182">
        <v>1.0</v>
      </c>
      <c r="E1917" s="183">
        <v>150.0</v>
      </c>
      <c r="F1917" s="183">
        <v>150.0</v>
      </c>
      <c r="G1917" s="183">
        <v>150.0</v>
      </c>
      <c r="H1917" s="279" t="b">
        <v>1</v>
      </c>
      <c r="I1917" s="143" t="s">
        <v>236</v>
      </c>
      <c r="J1917" s="41" t="s">
        <v>1817</v>
      </c>
      <c r="K1917" s="279" t="b">
        <v>0</v>
      </c>
      <c r="L1917" s="279" t="b">
        <v>1</v>
      </c>
    </row>
    <row r="1918" ht="14.25" customHeight="1">
      <c r="A1918" s="180" t="s">
        <v>192</v>
      </c>
      <c r="B1918" s="27"/>
      <c r="C1918" s="27"/>
      <c r="D1918" s="27"/>
      <c r="E1918" s="28"/>
      <c r="F1918" s="181">
        <f t="shared" ref="F1918:G1918" si="336">SUM(F1870:F1917)</f>
        <v>13064.67</v>
      </c>
      <c r="G1918" s="181">
        <f t="shared" si="336"/>
        <v>13064.67</v>
      </c>
    </row>
    <row r="1919" ht="14.25" customHeight="1">
      <c r="A1919" s="245" t="s">
        <v>1921</v>
      </c>
      <c r="B1919" s="246"/>
      <c r="C1919" s="246"/>
      <c r="D1919" s="246"/>
      <c r="E1919" s="246"/>
      <c r="F1919" s="246"/>
      <c r="G1919" s="246"/>
      <c r="H1919" s="246"/>
      <c r="I1919" s="246"/>
      <c r="J1919" s="247"/>
    </row>
    <row r="1920" ht="14.25" customHeight="1">
      <c r="A1920" s="344">
        <v>46296.0</v>
      </c>
      <c r="B1920" s="132">
        <v>46296.0</v>
      </c>
      <c r="C1920" s="41" t="s">
        <v>61</v>
      </c>
      <c r="D1920" s="182">
        <v>1.0</v>
      </c>
      <c r="E1920" s="183">
        <v>150.0</v>
      </c>
      <c r="F1920" s="183">
        <v>150.0</v>
      </c>
      <c r="G1920" s="183">
        <v>150.0</v>
      </c>
      <c r="H1920" s="279" t="b">
        <v>1</v>
      </c>
      <c r="I1920" s="143" t="s">
        <v>980</v>
      </c>
      <c r="J1920" s="41" t="s">
        <v>1990</v>
      </c>
      <c r="K1920" s="279" t="b">
        <v>0</v>
      </c>
      <c r="L1920" s="279" t="b">
        <v>1</v>
      </c>
    </row>
    <row r="1921" ht="14.25" customHeight="1">
      <c r="A1921" s="344">
        <v>46296.0</v>
      </c>
      <c r="B1921" s="132">
        <v>46297.0</v>
      </c>
      <c r="C1921" s="41" t="s">
        <v>61</v>
      </c>
      <c r="D1921" s="182">
        <v>1.0</v>
      </c>
      <c r="E1921" s="183">
        <v>150.0</v>
      </c>
      <c r="F1921" s="183">
        <v>150.0</v>
      </c>
      <c r="G1921" s="183">
        <v>150.0</v>
      </c>
      <c r="H1921" s="279" t="b">
        <v>1</v>
      </c>
      <c r="I1921" s="143" t="s">
        <v>236</v>
      </c>
      <c r="J1921" s="41" t="s">
        <v>1991</v>
      </c>
      <c r="K1921" s="279" t="b">
        <v>0</v>
      </c>
      <c r="L1921" s="279" t="b">
        <v>1</v>
      </c>
    </row>
    <row r="1922" ht="14.25" customHeight="1">
      <c r="A1922" s="344">
        <v>46296.0</v>
      </c>
      <c r="B1922" s="132">
        <v>46297.0</v>
      </c>
      <c r="C1922" s="41" t="s">
        <v>116</v>
      </c>
      <c r="D1922" s="539">
        <v>8.0</v>
      </c>
      <c r="E1922" s="540">
        <v>7.5</v>
      </c>
      <c r="F1922" s="548">
        <f>D1922*E1922</f>
        <v>60</v>
      </c>
      <c r="G1922" s="548">
        <f>F1922</f>
        <v>60</v>
      </c>
      <c r="H1922" s="279" t="b">
        <v>0</v>
      </c>
      <c r="I1922" s="143" t="s">
        <v>441</v>
      </c>
      <c r="J1922" s="42"/>
      <c r="K1922" s="279" t="b">
        <v>0</v>
      </c>
      <c r="L1922" s="279" t="b">
        <v>0</v>
      </c>
    </row>
    <row r="1923" ht="14.25" customHeight="1">
      <c r="A1923" s="344">
        <v>46296.0</v>
      </c>
      <c r="B1923" s="132">
        <v>46298.0</v>
      </c>
      <c r="C1923" s="41" t="s">
        <v>61</v>
      </c>
      <c r="D1923" s="182">
        <v>1.0</v>
      </c>
      <c r="E1923" s="183">
        <v>250.0</v>
      </c>
      <c r="F1923" s="183">
        <v>250.0</v>
      </c>
      <c r="G1923" s="183">
        <v>250.0</v>
      </c>
      <c r="H1923" s="279" t="b">
        <v>1</v>
      </c>
      <c r="I1923" s="143" t="s">
        <v>1685</v>
      </c>
      <c r="J1923" s="41" t="s">
        <v>2029</v>
      </c>
      <c r="K1923" s="279" t="b">
        <v>0</v>
      </c>
      <c r="L1923" s="279" t="b">
        <v>1</v>
      </c>
    </row>
    <row r="1924" ht="14.25" customHeight="1">
      <c r="A1924" s="344">
        <v>46296.0</v>
      </c>
      <c r="B1924" s="132">
        <v>46299.0</v>
      </c>
      <c r="C1924" s="41" t="s">
        <v>61</v>
      </c>
      <c r="D1924" s="182">
        <v>1.0</v>
      </c>
      <c r="E1924" s="316">
        <v>200.0</v>
      </c>
      <c r="F1924" s="316">
        <v>200.0</v>
      </c>
      <c r="G1924" s="316">
        <v>200.0</v>
      </c>
      <c r="H1924" s="317" t="b">
        <v>1</v>
      </c>
      <c r="I1924" s="143" t="s">
        <v>980</v>
      </c>
      <c r="J1924" s="321" t="s">
        <v>1193</v>
      </c>
      <c r="K1924" s="279" t="b">
        <v>0</v>
      </c>
      <c r="L1924" s="279" t="b">
        <v>1</v>
      </c>
    </row>
    <row r="1925" ht="14.25" customHeight="1">
      <c r="A1925" s="344">
        <v>46296.0</v>
      </c>
      <c r="B1925" s="132">
        <v>46299.0</v>
      </c>
      <c r="C1925" s="41" t="s">
        <v>61</v>
      </c>
      <c r="D1925" s="182">
        <v>1.0</v>
      </c>
      <c r="E1925" s="316">
        <v>200.0</v>
      </c>
      <c r="F1925" s="316">
        <v>200.0</v>
      </c>
      <c r="G1925" s="316">
        <v>200.0</v>
      </c>
      <c r="H1925" s="317" t="b">
        <v>1</v>
      </c>
      <c r="I1925" s="143" t="s">
        <v>1706</v>
      </c>
      <c r="J1925" s="321" t="s">
        <v>1195</v>
      </c>
      <c r="K1925" s="279" t="b">
        <v>0</v>
      </c>
      <c r="L1925" s="279" t="b">
        <v>1</v>
      </c>
    </row>
    <row r="1926" ht="14.25" customHeight="1">
      <c r="A1926" s="344">
        <v>46296.0</v>
      </c>
      <c r="B1926" s="132">
        <v>46300.0</v>
      </c>
      <c r="C1926" s="41" t="s">
        <v>61</v>
      </c>
      <c r="D1926" s="182">
        <v>1.0</v>
      </c>
      <c r="E1926" s="183">
        <v>150.0</v>
      </c>
      <c r="F1926" s="183">
        <v>150.0</v>
      </c>
      <c r="G1926" s="183">
        <v>150.0</v>
      </c>
      <c r="H1926" s="279" t="b">
        <v>1</v>
      </c>
      <c r="I1926" s="143" t="s">
        <v>1327</v>
      </c>
      <c r="J1926" s="41" t="s">
        <v>1691</v>
      </c>
      <c r="K1926" s="279" t="b">
        <v>0</v>
      </c>
      <c r="L1926" s="279" t="b">
        <v>1</v>
      </c>
    </row>
    <row r="1927" ht="14.25" customHeight="1">
      <c r="A1927" s="344">
        <v>46296.0</v>
      </c>
      <c r="B1927" s="132">
        <v>46300.0</v>
      </c>
      <c r="C1927" s="41" t="s">
        <v>61</v>
      </c>
      <c r="D1927" s="182">
        <v>1.0</v>
      </c>
      <c r="E1927" s="183">
        <v>150.0</v>
      </c>
      <c r="F1927" s="183">
        <v>150.0</v>
      </c>
      <c r="G1927" s="183">
        <v>150.0</v>
      </c>
      <c r="H1927" s="279" t="b">
        <v>1</v>
      </c>
      <c r="I1927" s="143" t="s">
        <v>1064</v>
      </c>
      <c r="J1927" s="41" t="s">
        <v>2018</v>
      </c>
      <c r="K1927" s="279" t="b">
        <v>0</v>
      </c>
      <c r="L1927" s="279" t="b">
        <v>1</v>
      </c>
    </row>
    <row r="1928" ht="14.25" customHeight="1">
      <c r="A1928" s="344">
        <v>46296.0</v>
      </c>
      <c r="B1928" s="132">
        <v>46301.0</v>
      </c>
      <c r="C1928" s="41" t="s">
        <v>61</v>
      </c>
      <c r="D1928" s="182">
        <v>1.0</v>
      </c>
      <c r="E1928" s="183">
        <v>150.0</v>
      </c>
      <c r="F1928" s="183">
        <v>150.0</v>
      </c>
      <c r="G1928" s="183">
        <v>150.0</v>
      </c>
      <c r="H1928" s="279" t="b">
        <v>1</v>
      </c>
      <c r="I1928" s="143" t="s">
        <v>236</v>
      </c>
      <c r="J1928" s="41" t="s">
        <v>1817</v>
      </c>
      <c r="K1928" s="279" t="b">
        <v>0</v>
      </c>
      <c r="L1928" s="279" t="b">
        <v>1</v>
      </c>
    </row>
    <row r="1929" ht="14.25" customHeight="1">
      <c r="A1929" s="344">
        <v>46296.0</v>
      </c>
      <c r="B1929" s="132">
        <v>46302.0</v>
      </c>
      <c r="C1929" s="41" t="s">
        <v>61</v>
      </c>
      <c r="D1929" s="182">
        <v>1.0</v>
      </c>
      <c r="E1929" s="183">
        <v>150.0</v>
      </c>
      <c r="F1929" s="183">
        <v>150.0</v>
      </c>
      <c r="G1929" s="183">
        <v>150.0</v>
      </c>
      <c r="H1929" s="279" t="b">
        <v>1</v>
      </c>
      <c r="I1929" s="143" t="s">
        <v>1489</v>
      </c>
      <c r="J1929" s="41" t="s">
        <v>2030</v>
      </c>
      <c r="K1929" s="279" t="b">
        <v>0</v>
      </c>
      <c r="L1929" s="279" t="b">
        <v>1</v>
      </c>
    </row>
    <row r="1930" ht="14.25" customHeight="1">
      <c r="A1930" s="344">
        <v>46296.0</v>
      </c>
      <c r="B1930" s="132">
        <v>46303.0</v>
      </c>
      <c r="C1930" s="41" t="s">
        <v>61</v>
      </c>
      <c r="D1930" s="182">
        <v>1.0</v>
      </c>
      <c r="E1930" s="183">
        <v>150.0</v>
      </c>
      <c r="F1930" s="183">
        <v>150.0</v>
      </c>
      <c r="G1930" s="183">
        <v>150.0</v>
      </c>
      <c r="H1930" s="279" t="b">
        <v>1</v>
      </c>
      <c r="I1930" s="143" t="s">
        <v>980</v>
      </c>
      <c r="J1930" s="41" t="s">
        <v>1990</v>
      </c>
      <c r="K1930" s="279" t="b">
        <v>0</v>
      </c>
      <c r="L1930" s="279" t="b">
        <v>1</v>
      </c>
    </row>
    <row r="1931" ht="14.25" customHeight="1">
      <c r="A1931" s="344">
        <v>46296.0</v>
      </c>
      <c r="B1931" s="132">
        <v>46304.0</v>
      </c>
      <c r="C1931" s="41" t="s">
        <v>61</v>
      </c>
      <c r="D1931" s="182">
        <v>1.0</v>
      </c>
      <c r="E1931" s="183">
        <v>150.0</v>
      </c>
      <c r="F1931" s="183">
        <v>150.0</v>
      </c>
      <c r="G1931" s="183">
        <v>150.0</v>
      </c>
      <c r="H1931" s="279" t="b">
        <v>1</v>
      </c>
      <c r="I1931" s="143" t="s">
        <v>236</v>
      </c>
      <c r="J1931" s="41" t="s">
        <v>1991</v>
      </c>
      <c r="K1931" s="279" t="b">
        <v>0</v>
      </c>
      <c r="L1931" s="279" t="b">
        <v>1</v>
      </c>
    </row>
    <row r="1932" ht="14.25" customHeight="1">
      <c r="A1932" s="344">
        <v>46296.0</v>
      </c>
      <c r="B1932" s="132">
        <v>46306.0</v>
      </c>
      <c r="C1932" s="41" t="s">
        <v>61</v>
      </c>
      <c r="D1932" s="182">
        <v>1.0</v>
      </c>
      <c r="E1932" s="316">
        <v>200.0</v>
      </c>
      <c r="F1932" s="316">
        <v>200.0</v>
      </c>
      <c r="G1932" s="316">
        <v>200.0</v>
      </c>
      <c r="H1932" s="317" t="b">
        <v>1</v>
      </c>
      <c r="I1932" s="143" t="s">
        <v>490</v>
      </c>
      <c r="J1932" s="321" t="s">
        <v>1192</v>
      </c>
      <c r="K1932" s="279" t="b">
        <v>0</v>
      </c>
      <c r="L1932" s="279" t="b">
        <v>1</v>
      </c>
    </row>
    <row r="1933" ht="14.25" customHeight="1">
      <c r="A1933" s="344">
        <v>46296.0</v>
      </c>
      <c r="B1933" s="132">
        <v>46306.0</v>
      </c>
      <c r="C1933" s="41" t="s">
        <v>61</v>
      </c>
      <c r="D1933" s="182">
        <v>1.0</v>
      </c>
      <c r="E1933" s="316">
        <v>200.0</v>
      </c>
      <c r="F1933" s="316">
        <v>200.0</v>
      </c>
      <c r="G1933" s="316">
        <v>200.0</v>
      </c>
      <c r="H1933" s="317" t="b">
        <v>1</v>
      </c>
      <c r="I1933" s="143" t="s">
        <v>980</v>
      </c>
      <c r="J1933" s="321" t="s">
        <v>1193</v>
      </c>
      <c r="K1933" s="279" t="b">
        <v>0</v>
      </c>
      <c r="L1933" s="279" t="b">
        <v>1</v>
      </c>
    </row>
    <row r="1934" ht="14.25" customHeight="1">
      <c r="A1934" s="344">
        <v>46296.0</v>
      </c>
      <c r="B1934" s="132">
        <v>46306.0</v>
      </c>
      <c r="C1934" s="41" t="s">
        <v>61</v>
      </c>
      <c r="D1934" s="182">
        <v>1.0</v>
      </c>
      <c r="E1934" s="316">
        <v>200.0</v>
      </c>
      <c r="F1934" s="316">
        <v>200.0</v>
      </c>
      <c r="G1934" s="316">
        <v>200.0</v>
      </c>
      <c r="H1934" s="317" t="b">
        <v>1</v>
      </c>
      <c r="I1934" s="143" t="s">
        <v>342</v>
      </c>
      <c r="J1934" s="321" t="s">
        <v>1195</v>
      </c>
      <c r="K1934" s="279" t="b">
        <v>0</v>
      </c>
      <c r="L1934" s="279" t="b">
        <v>1</v>
      </c>
    </row>
    <row r="1935" ht="14.25" customHeight="1">
      <c r="A1935" s="344">
        <v>46296.0</v>
      </c>
      <c r="B1935" s="132">
        <v>46307.0</v>
      </c>
      <c r="C1935" s="41" t="s">
        <v>61</v>
      </c>
      <c r="D1935" s="182">
        <v>1.0</v>
      </c>
      <c r="E1935" s="183">
        <v>150.0</v>
      </c>
      <c r="F1935" s="183">
        <v>150.0</v>
      </c>
      <c r="G1935" s="183">
        <v>150.0</v>
      </c>
      <c r="H1935" s="279" t="b">
        <v>1</v>
      </c>
      <c r="I1935" s="143" t="s">
        <v>1489</v>
      </c>
      <c r="J1935" s="41" t="s">
        <v>2031</v>
      </c>
      <c r="K1935" s="279" t="b">
        <v>0</v>
      </c>
      <c r="L1935" s="279" t="b">
        <v>1</v>
      </c>
    </row>
    <row r="1936" ht="14.25" customHeight="1">
      <c r="A1936" s="344">
        <v>46296.0</v>
      </c>
      <c r="B1936" s="132">
        <v>46308.0</v>
      </c>
      <c r="C1936" s="41" t="s">
        <v>61</v>
      </c>
      <c r="D1936" s="182">
        <v>1.0</v>
      </c>
      <c r="E1936" s="183">
        <v>150.0</v>
      </c>
      <c r="F1936" s="183">
        <v>150.0</v>
      </c>
      <c r="G1936" s="183">
        <v>150.0</v>
      </c>
      <c r="H1936" s="279" t="b">
        <v>1</v>
      </c>
      <c r="I1936" s="143" t="s">
        <v>236</v>
      </c>
      <c r="J1936" s="41" t="s">
        <v>1772</v>
      </c>
      <c r="K1936" s="279" t="b">
        <v>0</v>
      </c>
      <c r="L1936" s="279" t="b">
        <v>1</v>
      </c>
    </row>
    <row r="1937" ht="14.25" customHeight="1">
      <c r="A1937" s="344">
        <v>46296.0</v>
      </c>
      <c r="B1937" s="132">
        <v>46309.0</v>
      </c>
      <c r="C1937" s="41" t="s">
        <v>61</v>
      </c>
      <c r="D1937" s="182">
        <v>1.0</v>
      </c>
      <c r="E1937" s="183">
        <v>150.0</v>
      </c>
      <c r="F1937" s="183">
        <v>150.0</v>
      </c>
      <c r="G1937" s="183">
        <v>150.0</v>
      </c>
      <c r="H1937" s="279" t="b">
        <v>1</v>
      </c>
      <c r="I1937" s="143" t="s">
        <v>1489</v>
      </c>
      <c r="J1937" s="41" t="s">
        <v>2030</v>
      </c>
      <c r="K1937" s="279" t="b">
        <v>0</v>
      </c>
      <c r="L1937" s="279" t="b">
        <v>1</v>
      </c>
    </row>
    <row r="1938" ht="14.25" customHeight="1">
      <c r="A1938" s="344">
        <v>46296.0</v>
      </c>
      <c r="B1938" s="132">
        <v>46310.0</v>
      </c>
      <c r="C1938" s="41" t="s">
        <v>61</v>
      </c>
      <c r="D1938" s="182">
        <v>1.0</v>
      </c>
      <c r="E1938" s="183">
        <v>150.0</v>
      </c>
      <c r="F1938" s="183">
        <v>150.0</v>
      </c>
      <c r="G1938" s="183">
        <v>150.0</v>
      </c>
      <c r="H1938" s="279" t="b">
        <v>1</v>
      </c>
      <c r="I1938" s="143" t="s">
        <v>980</v>
      </c>
      <c r="J1938" s="41" t="s">
        <v>1990</v>
      </c>
      <c r="K1938" s="279" t="b">
        <v>0</v>
      </c>
      <c r="L1938" s="279" t="b">
        <v>1</v>
      </c>
    </row>
    <row r="1939" ht="14.25" customHeight="1">
      <c r="A1939" s="344">
        <v>46296.0</v>
      </c>
      <c r="B1939" s="132">
        <v>46311.0</v>
      </c>
      <c r="C1939" s="41" t="s">
        <v>61</v>
      </c>
      <c r="D1939" s="182">
        <v>1.0</v>
      </c>
      <c r="E1939" s="183">
        <v>150.0</v>
      </c>
      <c r="F1939" s="183">
        <v>150.0</v>
      </c>
      <c r="G1939" s="183">
        <v>150.0</v>
      </c>
      <c r="H1939" s="279" t="b">
        <v>1</v>
      </c>
      <c r="I1939" s="143" t="s">
        <v>236</v>
      </c>
      <c r="J1939" s="41" t="s">
        <v>1991</v>
      </c>
      <c r="K1939" s="279" t="b">
        <v>0</v>
      </c>
      <c r="L1939" s="279" t="b">
        <v>1</v>
      </c>
    </row>
    <row r="1940" ht="14.25" customHeight="1">
      <c r="A1940" s="344">
        <v>46296.0</v>
      </c>
      <c r="B1940" s="132">
        <v>46313.0</v>
      </c>
      <c r="C1940" s="41" t="s">
        <v>61</v>
      </c>
      <c r="D1940" s="182">
        <v>1.0</v>
      </c>
      <c r="E1940" s="316">
        <v>200.0</v>
      </c>
      <c r="F1940" s="316">
        <v>200.0</v>
      </c>
      <c r="G1940" s="316">
        <v>200.0</v>
      </c>
      <c r="H1940" s="317" t="b">
        <v>1</v>
      </c>
      <c r="I1940" s="143" t="s">
        <v>296</v>
      </c>
      <c r="J1940" s="321" t="s">
        <v>1192</v>
      </c>
      <c r="K1940" s="279" t="b">
        <v>0</v>
      </c>
      <c r="L1940" s="279" t="b">
        <v>1</v>
      </c>
    </row>
    <row r="1941" ht="14.25" customHeight="1">
      <c r="A1941" s="344">
        <v>46296.0</v>
      </c>
      <c r="B1941" s="132">
        <v>46313.0</v>
      </c>
      <c r="C1941" s="41" t="s">
        <v>61</v>
      </c>
      <c r="D1941" s="182">
        <v>1.0</v>
      </c>
      <c r="E1941" s="316">
        <v>200.0</v>
      </c>
      <c r="F1941" s="316">
        <v>200.0</v>
      </c>
      <c r="G1941" s="316">
        <v>200.0</v>
      </c>
      <c r="H1941" s="317" t="b">
        <v>1</v>
      </c>
      <c r="I1941" s="143" t="s">
        <v>296</v>
      </c>
      <c r="J1941" s="321" t="s">
        <v>1193</v>
      </c>
      <c r="K1941" s="279" t="b">
        <v>0</v>
      </c>
      <c r="L1941" s="279" t="b">
        <v>1</v>
      </c>
    </row>
    <row r="1942" ht="14.25" customHeight="1">
      <c r="A1942" s="344">
        <v>46296.0</v>
      </c>
      <c r="B1942" s="132">
        <v>46313.0</v>
      </c>
      <c r="C1942" s="41" t="s">
        <v>61</v>
      </c>
      <c r="D1942" s="182">
        <v>1.0</v>
      </c>
      <c r="E1942" s="316">
        <v>200.0</v>
      </c>
      <c r="F1942" s="316">
        <v>200.0</v>
      </c>
      <c r="G1942" s="316">
        <v>200.0</v>
      </c>
      <c r="H1942" s="317" t="b">
        <v>1</v>
      </c>
      <c r="I1942" s="143" t="s">
        <v>1706</v>
      </c>
      <c r="J1942" s="321" t="s">
        <v>1195</v>
      </c>
      <c r="K1942" s="279" t="b">
        <v>0</v>
      </c>
      <c r="L1942" s="279" t="b">
        <v>1</v>
      </c>
    </row>
    <row r="1943" ht="14.25" customHeight="1">
      <c r="A1943" s="344">
        <v>46296.0</v>
      </c>
      <c r="B1943" s="132">
        <v>46314.0</v>
      </c>
      <c r="C1943" s="41" t="s">
        <v>61</v>
      </c>
      <c r="D1943" s="182">
        <v>1.0</v>
      </c>
      <c r="E1943" s="183">
        <v>150.0</v>
      </c>
      <c r="F1943" s="183">
        <v>150.0</v>
      </c>
      <c r="G1943" s="183">
        <v>150.0</v>
      </c>
      <c r="H1943" s="279" t="b">
        <v>1</v>
      </c>
      <c r="I1943" s="143" t="s">
        <v>1489</v>
      </c>
      <c r="J1943" s="41" t="s">
        <v>2031</v>
      </c>
      <c r="K1943" s="279" t="b">
        <v>0</v>
      </c>
      <c r="L1943" s="279" t="b">
        <v>1</v>
      </c>
    </row>
    <row r="1944" ht="14.25" customHeight="1">
      <c r="A1944" s="344">
        <v>46296.0</v>
      </c>
      <c r="B1944" s="132">
        <v>46314.0</v>
      </c>
      <c r="C1944" s="41" t="s">
        <v>61</v>
      </c>
      <c r="D1944" s="182">
        <v>1.0</v>
      </c>
      <c r="E1944" s="183">
        <v>150.0</v>
      </c>
      <c r="F1944" s="183">
        <v>150.0</v>
      </c>
      <c r="G1944" s="183">
        <v>150.0</v>
      </c>
      <c r="H1944" s="279" t="b">
        <v>1</v>
      </c>
      <c r="I1944" s="143" t="s">
        <v>490</v>
      </c>
      <c r="J1944" s="41" t="s">
        <v>1539</v>
      </c>
      <c r="K1944" s="279" t="b">
        <v>0</v>
      </c>
      <c r="L1944" s="279" t="b">
        <v>1</v>
      </c>
    </row>
    <row r="1945" ht="14.25" customHeight="1">
      <c r="A1945" s="344">
        <v>46296.0</v>
      </c>
      <c r="B1945" s="132">
        <v>46315.0</v>
      </c>
      <c r="C1945" s="41" t="s">
        <v>61</v>
      </c>
      <c r="D1945" s="182">
        <v>1.0</v>
      </c>
      <c r="E1945" s="183">
        <v>150.0</v>
      </c>
      <c r="F1945" s="183">
        <v>150.0</v>
      </c>
      <c r="G1945" s="183">
        <v>150.0</v>
      </c>
      <c r="H1945" s="279" t="b">
        <v>1</v>
      </c>
      <c r="I1945" s="143" t="s">
        <v>236</v>
      </c>
      <c r="J1945" s="41" t="s">
        <v>1772</v>
      </c>
      <c r="K1945" s="279" t="b">
        <v>0</v>
      </c>
      <c r="L1945" s="279" t="b">
        <v>1</v>
      </c>
    </row>
    <row r="1946" ht="14.25" customHeight="1">
      <c r="A1946" s="344">
        <v>46296.0</v>
      </c>
      <c r="B1946" s="132">
        <v>46296.0</v>
      </c>
      <c r="C1946" s="41"/>
      <c r="D1946" s="539"/>
      <c r="E1946" s="540"/>
      <c r="F1946" s="548"/>
      <c r="G1946" s="548"/>
      <c r="H1946" s="279" t="b">
        <v>0</v>
      </c>
      <c r="I1946" s="143"/>
      <c r="J1946" s="42"/>
      <c r="K1946" s="279" t="b">
        <v>0</v>
      </c>
      <c r="L1946" s="279" t="b">
        <v>0</v>
      </c>
    </row>
    <row r="1947" ht="14.25" customHeight="1">
      <c r="A1947" s="344">
        <v>46296.0</v>
      </c>
      <c r="B1947" s="132">
        <v>46296.0</v>
      </c>
      <c r="C1947" s="41"/>
      <c r="D1947" s="539"/>
      <c r="E1947" s="540"/>
      <c r="F1947" s="548"/>
      <c r="G1947" s="548"/>
      <c r="H1947" s="279" t="b">
        <v>0</v>
      </c>
      <c r="I1947" s="143"/>
      <c r="J1947" s="42"/>
      <c r="K1947" s="279" t="b">
        <v>0</v>
      </c>
      <c r="L1947" s="279" t="b">
        <v>0</v>
      </c>
    </row>
    <row r="1948" ht="14.25" customHeight="1">
      <c r="A1948" s="344">
        <v>46296.0</v>
      </c>
      <c r="B1948" s="132">
        <v>46296.0</v>
      </c>
      <c r="C1948" s="41"/>
      <c r="D1948" s="539"/>
      <c r="E1948" s="540"/>
      <c r="F1948" s="548"/>
      <c r="G1948" s="548"/>
      <c r="H1948" s="279" t="b">
        <v>0</v>
      </c>
      <c r="I1948" s="143"/>
      <c r="J1948" s="42"/>
      <c r="K1948" s="279" t="b">
        <v>0</v>
      </c>
      <c r="L1948" s="279" t="b">
        <v>0</v>
      </c>
    </row>
    <row r="1949" ht="14.25" customHeight="1">
      <c r="A1949" s="344">
        <v>46296.0</v>
      </c>
      <c r="B1949" s="132">
        <v>46296.0</v>
      </c>
      <c r="C1949" s="41"/>
      <c r="D1949" s="539"/>
      <c r="E1949" s="540"/>
      <c r="F1949" s="548"/>
      <c r="G1949" s="548"/>
      <c r="H1949" s="279" t="b">
        <v>0</v>
      </c>
      <c r="I1949" s="143"/>
      <c r="J1949" s="42"/>
      <c r="K1949" s="279" t="b">
        <v>0</v>
      </c>
      <c r="L1949" s="279" t="b">
        <v>0</v>
      </c>
    </row>
    <row r="1950" ht="14.25" customHeight="1">
      <c r="A1950" s="344">
        <v>46296.0</v>
      </c>
      <c r="B1950" s="132">
        <v>46296.0</v>
      </c>
      <c r="C1950" s="41"/>
      <c r="D1950" s="539"/>
      <c r="E1950" s="540"/>
      <c r="F1950" s="548"/>
      <c r="G1950" s="548"/>
      <c r="H1950" s="279" t="b">
        <v>0</v>
      </c>
      <c r="I1950" s="143"/>
      <c r="J1950" s="42"/>
      <c r="K1950" s="279" t="b">
        <v>0</v>
      </c>
      <c r="L1950" s="279" t="b">
        <v>0</v>
      </c>
    </row>
    <row r="1951" ht="14.25" customHeight="1">
      <c r="A1951" s="344">
        <v>46296.0</v>
      </c>
      <c r="B1951" s="132">
        <v>46296.0</v>
      </c>
      <c r="C1951" s="41"/>
      <c r="D1951" s="539"/>
      <c r="E1951" s="540"/>
      <c r="F1951" s="548"/>
      <c r="G1951" s="548"/>
      <c r="H1951" s="279" t="b">
        <v>0</v>
      </c>
      <c r="I1951" s="143"/>
      <c r="J1951" s="42"/>
      <c r="K1951" s="279" t="b">
        <v>0</v>
      </c>
      <c r="L1951" s="279" t="b">
        <v>0</v>
      </c>
    </row>
    <row r="1952" ht="14.25" customHeight="1">
      <c r="A1952" s="344">
        <v>46296.0</v>
      </c>
      <c r="B1952" s="132">
        <v>46296.0</v>
      </c>
      <c r="C1952" s="41"/>
      <c r="D1952" s="539"/>
      <c r="E1952" s="540"/>
      <c r="F1952" s="548"/>
      <c r="G1952" s="548"/>
      <c r="H1952" s="279" t="b">
        <v>0</v>
      </c>
      <c r="I1952" s="143"/>
      <c r="J1952" s="42"/>
      <c r="K1952" s="279" t="b">
        <v>0</v>
      </c>
      <c r="L1952" s="279" t="b">
        <v>0</v>
      </c>
    </row>
    <row r="1953" ht="14.25" customHeight="1">
      <c r="A1953" s="344">
        <v>46296.0</v>
      </c>
      <c r="B1953" s="132">
        <v>46296.0</v>
      </c>
      <c r="C1953" s="41"/>
      <c r="D1953" s="539"/>
      <c r="E1953" s="540"/>
      <c r="F1953" s="548"/>
      <c r="G1953" s="548"/>
      <c r="H1953" s="279" t="b">
        <v>0</v>
      </c>
      <c r="I1953" s="143"/>
      <c r="J1953" s="42"/>
      <c r="K1953" s="279" t="b">
        <v>0</v>
      </c>
      <c r="L1953" s="279" t="b">
        <v>0</v>
      </c>
    </row>
    <row r="1954" ht="14.25" customHeight="1">
      <c r="A1954" s="344">
        <v>46296.0</v>
      </c>
      <c r="B1954" s="132">
        <v>46296.0</v>
      </c>
      <c r="C1954" s="41"/>
      <c r="D1954" s="539"/>
      <c r="E1954" s="540"/>
      <c r="F1954" s="548"/>
      <c r="G1954" s="548"/>
      <c r="H1954" s="279" t="b">
        <v>0</v>
      </c>
      <c r="I1954" s="143"/>
      <c r="J1954" s="42"/>
      <c r="K1954" s="279" t="b">
        <v>0</v>
      </c>
      <c r="L1954" s="279" t="b">
        <v>0</v>
      </c>
    </row>
    <row r="1955" ht="14.25" customHeight="1">
      <c r="A1955" s="344">
        <v>46296.0</v>
      </c>
      <c r="B1955" s="132">
        <v>46296.0</v>
      </c>
      <c r="C1955" s="41"/>
      <c r="D1955" s="539"/>
      <c r="E1955" s="540"/>
      <c r="F1955" s="548"/>
      <c r="G1955" s="548"/>
      <c r="H1955" s="279" t="b">
        <v>0</v>
      </c>
      <c r="I1955" s="143"/>
      <c r="J1955" s="42"/>
      <c r="K1955" s="279" t="b">
        <v>0</v>
      </c>
      <c r="L1955" s="279" t="b">
        <v>0</v>
      </c>
    </row>
    <row r="1956" ht="14.25" customHeight="1">
      <c r="A1956" s="344">
        <v>46296.0</v>
      </c>
      <c r="B1956" s="132">
        <v>46296.0</v>
      </c>
      <c r="C1956" s="41"/>
      <c r="D1956" s="539"/>
      <c r="E1956" s="540"/>
      <c r="F1956" s="548"/>
      <c r="G1956" s="548"/>
      <c r="H1956" s="279" t="b">
        <v>0</v>
      </c>
      <c r="I1956" s="143"/>
      <c r="J1956" s="42"/>
      <c r="K1956" s="279" t="b">
        <v>0</v>
      </c>
      <c r="L1956" s="279" t="b">
        <v>0</v>
      </c>
    </row>
    <row r="1957" ht="14.25" customHeight="1">
      <c r="A1957" s="344">
        <v>46296.0</v>
      </c>
      <c r="B1957" s="132">
        <v>46296.0</v>
      </c>
      <c r="C1957" s="41"/>
      <c r="D1957" s="539"/>
      <c r="E1957" s="540"/>
      <c r="F1957" s="548"/>
      <c r="G1957" s="548"/>
      <c r="H1957" s="279" t="b">
        <v>0</v>
      </c>
      <c r="I1957" s="143"/>
      <c r="J1957" s="42"/>
      <c r="K1957" s="279" t="b">
        <v>0</v>
      </c>
      <c r="L1957" s="279" t="b">
        <v>0</v>
      </c>
    </row>
    <row r="1958" ht="14.25" customHeight="1">
      <c r="A1958" s="344">
        <v>46296.0</v>
      </c>
      <c r="B1958" s="132">
        <v>46296.0</v>
      </c>
      <c r="C1958" s="41"/>
      <c r="D1958" s="539"/>
      <c r="E1958" s="540"/>
      <c r="F1958" s="548"/>
      <c r="G1958" s="548"/>
      <c r="H1958" s="279" t="b">
        <v>0</v>
      </c>
      <c r="I1958" s="143"/>
      <c r="J1958" s="42"/>
      <c r="K1958" s="279" t="b">
        <v>0</v>
      </c>
      <c r="L1958" s="279" t="b">
        <v>0</v>
      </c>
    </row>
    <row r="1959" ht="14.25" customHeight="1">
      <c r="A1959" s="344">
        <v>46296.0</v>
      </c>
      <c r="B1959" s="132">
        <v>46296.0</v>
      </c>
      <c r="C1959" s="41"/>
      <c r="D1959" s="539"/>
      <c r="E1959" s="540"/>
      <c r="F1959" s="548"/>
      <c r="G1959" s="548"/>
      <c r="H1959" s="279" t="b">
        <v>0</v>
      </c>
      <c r="I1959" s="143"/>
      <c r="J1959" s="42"/>
      <c r="K1959" s="279" t="b">
        <v>0</v>
      </c>
      <c r="L1959" s="279" t="b">
        <v>0</v>
      </c>
    </row>
    <row r="1960" ht="14.25" customHeight="1">
      <c r="A1960" s="344">
        <v>46296.0</v>
      </c>
      <c r="B1960" s="132">
        <v>46296.0</v>
      </c>
      <c r="C1960" s="41"/>
      <c r="D1960" s="539"/>
      <c r="E1960" s="540"/>
      <c r="F1960" s="548"/>
      <c r="G1960" s="548"/>
      <c r="H1960" s="279" t="b">
        <v>0</v>
      </c>
      <c r="I1960" s="143"/>
      <c r="J1960" s="42"/>
      <c r="K1960" s="279" t="b">
        <v>0</v>
      </c>
      <c r="L1960" s="279" t="b">
        <v>0</v>
      </c>
    </row>
    <row r="1961" ht="14.25" customHeight="1">
      <c r="A1961" s="344">
        <v>46296.0</v>
      </c>
      <c r="B1961" s="132">
        <v>46296.0</v>
      </c>
      <c r="C1961" s="41"/>
      <c r="D1961" s="539"/>
      <c r="E1961" s="540"/>
      <c r="F1961" s="548"/>
      <c r="G1961" s="548"/>
      <c r="H1961" s="279" t="b">
        <v>0</v>
      </c>
      <c r="I1961" s="143"/>
      <c r="J1961" s="42"/>
      <c r="K1961" s="279" t="b">
        <v>0</v>
      </c>
      <c r="L1961" s="279" t="b">
        <v>0</v>
      </c>
    </row>
    <row r="1962" ht="14.25" customHeight="1">
      <c r="A1962" s="344">
        <v>46296.0</v>
      </c>
      <c r="B1962" s="132">
        <v>46296.0</v>
      </c>
      <c r="C1962" s="41"/>
      <c r="D1962" s="539"/>
      <c r="E1962" s="540"/>
      <c r="F1962" s="548"/>
      <c r="G1962" s="548"/>
      <c r="H1962" s="279" t="b">
        <v>0</v>
      </c>
      <c r="I1962" s="143"/>
      <c r="J1962" s="42"/>
      <c r="K1962" s="279" t="b">
        <v>0</v>
      </c>
      <c r="L1962" s="279" t="b">
        <v>0</v>
      </c>
    </row>
    <row r="1963" ht="14.25" customHeight="1">
      <c r="A1963" s="344">
        <v>46296.0</v>
      </c>
      <c r="B1963" s="132">
        <v>46296.0</v>
      </c>
      <c r="C1963" s="41"/>
      <c r="D1963" s="539"/>
      <c r="E1963" s="540"/>
      <c r="F1963" s="548"/>
      <c r="G1963" s="548"/>
      <c r="H1963" s="279" t="b">
        <v>0</v>
      </c>
      <c r="I1963" s="143"/>
      <c r="J1963" s="42"/>
      <c r="K1963" s="279" t="b">
        <v>0</v>
      </c>
      <c r="L1963" s="279" t="b">
        <v>0</v>
      </c>
    </row>
    <row r="1964" ht="14.25" customHeight="1">
      <c r="A1964" s="344">
        <v>46296.0</v>
      </c>
      <c r="B1964" s="132">
        <v>46296.0</v>
      </c>
      <c r="C1964" s="41"/>
      <c r="D1964" s="539"/>
      <c r="E1964" s="540"/>
      <c r="F1964" s="548"/>
      <c r="G1964" s="548"/>
      <c r="H1964" s="279" t="b">
        <v>0</v>
      </c>
      <c r="I1964" s="143"/>
      <c r="J1964" s="42"/>
      <c r="K1964" s="279" t="b">
        <v>0</v>
      </c>
      <c r="L1964" s="279" t="b">
        <v>0</v>
      </c>
    </row>
    <row r="1965" ht="14.25" customHeight="1">
      <c r="A1965" s="344">
        <v>46296.0</v>
      </c>
      <c r="B1965" s="132">
        <v>46296.0</v>
      </c>
      <c r="C1965" s="41"/>
      <c r="D1965" s="539"/>
      <c r="E1965" s="540"/>
      <c r="F1965" s="548"/>
      <c r="G1965" s="548"/>
      <c r="H1965" s="279" t="b">
        <v>0</v>
      </c>
      <c r="I1965" s="143"/>
      <c r="J1965" s="42"/>
      <c r="K1965" s="279" t="b">
        <v>0</v>
      </c>
      <c r="L1965" s="279" t="b">
        <v>0</v>
      </c>
    </row>
    <row r="1966" ht="14.25" customHeight="1">
      <c r="A1966" s="344">
        <v>46296.0</v>
      </c>
      <c r="B1966" s="132">
        <v>46296.0</v>
      </c>
      <c r="C1966" s="41"/>
      <c r="D1966" s="539"/>
      <c r="E1966" s="540"/>
      <c r="F1966" s="548"/>
      <c r="G1966" s="548"/>
      <c r="H1966" s="279" t="b">
        <v>0</v>
      </c>
      <c r="I1966" s="143"/>
      <c r="J1966" s="42"/>
      <c r="K1966" s="279" t="b">
        <v>0</v>
      </c>
      <c r="L1966" s="279" t="b">
        <v>0</v>
      </c>
    </row>
    <row r="1967" ht="14.25" customHeight="1">
      <c r="A1967" s="344">
        <v>46296.0</v>
      </c>
      <c r="B1967" s="132">
        <v>46296.0</v>
      </c>
      <c r="C1967" s="41"/>
      <c r="D1967" s="539"/>
      <c r="E1967" s="540"/>
      <c r="F1967" s="548"/>
      <c r="G1967" s="548"/>
      <c r="H1967" s="279" t="b">
        <v>0</v>
      </c>
      <c r="I1967" s="143"/>
      <c r="J1967" s="42"/>
      <c r="K1967" s="279" t="b">
        <v>0</v>
      </c>
      <c r="L1967" s="279" t="b">
        <v>0</v>
      </c>
    </row>
    <row r="1968" ht="14.25" customHeight="1">
      <c r="A1968" s="344">
        <v>46296.0</v>
      </c>
      <c r="B1968" s="132">
        <v>46296.0</v>
      </c>
      <c r="C1968" s="41"/>
      <c r="D1968" s="539"/>
      <c r="E1968" s="540"/>
      <c r="F1968" s="548"/>
      <c r="G1968" s="548"/>
      <c r="H1968" s="279" t="b">
        <v>0</v>
      </c>
      <c r="I1968" s="143"/>
      <c r="J1968" s="42"/>
      <c r="K1968" s="279" t="b">
        <v>0</v>
      </c>
      <c r="L1968" s="279" t="b">
        <v>0</v>
      </c>
    </row>
    <row r="1969" ht="14.25" customHeight="1">
      <c r="A1969" s="344">
        <v>46296.0</v>
      </c>
      <c r="B1969" s="132">
        <v>46296.0</v>
      </c>
      <c r="C1969" s="41"/>
      <c r="D1969" s="539"/>
      <c r="E1969" s="540"/>
      <c r="F1969" s="548"/>
      <c r="G1969" s="548"/>
      <c r="H1969" s="279" t="b">
        <v>0</v>
      </c>
      <c r="I1969" s="143"/>
      <c r="J1969" s="42"/>
      <c r="K1969" s="279" t="b">
        <v>0</v>
      </c>
      <c r="L1969" s="279" t="b">
        <v>0</v>
      </c>
    </row>
    <row r="1970" ht="14.25" customHeight="1">
      <c r="A1970" s="344">
        <v>46296.0</v>
      </c>
      <c r="B1970" s="132">
        <v>46296.0</v>
      </c>
      <c r="C1970" s="41"/>
      <c r="D1970" s="539"/>
      <c r="E1970" s="540"/>
      <c r="F1970" s="548"/>
      <c r="G1970" s="548"/>
      <c r="H1970" s="279" t="b">
        <v>0</v>
      </c>
      <c r="I1970" s="143"/>
      <c r="J1970" s="42"/>
      <c r="K1970" s="279" t="b">
        <v>0</v>
      </c>
      <c r="L1970" s="279" t="b">
        <v>0</v>
      </c>
    </row>
    <row r="1971" ht="14.25" customHeight="1">
      <c r="A1971" s="344">
        <v>46296.0</v>
      </c>
      <c r="B1971" s="132">
        <v>46296.0</v>
      </c>
      <c r="C1971" s="41"/>
      <c r="D1971" s="539"/>
      <c r="E1971" s="540"/>
      <c r="F1971" s="548"/>
      <c r="G1971" s="548"/>
      <c r="H1971" s="279" t="b">
        <v>0</v>
      </c>
      <c r="I1971" s="143"/>
      <c r="J1971" s="42"/>
      <c r="K1971" s="279" t="b">
        <v>0</v>
      </c>
      <c r="L1971" s="279" t="b">
        <v>0</v>
      </c>
    </row>
    <row r="1972" ht="14.25" customHeight="1">
      <c r="A1972" s="344">
        <v>46296.0</v>
      </c>
      <c r="B1972" s="132">
        <v>46296.0</v>
      </c>
      <c r="C1972" s="41"/>
      <c r="D1972" s="539"/>
      <c r="E1972" s="540"/>
      <c r="F1972" s="548"/>
      <c r="G1972" s="548"/>
      <c r="H1972" s="279" t="b">
        <v>0</v>
      </c>
      <c r="I1972" s="143"/>
      <c r="J1972" s="42"/>
      <c r="K1972" s="279" t="b">
        <v>0</v>
      </c>
      <c r="L1972" s="279" t="b">
        <v>0</v>
      </c>
    </row>
    <row r="1973" ht="14.25" customHeight="1">
      <c r="A1973" s="344">
        <v>46296.0</v>
      </c>
      <c r="B1973" s="132">
        <v>46296.0</v>
      </c>
      <c r="C1973" s="41"/>
      <c r="D1973" s="539"/>
      <c r="E1973" s="540"/>
      <c r="F1973" s="548"/>
      <c r="G1973" s="548"/>
      <c r="H1973" s="279" t="b">
        <v>0</v>
      </c>
      <c r="I1973" s="143"/>
      <c r="J1973" s="42"/>
      <c r="K1973" s="279" t="b">
        <v>0</v>
      </c>
      <c r="L1973" s="279" t="b">
        <v>0</v>
      </c>
    </row>
    <row r="1974" ht="14.25" customHeight="1">
      <c r="A1974" s="344">
        <v>46296.0</v>
      </c>
      <c r="B1974" s="132">
        <v>46296.0</v>
      </c>
      <c r="C1974" s="41"/>
      <c r="D1974" s="539"/>
      <c r="E1974" s="540"/>
      <c r="F1974" s="548"/>
      <c r="G1974" s="548"/>
      <c r="H1974" s="279" t="b">
        <v>0</v>
      </c>
      <c r="I1974" s="143"/>
      <c r="J1974" s="42"/>
      <c r="K1974" s="279" t="b">
        <v>0</v>
      </c>
      <c r="L1974" s="279" t="b">
        <v>0</v>
      </c>
    </row>
    <row r="1975" ht="14.25" customHeight="1">
      <c r="A1975" s="344">
        <v>46296.0</v>
      </c>
      <c r="B1975" s="132">
        <v>46296.0</v>
      </c>
      <c r="C1975" s="41"/>
      <c r="D1975" s="539"/>
      <c r="E1975" s="540"/>
      <c r="F1975" s="548"/>
      <c r="G1975" s="548"/>
      <c r="H1975" s="279" t="b">
        <v>0</v>
      </c>
      <c r="I1975" s="143"/>
      <c r="J1975" s="42"/>
      <c r="K1975" s="279" t="b">
        <v>0</v>
      </c>
      <c r="L1975" s="279" t="b">
        <v>0</v>
      </c>
    </row>
    <row r="1976" ht="14.25" customHeight="1">
      <c r="A1976" s="344">
        <v>46296.0</v>
      </c>
      <c r="B1976" s="132">
        <v>46296.0</v>
      </c>
      <c r="C1976" s="41"/>
      <c r="D1976" s="539"/>
      <c r="E1976" s="540"/>
      <c r="F1976" s="548"/>
      <c r="G1976" s="548"/>
      <c r="H1976" s="279" t="b">
        <v>0</v>
      </c>
      <c r="I1976" s="143"/>
      <c r="J1976" s="42"/>
      <c r="K1976" s="279" t="b">
        <v>0</v>
      </c>
      <c r="L1976" s="279" t="b">
        <v>0</v>
      </c>
    </row>
    <row r="1977" ht="14.25" customHeight="1">
      <c r="A1977" s="344">
        <v>46296.0</v>
      </c>
      <c r="B1977" s="132">
        <v>46296.0</v>
      </c>
      <c r="C1977" s="41"/>
      <c r="D1977" s="539"/>
      <c r="E1977" s="540"/>
      <c r="F1977" s="548"/>
      <c r="G1977" s="548"/>
      <c r="H1977" s="279" t="b">
        <v>0</v>
      </c>
      <c r="I1977" s="143"/>
      <c r="J1977" s="42"/>
      <c r="K1977" s="279" t="b">
        <v>0</v>
      </c>
      <c r="L1977" s="279" t="b">
        <v>0</v>
      </c>
    </row>
    <row r="1978" ht="14.25" customHeight="1">
      <c r="A1978" s="344">
        <v>46296.0</v>
      </c>
      <c r="B1978" s="132">
        <v>46296.0</v>
      </c>
      <c r="C1978" s="41"/>
      <c r="D1978" s="539"/>
      <c r="E1978" s="540"/>
      <c r="F1978" s="548"/>
      <c r="G1978" s="548"/>
      <c r="H1978" s="279" t="b">
        <v>0</v>
      </c>
      <c r="I1978" s="143"/>
      <c r="J1978" s="42"/>
      <c r="K1978" s="279" t="b">
        <v>0</v>
      </c>
      <c r="L1978" s="279" t="b">
        <v>0</v>
      </c>
    </row>
    <row r="1979" ht="14.25" customHeight="1">
      <c r="A1979" s="344">
        <v>46296.0</v>
      </c>
      <c r="B1979" s="132">
        <v>46296.0</v>
      </c>
      <c r="C1979" s="41"/>
      <c r="D1979" s="539"/>
      <c r="E1979" s="540"/>
      <c r="F1979" s="548"/>
      <c r="G1979" s="548"/>
      <c r="H1979" s="279" t="b">
        <v>0</v>
      </c>
      <c r="I1979" s="143"/>
      <c r="J1979" s="42"/>
      <c r="K1979" s="279" t="b">
        <v>0</v>
      </c>
      <c r="L1979" s="279" t="b">
        <v>0</v>
      </c>
    </row>
    <row r="1980" ht="14.25" customHeight="1">
      <c r="A1980" s="344">
        <v>46296.0</v>
      </c>
      <c r="B1980" s="132">
        <v>46296.0</v>
      </c>
      <c r="C1980" s="41"/>
      <c r="D1980" s="539"/>
      <c r="E1980" s="540"/>
      <c r="F1980" s="548"/>
      <c r="G1980" s="548"/>
      <c r="H1980" s="279" t="b">
        <v>0</v>
      </c>
      <c r="I1980" s="143"/>
      <c r="J1980" s="42"/>
      <c r="K1980" s="279" t="b">
        <v>0</v>
      </c>
      <c r="L1980" s="279" t="b">
        <v>0</v>
      </c>
    </row>
    <row r="1981" ht="14.25" customHeight="1">
      <c r="A1981" s="344">
        <v>46296.0</v>
      </c>
      <c r="B1981" s="132">
        <v>46296.0</v>
      </c>
      <c r="C1981" s="41"/>
      <c r="D1981" s="539"/>
      <c r="E1981" s="540"/>
      <c r="F1981" s="548"/>
      <c r="G1981" s="548"/>
      <c r="H1981" s="279" t="b">
        <v>0</v>
      </c>
      <c r="I1981" s="143"/>
      <c r="J1981" s="42"/>
      <c r="K1981" s="279" t="b">
        <v>0</v>
      </c>
      <c r="L1981" s="279" t="b">
        <v>0</v>
      </c>
    </row>
    <row r="1982" ht="14.25" customHeight="1">
      <c r="A1982" s="344">
        <v>46296.0</v>
      </c>
      <c r="B1982" s="132">
        <v>46296.0</v>
      </c>
      <c r="C1982" s="41"/>
      <c r="D1982" s="539"/>
      <c r="E1982" s="540"/>
      <c r="F1982" s="548"/>
      <c r="G1982" s="548"/>
      <c r="H1982" s="279" t="b">
        <v>0</v>
      </c>
      <c r="I1982" s="143"/>
      <c r="J1982" s="42"/>
      <c r="K1982" s="279" t="b">
        <v>0</v>
      </c>
      <c r="L1982" s="279" t="b">
        <v>0</v>
      </c>
    </row>
    <row r="1983" ht="14.25" customHeight="1">
      <c r="A1983" s="344">
        <v>46296.0</v>
      </c>
      <c r="B1983" s="132">
        <v>46296.0</v>
      </c>
      <c r="C1983" s="41"/>
      <c r="D1983" s="539"/>
      <c r="E1983" s="540"/>
      <c r="F1983" s="548"/>
      <c r="G1983" s="548"/>
      <c r="H1983" s="279" t="b">
        <v>0</v>
      </c>
      <c r="I1983" s="143"/>
      <c r="J1983" s="42"/>
      <c r="K1983" s="279" t="b">
        <v>0</v>
      </c>
      <c r="L1983" s="279" t="b">
        <v>0</v>
      </c>
    </row>
    <row r="1984" ht="14.25" customHeight="1">
      <c r="A1984" s="180" t="s">
        <v>192</v>
      </c>
      <c r="B1984" s="27"/>
      <c r="C1984" s="27"/>
      <c r="D1984" s="27"/>
      <c r="E1984" s="28"/>
      <c r="F1984" s="181">
        <f t="shared" ref="F1984:G1984" si="337">SUM(F1920:F1983)</f>
        <v>4310</v>
      </c>
      <c r="G1984" s="181">
        <f t="shared" si="337"/>
        <v>4310</v>
      </c>
    </row>
    <row r="1985" ht="14.25" customHeight="1"/>
    <row r="1986" ht="14.25" customHeight="1"/>
    <row r="1987" ht="14.25" customHeight="1"/>
    <row r="1988" ht="14.25" customHeight="1"/>
    <row r="1989" ht="14.25" customHeight="1"/>
    <row r="1990" ht="14.25" customHeight="1"/>
    <row r="1991" ht="14.25" customHeight="1"/>
    <row r="1992" ht="14.25" customHeight="1"/>
    <row r="1993" ht="14.25" customHeight="1"/>
    <row r="1994" ht="14.25" customHeight="1"/>
    <row r="1995" ht="14.25" customHeight="1"/>
    <row r="1996" ht="14.25" customHeight="1"/>
    <row r="1997" ht="14.25" customHeight="1"/>
    <row r="1998" ht="14.25" customHeight="1"/>
    <row r="1999" ht="14.25" customHeight="1"/>
    <row r="2000" ht="14.25" customHeight="1"/>
    <row r="2001" ht="14.25" customHeight="1"/>
    <row r="2002" ht="14.25" customHeight="1"/>
    <row r="2003" ht="14.25" customHeight="1"/>
    <row r="2004" ht="14.25" customHeight="1"/>
    <row r="2005" ht="14.25" customHeight="1"/>
    <row r="2006" ht="14.25" customHeight="1"/>
    <row r="2007" ht="14.25" customHeight="1"/>
    <row r="2008" ht="14.25" customHeight="1"/>
    <row r="2009" ht="14.25" customHeight="1"/>
    <row r="2010" ht="14.25" customHeight="1"/>
    <row r="2011" ht="14.25" customHeight="1"/>
    <row r="2012" ht="14.25" customHeight="1"/>
    <row r="2013" ht="14.25" customHeight="1"/>
    <row r="2014" ht="14.25" customHeight="1"/>
    <row r="2015" ht="14.25" customHeight="1"/>
    <row r="2016" ht="14.25" customHeight="1"/>
    <row r="2017" ht="14.25" customHeight="1"/>
    <row r="2018" ht="14.25" customHeight="1"/>
    <row r="2019" ht="14.25" customHeight="1"/>
    <row r="2020" ht="14.25" customHeight="1"/>
    <row r="2021" ht="14.25" customHeight="1"/>
    <row r="2022" ht="14.25" customHeight="1"/>
    <row r="2023" ht="14.25" customHeight="1"/>
    <row r="2024" ht="14.25" customHeight="1"/>
    <row r="2025" ht="14.25" customHeight="1"/>
    <row r="2026" ht="14.25" customHeight="1"/>
    <row r="2027" ht="14.25" customHeight="1"/>
    <row r="2028" ht="14.25" customHeight="1"/>
    <row r="2029" ht="14.25" customHeight="1"/>
    <row r="2030" ht="14.25" customHeight="1"/>
    <row r="2031" ht="14.25" customHeight="1"/>
    <row r="2032" ht="14.25" customHeight="1"/>
    <row r="2033" ht="14.25" customHeight="1"/>
    <row r="2034" ht="14.25" customHeight="1"/>
    <row r="2035" ht="14.25" customHeight="1"/>
    <row r="2036" ht="14.25" customHeight="1"/>
    <row r="2037" ht="14.25" customHeight="1"/>
    <row r="2038" ht="14.25" customHeight="1"/>
    <row r="2039" ht="14.25" customHeight="1"/>
    <row r="2040" ht="14.25" customHeight="1"/>
    <row r="2041" ht="14.25" customHeight="1"/>
    <row r="2042" ht="14.25" customHeight="1"/>
    <row r="2043" ht="14.25" customHeight="1"/>
    <row r="2044" ht="14.25" customHeight="1"/>
    <row r="2045" ht="14.25" customHeight="1"/>
    <row r="2046" ht="14.25" customHeight="1"/>
    <row r="2047" ht="14.25" customHeight="1"/>
    <row r="2048" ht="14.25" customHeight="1"/>
    <row r="2049" ht="14.25" customHeight="1"/>
    <row r="2050" ht="14.25" customHeight="1"/>
    <row r="2051" ht="14.25" customHeight="1"/>
    <row r="2052" ht="14.25" customHeight="1"/>
    <row r="2053" ht="14.25" customHeight="1"/>
    <row r="2054" ht="14.25" customHeight="1"/>
    <row r="2055" ht="14.25" customHeight="1"/>
    <row r="2056" ht="14.25" customHeight="1"/>
    <row r="2057" ht="14.25" customHeight="1"/>
    <row r="2058" ht="14.25" customHeight="1"/>
    <row r="2059" ht="14.25" customHeight="1"/>
    <row r="2060" ht="14.25" customHeight="1"/>
    <row r="2061" ht="14.25" customHeight="1"/>
    <row r="2062" ht="14.25" customHeight="1"/>
    <row r="2063" ht="14.25" customHeight="1"/>
    <row r="2064" ht="14.25" customHeight="1"/>
    <row r="2065" ht="14.25" customHeight="1"/>
    <row r="2066" ht="14.25" customHeight="1"/>
    <row r="2067" ht="14.25" customHeight="1"/>
    <row r="2068" ht="14.25" customHeight="1"/>
    <row r="2069" ht="14.25" customHeight="1"/>
    <row r="2070" ht="14.25" customHeight="1"/>
    <row r="2071" ht="14.25" customHeight="1"/>
    <row r="2072" ht="14.25" customHeight="1"/>
    <row r="2073" ht="14.25" customHeight="1"/>
    <row r="2074" ht="14.25" customHeight="1"/>
    <row r="2075" ht="14.25" customHeight="1"/>
    <row r="2076" ht="14.25" customHeight="1"/>
    <row r="2077" ht="14.25" customHeight="1"/>
    <row r="2078" ht="14.25" customHeight="1"/>
    <row r="2079" ht="14.25" customHeight="1"/>
    <row r="2080" ht="14.25" customHeight="1"/>
    <row r="2081" ht="14.25" customHeight="1"/>
    <row r="2082" ht="14.25" customHeight="1"/>
    <row r="2083" ht="14.25" customHeight="1"/>
    <row r="2084" ht="14.25" customHeight="1"/>
    <row r="2085" ht="14.25" customHeight="1"/>
    <row r="2086" ht="14.25" customHeight="1"/>
    <row r="2087" ht="14.25" customHeight="1"/>
    <row r="2088" ht="14.25" customHeight="1"/>
    <row r="2089" ht="14.25" customHeight="1"/>
    <row r="2090" ht="14.25" customHeight="1"/>
    <row r="2091" ht="14.25" customHeight="1"/>
    <row r="2092" ht="14.25" customHeight="1"/>
    <row r="2093" ht="14.25" customHeight="1"/>
    <row r="2094" ht="14.25" customHeight="1"/>
    <row r="2095" ht="14.25" customHeight="1"/>
    <row r="2096" ht="14.25" customHeight="1"/>
    <row r="2097" ht="14.25" customHeight="1"/>
    <row r="2098" ht="14.25" customHeight="1"/>
    <row r="2099" ht="14.25" customHeight="1"/>
    <row r="2100" ht="14.25" customHeight="1"/>
    <row r="2101" ht="14.25" customHeight="1"/>
    <row r="2102" ht="14.25" customHeight="1"/>
    <row r="2103" ht="14.25" customHeight="1"/>
    <row r="2104" ht="14.25" customHeight="1"/>
    <row r="2105" ht="14.25" customHeight="1"/>
    <row r="2106" ht="14.25" customHeight="1"/>
    <row r="2107" ht="14.25" customHeight="1"/>
    <row r="2108" ht="14.25" customHeight="1"/>
    <row r="2109" ht="14.25" customHeight="1"/>
    <row r="2110" ht="14.25" customHeight="1"/>
    <row r="2111" ht="14.25" customHeight="1"/>
    <row r="2112" ht="14.25" customHeight="1"/>
    <row r="2113" ht="14.25" customHeight="1"/>
    <row r="2114" ht="14.25" customHeight="1"/>
    <row r="2115" ht="14.25" customHeight="1"/>
    <row r="2116" ht="14.25" customHeight="1"/>
    <row r="2117" ht="14.25" customHeight="1"/>
    <row r="2118" ht="14.25" customHeight="1"/>
    <row r="2119" ht="14.25" customHeight="1"/>
    <row r="2120" ht="14.25" customHeight="1"/>
    <row r="2121" ht="14.25" customHeight="1"/>
    <row r="2122" ht="14.25" customHeight="1"/>
    <row r="2123" ht="14.25" customHeight="1"/>
    <row r="2124" ht="14.25" customHeight="1"/>
    <row r="2125" ht="14.25" customHeight="1"/>
    <row r="2126" ht="14.25" customHeight="1"/>
    <row r="2127" ht="14.25" customHeight="1"/>
    <row r="2128" ht="14.25" customHeight="1"/>
    <row r="2129" ht="14.25" customHeight="1"/>
    <row r="2130" ht="14.25" customHeight="1"/>
    <row r="2131" ht="14.25" customHeight="1"/>
    <row r="2132" ht="14.25" customHeight="1"/>
    <row r="2133" ht="14.25" customHeight="1"/>
    <row r="2134" ht="14.25" customHeight="1"/>
    <row r="2135" ht="14.25" customHeight="1"/>
    <row r="2136" ht="14.25" customHeight="1"/>
    <row r="2137" ht="14.25" customHeight="1"/>
    <row r="2138" ht="14.25" customHeight="1"/>
    <row r="2139" ht="14.25" customHeight="1"/>
    <row r="2140" ht="14.25" customHeight="1"/>
    <row r="2141" ht="14.25" customHeight="1"/>
    <row r="2142" ht="14.25" customHeight="1"/>
    <row r="2143" ht="14.25" customHeight="1"/>
    <row r="2144" ht="14.25" customHeight="1"/>
    <row r="2145" ht="14.25" customHeight="1"/>
    <row r="2146" ht="14.25" customHeight="1"/>
    <row r="2147" ht="14.25" customHeight="1"/>
    <row r="2148" ht="14.25" customHeight="1"/>
    <row r="2149" ht="14.25" customHeight="1"/>
    <row r="2150" ht="14.25" customHeight="1"/>
    <row r="2151" ht="14.25" customHeight="1"/>
    <row r="2152" ht="14.25" customHeight="1"/>
    <row r="2153" ht="14.25" customHeight="1"/>
    <row r="2154" ht="14.25" customHeight="1"/>
    <row r="2155" ht="14.25" customHeight="1"/>
    <row r="2156" ht="14.25" customHeight="1"/>
    <row r="2157" ht="14.25" customHeight="1"/>
    <row r="2158" ht="14.25" customHeight="1"/>
    <row r="2159" ht="14.25" customHeight="1"/>
    <row r="2160" ht="14.25" customHeight="1"/>
    <row r="2161" ht="14.25" customHeight="1"/>
    <row r="2162" ht="14.25" customHeight="1"/>
    <row r="2163" ht="14.25" customHeight="1"/>
    <row r="2164" ht="14.25" customHeight="1"/>
    <row r="2165" ht="14.25" customHeight="1"/>
    <row r="2166" ht="14.25" customHeight="1"/>
    <row r="2167" ht="14.25" customHeight="1"/>
    <row r="2168" ht="14.25" customHeight="1"/>
    <row r="2169" ht="14.25" customHeight="1"/>
  </sheetData>
  <mergeCells count="535">
    <mergeCell ref="G650:G651"/>
    <mergeCell ref="G652:G653"/>
    <mergeCell ref="H652:H653"/>
    <mergeCell ref="I652:I653"/>
    <mergeCell ref="K652:K653"/>
    <mergeCell ref="L652:L653"/>
    <mergeCell ref="A662:E662"/>
    <mergeCell ref="A663:J663"/>
    <mergeCell ref="G634:G636"/>
    <mergeCell ref="H634:H636"/>
    <mergeCell ref="I634:I636"/>
    <mergeCell ref="H650:H651"/>
    <mergeCell ref="I650:I651"/>
    <mergeCell ref="K650:K651"/>
    <mergeCell ref="L650:L651"/>
    <mergeCell ref="H514:H515"/>
    <mergeCell ref="I514:I515"/>
    <mergeCell ref="A530:E530"/>
    <mergeCell ref="H530:J530"/>
    <mergeCell ref="A531:J531"/>
    <mergeCell ref="K514:K515"/>
    <mergeCell ref="L514:L515"/>
    <mergeCell ref="H489:J489"/>
    <mergeCell ref="G505:G507"/>
    <mergeCell ref="H505:H507"/>
    <mergeCell ref="I505:I507"/>
    <mergeCell ref="K505:K507"/>
    <mergeCell ref="L505:L507"/>
    <mergeCell ref="G514:G515"/>
    <mergeCell ref="H557:H560"/>
    <mergeCell ref="I557:I560"/>
    <mergeCell ref="K557:K560"/>
    <mergeCell ref="L557:L560"/>
    <mergeCell ref="A576:E576"/>
    <mergeCell ref="H576:J576"/>
    <mergeCell ref="A577:J577"/>
    <mergeCell ref="G557:G560"/>
    <mergeCell ref="G582:G583"/>
    <mergeCell ref="H582:H583"/>
    <mergeCell ref="I582:I583"/>
    <mergeCell ref="K582:K583"/>
    <mergeCell ref="L582:L583"/>
    <mergeCell ref="G593:G594"/>
    <mergeCell ref="G618:G620"/>
    <mergeCell ref="A622:E622"/>
    <mergeCell ref="H622:J622"/>
    <mergeCell ref="A623:J623"/>
    <mergeCell ref="G679:G680"/>
    <mergeCell ref="H679:H680"/>
    <mergeCell ref="I679:I680"/>
    <mergeCell ref="K679:K680"/>
    <mergeCell ref="L679:L680"/>
    <mergeCell ref="A695:E695"/>
    <mergeCell ref="A696:J696"/>
    <mergeCell ref="G752:G753"/>
    <mergeCell ref="G756:G757"/>
    <mergeCell ref="H756:H757"/>
    <mergeCell ref="I756:I757"/>
    <mergeCell ref="K756:K757"/>
    <mergeCell ref="L756:L757"/>
    <mergeCell ref="G758:G760"/>
    <mergeCell ref="K758:K760"/>
    <mergeCell ref="L758:L760"/>
    <mergeCell ref="K771:K772"/>
    <mergeCell ref="L771:L772"/>
    <mergeCell ref="G795:G797"/>
    <mergeCell ref="H795:H797"/>
    <mergeCell ref="I795:I797"/>
    <mergeCell ref="K704:K705"/>
    <mergeCell ref="K706:K708"/>
    <mergeCell ref="K719:K721"/>
    <mergeCell ref="L719:L721"/>
    <mergeCell ref="G704:G705"/>
    <mergeCell ref="H704:H705"/>
    <mergeCell ref="I704:I705"/>
    <mergeCell ref="L704:L705"/>
    <mergeCell ref="H706:H708"/>
    <mergeCell ref="I706:I708"/>
    <mergeCell ref="L706:L708"/>
    <mergeCell ref="G706:G708"/>
    <mergeCell ref="G719:G721"/>
    <mergeCell ref="H719:H721"/>
    <mergeCell ref="I719:I721"/>
    <mergeCell ref="A739:E739"/>
    <mergeCell ref="A740:J740"/>
    <mergeCell ref="G750:G751"/>
    <mergeCell ref="I750:I751"/>
    <mergeCell ref="K750:K751"/>
    <mergeCell ref="L750:L751"/>
    <mergeCell ref="H752:H753"/>
    <mergeCell ref="I752:I753"/>
    <mergeCell ref="K752:K753"/>
    <mergeCell ref="L752:L753"/>
    <mergeCell ref="H758:H760"/>
    <mergeCell ref="I758:I760"/>
    <mergeCell ref="A775:E775"/>
    <mergeCell ref="A776:J776"/>
    <mergeCell ref="K795:K797"/>
    <mergeCell ref="L795:L797"/>
    <mergeCell ref="G823:G824"/>
    <mergeCell ref="H823:H824"/>
    <mergeCell ref="I823:I824"/>
    <mergeCell ref="K823:K824"/>
    <mergeCell ref="L823:L824"/>
    <mergeCell ref="A853:E853"/>
    <mergeCell ref="A854:J854"/>
    <mergeCell ref="G858:G860"/>
    <mergeCell ref="H858:H860"/>
    <mergeCell ref="I858:I860"/>
    <mergeCell ref="K858:K860"/>
    <mergeCell ref="L858:L860"/>
    <mergeCell ref="G870:G872"/>
    <mergeCell ref="H870:H872"/>
    <mergeCell ref="L870:L872"/>
    <mergeCell ref="I870:I872"/>
    <mergeCell ref="K870:K872"/>
    <mergeCell ref="G887:G888"/>
    <mergeCell ref="H887:H888"/>
    <mergeCell ref="I887:I888"/>
    <mergeCell ref="K887:K888"/>
    <mergeCell ref="L887:L888"/>
    <mergeCell ref="G897:G898"/>
    <mergeCell ref="H897:H898"/>
    <mergeCell ref="I897:I898"/>
    <mergeCell ref="K897:K898"/>
    <mergeCell ref="L897:L898"/>
    <mergeCell ref="G911:G912"/>
    <mergeCell ref="H911:H912"/>
    <mergeCell ref="L911:L912"/>
    <mergeCell ref="I911:I912"/>
    <mergeCell ref="K911:K912"/>
    <mergeCell ref="A923:E923"/>
    <mergeCell ref="A924:J924"/>
    <mergeCell ref="G934:G937"/>
    <mergeCell ref="H934:H937"/>
    <mergeCell ref="I934:I937"/>
    <mergeCell ref="K934:K937"/>
    <mergeCell ref="L934:L937"/>
    <mergeCell ref="G957:G958"/>
    <mergeCell ref="H957:H958"/>
    <mergeCell ref="I957:I958"/>
    <mergeCell ref="K957:K958"/>
    <mergeCell ref="L957:L958"/>
    <mergeCell ref="G963:G966"/>
    <mergeCell ref="H963:H966"/>
    <mergeCell ref="I963:I966"/>
    <mergeCell ref="K963:K966"/>
    <mergeCell ref="L963:L966"/>
    <mergeCell ref="H974:H977"/>
    <mergeCell ref="L974:L977"/>
    <mergeCell ref="A1001:E1001"/>
    <mergeCell ref="A1002:J1002"/>
    <mergeCell ref="I974:I977"/>
    <mergeCell ref="K974:K977"/>
    <mergeCell ref="K982:K983"/>
    <mergeCell ref="L982:L983"/>
    <mergeCell ref="K988:K989"/>
    <mergeCell ref="L988:L989"/>
    <mergeCell ref="G974:G977"/>
    <mergeCell ref="G982:G983"/>
    <mergeCell ref="H982:H983"/>
    <mergeCell ref="I982:I983"/>
    <mergeCell ref="G988:G989"/>
    <mergeCell ref="H988:H989"/>
    <mergeCell ref="I988:I989"/>
    <mergeCell ref="K1018:K1020"/>
    <mergeCell ref="K1021:K1023"/>
    <mergeCell ref="K1036:K1037"/>
    <mergeCell ref="L1036:L1037"/>
    <mergeCell ref="K1050:K1051"/>
    <mergeCell ref="L1050:L1051"/>
    <mergeCell ref="G1018:G1020"/>
    <mergeCell ref="H1018:H1020"/>
    <mergeCell ref="I1018:I1020"/>
    <mergeCell ref="L1018:L1020"/>
    <mergeCell ref="H1021:H1023"/>
    <mergeCell ref="I1021:I1023"/>
    <mergeCell ref="L1021:L1023"/>
    <mergeCell ref="G1052:G1053"/>
    <mergeCell ref="H1052:H1053"/>
    <mergeCell ref="I1052:I1053"/>
    <mergeCell ref="K1052:K1053"/>
    <mergeCell ref="L1052:L1053"/>
    <mergeCell ref="G1061:G1062"/>
    <mergeCell ref="H1061:H1062"/>
    <mergeCell ref="I1061:I1062"/>
    <mergeCell ref="K1061:K1062"/>
    <mergeCell ref="L1061:L1062"/>
    <mergeCell ref="A1074:E1074"/>
    <mergeCell ref="A1075:J1075"/>
    <mergeCell ref="G1021:G1023"/>
    <mergeCell ref="G1036:G1037"/>
    <mergeCell ref="H1036:H1037"/>
    <mergeCell ref="I1036:I1037"/>
    <mergeCell ref="G1050:G1051"/>
    <mergeCell ref="H1050:H1051"/>
    <mergeCell ref="I1050:I1051"/>
    <mergeCell ref="G1091:G1092"/>
    <mergeCell ref="H1091:H1092"/>
    <mergeCell ref="I1091:I1092"/>
    <mergeCell ref="K1091:K1092"/>
    <mergeCell ref="L1091:L1092"/>
    <mergeCell ref="G1099:G1100"/>
    <mergeCell ref="H1099:H1100"/>
    <mergeCell ref="L1099:L1100"/>
    <mergeCell ref="I1099:I1100"/>
    <mergeCell ref="K1099:K1100"/>
    <mergeCell ref="G1112:G1116"/>
    <mergeCell ref="H1112:H1116"/>
    <mergeCell ref="I1112:I1116"/>
    <mergeCell ref="K1112:K1116"/>
    <mergeCell ref="L1112:L1116"/>
    <mergeCell ref="G1130:G1131"/>
    <mergeCell ref="G1133:G1134"/>
    <mergeCell ref="H1133:H1134"/>
    <mergeCell ref="I1133:I1134"/>
    <mergeCell ref="A1153:E1153"/>
    <mergeCell ref="A1154:J1154"/>
    <mergeCell ref="G1121:G1122"/>
    <mergeCell ref="H1121:H1122"/>
    <mergeCell ref="I1121:I1122"/>
    <mergeCell ref="K1121:K1122"/>
    <mergeCell ref="L1121:L1122"/>
    <mergeCell ref="H1130:H1131"/>
    <mergeCell ref="L1130:L1131"/>
    <mergeCell ref="K1183:K1187"/>
    <mergeCell ref="L1183:L1187"/>
    <mergeCell ref="I1130:I1131"/>
    <mergeCell ref="K1130:K1131"/>
    <mergeCell ref="K1133:K1134"/>
    <mergeCell ref="L1133:L1134"/>
    <mergeCell ref="G1183:G1187"/>
    <mergeCell ref="H1183:H1187"/>
    <mergeCell ref="I1183:I1187"/>
    <mergeCell ref="G1200:G1201"/>
    <mergeCell ref="H1200:H1201"/>
    <mergeCell ref="I1200:I1201"/>
    <mergeCell ref="K1200:K1201"/>
    <mergeCell ref="L1200:L1201"/>
    <mergeCell ref="A1221:E1221"/>
    <mergeCell ref="A1222:J1222"/>
    <mergeCell ref="G1236:G1240"/>
    <mergeCell ref="H1236:H1240"/>
    <mergeCell ref="I1236:I1240"/>
    <mergeCell ref="K1236:K1240"/>
    <mergeCell ref="L1236:L1240"/>
    <mergeCell ref="G1264:G1265"/>
    <mergeCell ref="H1264:H1265"/>
    <mergeCell ref="L1264:L1265"/>
    <mergeCell ref="I1264:I1265"/>
    <mergeCell ref="K1264:K1265"/>
    <mergeCell ref="G1294:G1298"/>
    <mergeCell ref="H1294:H1298"/>
    <mergeCell ref="I1294:I1298"/>
    <mergeCell ref="K1294:K1298"/>
    <mergeCell ref="L1294:L1298"/>
    <mergeCell ref="A1306:E1306"/>
    <mergeCell ref="A1307:J1307"/>
    <mergeCell ref="G1315:G1316"/>
    <mergeCell ref="H1315:H1316"/>
    <mergeCell ref="I1315:I1316"/>
    <mergeCell ref="K1315:K1316"/>
    <mergeCell ref="L1315:L1316"/>
    <mergeCell ref="K1317:K1319"/>
    <mergeCell ref="K1321:K1323"/>
    <mergeCell ref="K1326:K1327"/>
    <mergeCell ref="L1326:L1327"/>
    <mergeCell ref="G1317:G1319"/>
    <mergeCell ref="H1317:H1319"/>
    <mergeCell ref="I1317:I1319"/>
    <mergeCell ref="L1317:L1319"/>
    <mergeCell ref="H1321:H1323"/>
    <mergeCell ref="I1321:I1323"/>
    <mergeCell ref="L1321:L1323"/>
    <mergeCell ref="A1370:E1370"/>
    <mergeCell ref="A1371:J1371"/>
    <mergeCell ref="G1321:G1323"/>
    <mergeCell ref="G1326:G1327"/>
    <mergeCell ref="H1326:H1327"/>
    <mergeCell ref="I1326:I1327"/>
    <mergeCell ref="G1355:G1356"/>
    <mergeCell ref="H1355:H1356"/>
    <mergeCell ref="I1355:I1356"/>
    <mergeCell ref="G1719:G1720"/>
    <mergeCell ref="H1719:H1720"/>
    <mergeCell ref="I1719:I1720"/>
    <mergeCell ref="K1719:K1720"/>
    <mergeCell ref="L1719:L1720"/>
    <mergeCell ref="K1670:K1671"/>
    <mergeCell ref="L1670:L1671"/>
    <mergeCell ref="G1685:G1686"/>
    <mergeCell ref="H1685:H1686"/>
    <mergeCell ref="I1685:I1686"/>
    <mergeCell ref="K1685:K1686"/>
    <mergeCell ref="L1685:L1686"/>
    <mergeCell ref="G1425:G1427"/>
    <mergeCell ref="H1425:H1427"/>
    <mergeCell ref="I1425:I1427"/>
    <mergeCell ref="K1425:K1427"/>
    <mergeCell ref="L1425:L1427"/>
    <mergeCell ref="A1434:E1434"/>
    <mergeCell ref="A1435:J1435"/>
    <mergeCell ref="G1450:G1451"/>
    <mergeCell ref="H1450:H1451"/>
    <mergeCell ref="I1450:I1451"/>
    <mergeCell ref="K1450:K1451"/>
    <mergeCell ref="L1450:L1451"/>
    <mergeCell ref="G1462:G1463"/>
    <mergeCell ref="H1462:H1463"/>
    <mergeCell ref="L1462:L1463"/>
    <mergeCell ref="K1520:K1521"/>
    <mergeCell ref="L1520:L1521"/>
    <mergeCell ref="I1462:I1463"/>
    <mergeCell ref="K1462:K1463"/>
    <mergeCell ref="A1501:E1501"/>
    <mergeCell ref="A1502:J1502"/>
    <mergeCell ref="G1520:G1521"/>
    <mergeCell ref="H1520:H1521"/>
    <mergeCell ref="I1520:I1521"/>
    <mergeCell ref="A1552:E1552"/>
    <mergeCell ref="A1553:J1553"/>
    <mergeCell ref="G1575:G1577"/>
    <mergeCell ref="H1575:H1577"/>
    <mergeCell ref="I1575:I1577"/>
    <mergeCell ref="K1575:K1577"/>
    <mergeCell ref="L1575:L1577"/>
    <mergeCell ref="A1606:E1606"/>
    <mergeCell ref="A1607:J1607"/>
    <mergeCell ref="A1649:E1649"/>
    <mergeCell ref="A1650:J1650"/>
    <mergeCell ref="G1670:G1671"/>
    <mergeCell ref="H1670:H1671"/>
    <mergeCell ref="I1670:I1671"/>
    <mergeCell ref="A1698:E1698"/>
    <mergeCell ref="A1699:J1699"/>
    <mergeCell ref="A1747:E1747"/>
    <mergeCell ref="A1748:J1748"/>
    <mergeCell ref="G1759:G1761"/>
    <mergeCell ref="H1759:H1761"/>
    <mergeCell ref="I1759:I1761"/>
    <mergeCell ref="G198:G200"/>
    <mergeCell ref="H198:H200"/>
    <mergeCell ref="I198:I200"/>
    <mergeCell ref="G180:G182"/>
    <mergeCell ref="H180:H182"/>
    <mergeCell ref="I180:I182"/>
    <mergeCell ref="G183:G184"/>
    <mergeCell ref="H183:H184"/>
    <mergeCell ref="I183:I184"/>
    <mergeCell ref="H190:J190"/>
    <mergeCell ref="I244:I245"/>
    <mergeCell ref="K244:K245"/>
    <mergeCell ref="L244:L245"/>
    <mergeCell ref="G255:G259"/>
    <mergeCell ref="H255:H259"/>
    <mergeCell ref="I255:I259"/>
    <mergeCell ref="K255:K259"/>
    <mergeCell ref="L255:L259"/>
    <mergeCell ref="A190:E190"/>
    <mergeCell ref="A191:J191"/>
    <mergeCell ref="A239:E239"/>
    <mergeCell ref="H239:J239"/>
    <mergeCell ref="A240:J240"/>
    <mergeCell ref="G244:G245"/>
    <mergeCell ref="H244:H245"/>
    <mergeCell ref="A2:J2"/>
    <mergeCell ref="G10:G12"/>
    <mergeCell ref="H10:H12"/>
    <mergeCell ref="I10:I12"/>
    <mergeCell ref="G13:G15"/>
    <mergeCell ref="H13:H15"/>
    <mergeCell ref="I13:I15"/>
    <mergeCell ref="A54:E54"/>
    <mergeCell ref="A55:J55"/>
    <mergeCell ref="G28:G38"/>
    <mergeCell ref="H28:H38"/>
    <mergeCell ref="I28:I38"/>
    <mergeCell ref="G46:G47"/>
    <mergeCell ref="H46:H47"/>
    <mergeCell ref="I46:I47"/>
    <mergeCell ref="H54:J54"/>
    <mergeCell ref="A104:E104"/>
    <mergeCell ref="A105:J105"/>
    <mergeCell ref="G116:G117"/>
    <mergeCell ref="H116:H117"/>
    <mergeCell ref="I116:I117"/>
    <mergeCell ref="G145:G146"/>
    <mergeCell ref="I145:I146"/>
    <mergeCell ref="A149:E149"/>
    <mergeCell ref="H149:J149"/>
    <mergeCell ref="A150:J150"/>
    <mergeCell ref="G62:G65"/>
    <mergeCell ref="H62:H65"/>
    <mergeCell ref="I62:I65"/>
    <mergeCell ref="G69:G70"/>
    <mergeCell ref="H69:H70"/>
    <mergeCell ref="I69:I70"/>
    <mergeCell ref="H104:J104"/>
    <mergeCell ref="A288:E288"/>
    <mergeCell ref="H288:J288"/>
    <mergeCell ref="A289:J289"/>
    <mergeCell ref="H291:H292"/>
    <mergeCell ref="I291:I292"/>
    <mergeCell ref="K291:K292"/>
    <mergeCell ref="L291:L292"/>
    <mergeCell ref="G331:G332"/>
    <mergeCell ref="G336:G339"/>
    <mergeCell ref="H336:H339"/>
    <mergeCell ref="I336:I339"/>
    <mergeCell ref="G342:G343"/>
    <mergeCell ref="H342:H343"/>
    <mergeCell ref="H357:J357"/>
    <mergeCell ref="G361:G362"/>
    <mergeCell ref="G369:G370"/>
    <mergeCell ref="H369:H370"/>
    <mergeCell ref="I369:I370"/>
    <mergeCell ref="G378:G379"/>
    <mergeCell ref="I378:I379"/>
    <mergeCell ref="H405:J405"/>
    <mergeCell ref="I432:I434"/>
    <mergeCell ref="K432:K434"/>
    <mergeCell ref="G408:G415"/>
    <mergeCell ref="H408:H415"/>
    <mergeCell ref="I408:I415"/>
    <mergeCell ref="K408:K415"/>
    <mergeCell ref="L408:L415"/>
    <mergeCell ref="G432:G434"/>
    <mergeCell ref="H432:H434"/>
    <mergeCell ref="L432:L434"/>
    <mergeCell ref="K296:K297"/>
    <mergeCell ref="L296:L297"/>
    <mergeCell ref="K312:K316"/>
    <mergeCell ref="L312:L316"/>
    <mergeCell ref="K331:K332"/>
    <mergeCell ref="L331:L332"/>
    <mergeCell ref="K336:K339"/>
    <mergeCell ref="L336:L339"/>
    <mergeCell ref="G291:G292"/>
    <mergeCell ref="G293:G295"/>
    <mergeCell ref="H293:H295"/>
    <mergeCell ref="I293:I295"/>
    <mergeCell ref="K293:K295"/>
    <mergeCell ref="L293:L295"/>
    <mergeCell ref="G296:G297"/>
    <mergeCell ref="H296:H297"/>
    <mergeCell ref="I296:I297"/>
    <mergeCell ref="G312:G316"/>
    <mergeCell ref="H312:H316"/>
    <mergeCell ref="I312:I316"/>
    <mergeCell ref="H331:H332"/>
    <mergeCell ref="I331:I332"/>
    <mergeCell ref="A357:E357"/>
    <mergeCell ref="A358:J358"/>
    <mergeCell ref="K359:K360"/>
    <mergeCell ref="K361:K362"/>
    <mergeCell ref="K369:K370"/>
    <mergeCell ref="L369:L370"/>
    <mergeCell ref="K378:K379"/>
    <mergeCell ref="L378:L379"/>
    <mergeCell ref="G359:G360"/>
    <mergeCell ref="H359:H360"/>
    <mergeCell ref="I359:I360"/>
    <mergeCell ref="L359:L360"/>
    <mergeCell ref="H361:H362"/>
    <mergeCell ref="I361:I362"/>
    <mergeCell ref="L361:L362"/>
    <mergeCell ref="A405:E405"/>
    <mergeCell ref="A406:J406"/>
    <mergeCell ref="A453:E453"/>
    <mergeCell ref="H453:J453"/>
    <mergeCell ref="A454:J454"/>
    <mergeCell ref="A489:E489"/>
    <mergeCell ref="A490:J490"/>
    <mergeCell ref="K593:K594"/>
    <mergeCell ref="L593:L594"/>
    <mergeCell ref="K601:K604"/>
    <mergeCell ref="L601:L604"/>
    <mergeCell ref="K618:K620"/>
    <mergeCell ref="L618:L620"/>
    <mergeCell ref="H593:H594"/>
    <mergeCell ref="I593:I594"/>
    <mergeCell ref="G601:G604"/>
    <mergeCell ref="H601:H604"/>
    <mergeCell ref="I601:I604"/>
    <mergeCell ref="H618:H620"/>
    <mergeCell ref="I618:I620"/>
    <mergeCell ref="K1759:K1761"/>
    <mergeCell ref="L1759:L1761"/>
    <mergeCell ref="G1776:G1778"/>
    <mergeCell ref="H1776:H1778"/>
    <mergeCell ref="I1776:I1778"/>
    <mergeCell ref="K1776:K1778"/>
    <mergeCell ref="L1776:L1778"/>
    <mergeCell ref="G1784:G1785"/>
    <mergeCell ref="H1784:H1785"/>
    <mergeCell ref="I1784:I1785"/>
    <mergeCell ref="L1784:L1785"/>
    <mergeCell ref="G1786:G1787"/>
    <mergeCell ref="H1786:H1787"/>
    <mergeCell ref="I1786:I1787"/>
    <mergeCell ref="L1786:L1787"/>
    <mergeCell ref="K1784:K1785"/>
    <mergeCell ref="K1786:K1787"/>
    <mergeCell ref="A1805:E1805"/>
    <mergeCell ref="A1806:J1806"/>
    <mergeCell ref="G1811:G1814"/>
    <mergeCell ref="H1811:H1814"/>
    <mergeCell ref="I1811:I1814"/>
    <mergeCell ref="K1811:K1814"/>
    <mergeCell ref="L1811:L1814"/>
    <mergeCell ref="G1825:G1826"/>
    <mergeCell ref="H1825:H1826"/>
    <mergeCell ref="I1825:I1826"/>
    <mergeCell ref="K1825:K1826"/>
    <mergeCell ref="L1825:L1826"/>
    <mergeCell ref="G1837:G1839"/>
    <mergeCell ref="H1837:H1839"/>
    <mergeCell ref="I1837:I1839"/>
    <mergeCell ref="K1837:K1839"/>
    <mergeCell ref="L1837:L1839"/>
    <mergeCell ref="G1841:G1844"/>
    <mergeCell ref="H1841:H1844"/>
    <mergeCell ref="G1872:G1873"/>
    <mergeCell ref="H1872:H1873"/>
    <mergeCell ref="I1872:I1873"/>
    <mergeCell ref="A1918:E1918"/>
    <mergeCell ref="A1919:J1919"/>
    <mergeCell ref="A1984:E1984"/>
    <mergeCell ref="G1854:G1855"/>
    <mergeCell ref="H1854:H1855"/>
    <mergeCell ref="I1854:I1855"/>
    <mergeCell ref="K1854:K1855"/>
    <mergeCell ref="L1854:L1855"/>
    <mergeCell ref="A1868:E1868"/>
    <mergeCell ref="A1869:J1869"/>
  </mergeCells>
  <conditionalFormatting sqref="K1:M1 C3:C53 D3:D52 E3:E53 F3:J54 C56:J103 C106:J107 C110:J111 C113:J115 C119:H143 I119:J148 C148:H148 C151:G188 H151:H186 I151:J188 C192:G238 H192:H237 I192:J238 C241:L287 K289:L356 C290:J356 M329:M332 M336:M343 M345 K358:L404 C359:J404 K406:L452 C407:J452 K454:L488 C455:J488 K490:L529 C491:J529 K531:L575 C532:J575 K577:L621 C578:J621 K623:L661 C624:J661 K663:L694 C664:J694 K696:L738 C697:J738 K740:L774 C741:J774 N741:N774 K776:L852 C777:J852 N777:N852 K854:L922 C855:J922 K924:L1000 C925:J1000 K1002:L1073 C1003:J1073 C1076:L1152 C1155:L1220 C1223:L1305 C1308:L1369 C1372:L1433 C1436:L1500 C1503:L1551 C1554:L1605 C1608:L1648 C1651:L1697 C1700:L1746 C1749:C1804 D1749:G1800 H1749:L1804 C1807:C1867 D1807:E1824 F1807:F1867 G1807:G1824 H1807:L1867 D1829:E1865 G1829:G1866 C1870:L1917 C1920:C1983 D1920:G1945 H1920:L1983">
    <cfRule type="expression" dxfId="6" priority="1">
      <formula>$H1</formula>
    </cfRule>
  </conditionalFormatting>
  <dataValidations>
    <dataValidation type="list" allowBlank="1" showErrorMessage="1" sqref="C1273">
      <formula1>Gerencial!$C$13:$C$40</formula1>
    </dataValidation>
    <dataValidation type="list" allowBlank="1" showErrorMessage="1" sqref="C3:C53 C56:C103 C106:C148 C151:C189 C192:C238 C241:C287 C290:C356 C359:C404 C407:C452 C455:C488 C491:C529 C532:C575 C578:C621 C624:C661 C664:C694 C697:C738 C741:C774 C777:C852 C855:C922 C925:C1000 C1003:C1073 C1076:C1152 C1155:C1220 C1223:C1272 C1274:C1305 C1308:C1369 C1372:C1433 C1436:C1500 C1503:C1551 C1554:C1605 C1608:C1648 C1651:C1697 C1700:C1746 C1749:C1804 C1807:C1867 C1870:C1917 C1920:C1983">
      <formula1>Gerencial!$C$13:$C$40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Row="1"/>
  <cols>
    <col customWidth="1" min="1" max="1" width="7.5"/>
    <col customWidth="1" min="2" max="2" width="11.5"/>
    <col customWidth="1" min="3" max="3" width="11.63"/>
    <col customWidth="1" min="4" max="4" width="22.38"/>
    <col customWidth="1" min="5" max="5" width="15.0"/>
    <col customWidth="1" min="6" max="6" width="9.75"/>
    <col customWidth="1" min="7" max="7" width="31.13"/>
    <col customWidth="1" min="8" max="8" width="5.88"/>
    <col customWidth="1" min="9" max="9" width="3.63"/>
    <col customWidth="1" min="10" max="10" width="3.38"/>
    <col customWidth="1" min="11" max="11" width="17.63"/>
    <col customWidth="1" min="12" max="12" width="8.13"/>
    <col customWidth="1" min="13" max="13" width="10.38"/>
    <col customWidth="1" min="14" max="14" width="6.13"/>
    <col customWidth="1" min="20" max="20" width="4.0"/>
    <col customWidth="1" min="21" max="21" width="16.25"/>
  </cols>
  <sheetData>
    <row r="1">
      <c r="A1" s="430" t="s">
        <v>103</v>
      </c>
      <c r="B1" s="430" t="s">
        <v>115</v>
      </c>
      <c r="C1" s="431" t="s">
        <v>104</v>
      </c>
      <c r="D1" s="430" t="s">
        <v>1749</v>
      </c>
      <c r="E1" s="430" t="s">
        <v>3</v>
      </c>
      <c r="F1" s="430" t="s">
        <v>9</v>
      </c>
      <c r="G1" s="430" t="s">
        <v>13</v>
      </c>
      <c r="H1" s="430" t="s">
        <v>1750</v>
      </c>
    </row>
    <row r="2" collapsed="1">
      <c r="A2" s="122" t="s">
        <v>31</v>
      </c>
      <c r="B2" s="22"/>
      <c r="C2" s="22"/>
      <c r="D2" s="22"/>
      <c r="E2" s="22"/>
      <c r="F2" s="22"/>
      <c r="G2" s="22"/>
      <c r="H2" s="23"/>
      <c r="I2" s="432"/>
      <c r="J2" s="432"/>
      <c r="K2" s="432"/>
      <c r="L2" s="432"/>
      <c r="M2" s="432"/>
      <c r="N2" s="432"/>
      <c r="O2" s="432"/>
      <c r="P2" s="432"/>
      <c r="Q2" s="432"/>
    </row>
    <row r="3" hidden="1" outlineLevel="1">
      <c r="A3" s="433">
        <v>45231.0</v>
      </c>
      <c r="B3" s="434">
        <f t="shared" ref="B3:B5" si="1">A3</f>
        <v>45231</v>
      </c>
      <c r="C3" s="435" t="s">
        <v>118</v>
      </c>
      <c r="D3" s="296" t="s">
        <v>1756</v>
      </c>
      <c r="E3" s="296" t="s">
        <v>1758</v>
      </c>
      <c r="F3" s="436">
        <v>130.0</v>
      </c>
      <c r="G3" s="435"/>
      <c r="H3" s="35" t="b">
        <v>1</v>
      </c>
      <c r="N3" s="437"/>
    </row>
    <row r="4" hidden="1" outlineLevel="1">
      <c r="A4" s="438">
        <v>45232.0</v>
      </c>
      <c r="B4" s="126">
        <f t="shared" si="1"/>
        <v>45232</v>
      </c>
      <c r="C4" s="127" t="s">
        <v>118</v>
      </c>
      <c r="D4" s="129" t="s">
        <v>1756</v>
      </c>
      <c r="E4" s="129" t="s">
        <v>1758</v>
      </c>
      <c r="F4" s="130">
        <v>130.0</v>
      </c>
      <c r="G4" s="127"/>
      <c r="H4" s="44" t="b">
        <v>1</v>
      </c>
      <c r="I4" s="439"/>
      <c r="J4" s="439"/>
    </row>
    <row r="5" hidden="1" outlineLevel="1">
      <c r="A5" s="96">
        <v>45233.0</v>
      </c>
      <c r="B5" s="97">
        <f t="shared" si="1"/>
        <v>45233</v>
      </c>
      <c r="C5" s="151" t="s">
        <v>118</v>
      </c>
      <c r="D5" s="129" t="s">
        <v>183</v>
      </c>
      <c r="E5" s="129" t="s">
        <v>1758</v>
      </c>
      <c r="F5" s="130">
        <v>150.0</v>
      </c>
      <c r="G5" s="127"/>
      <c r="H5" s="44" t="b">
        <v>1</v>
      </c>
      <c r="I5" s="51"/>
      <c r="J5" s="51"/>
      <c r="K5" s="51"/>
      <c r="L5" s="51"/>
      <c r="M5" s="51"/>
    </row>
    <row r="6" hidden="1" outlineLevel="1">
      <c r="A6" s="58"/>
      <c r="B6" s="58"/>
      <c r="C6" s="10"/>
      <c r="D6" s="129" t="s">
        <v>1756</v>
      </c>
      <c r="E6" s="129" t="s">
        <v>1758</v>
      </c>
      <c r="F6" s="130">
        <v>130.0</v>
      </c>
      <c r="G6" s="129"/>
      <c r="H6" s="44" t="b">
        <v>1</v>
      </c>
      <c r="I6" s="437"/>
      <c r="J6" s="437"/>
      <c r="K6" s="440" t="s">
        <v>1760</v>
      </c>
      <c r="L6" s="27"/>
      <c r="M6" s="27"/>
      <c r="N6" s="27"/>
      <c r="O6" s="27"/>
      <c r="P6" s="27"/>
      <c r="Q6" s="27"/>
    </row>
    <row r="7" hidden="1" outlineLevel="1">
      <c r="A7" s="10"/>
      <c r="B7" s="10"/>
      <c r="C7" s="127" t="s">
        <v>136</v>
      </c>
      <c r="D7" s="129" t="s">
        <v>1761</v>
      </c>
      <c r="E7" s="129" t="s">
        <v>1758</v>
      </c>
      <c r="F7" s="130">
        <v>150.0</v>
      </c>
      <c r="G7" s="129" t="s">
        <v>139</v>
      </c>
      <c r="H7" s="44" t="b">
        <v>1</v>
      </c>
      <c r="I7" s="437"/>
      <c r="J7" s="437"/>
      <c r="K7" s="441" t="s">
        <v>1749</v>
      </c>
      <c r="L7" s="441" t="s">
        <v>1758</v>
      </c>
      <c r="M7" s="441" t="s">
        <v>469</v>
      </c>
      <c r="N7" s="441" t="s">
        <v>195</v>
      </c>
      <c r="O7" s="441" t="s">
        <v>1764</v>
      </c>
      <c r="P7" s="441" t="s">
        <v>1765</v>
      </c>
      <c r="Q7" s="441" t="s">
        <v>1766</v>
      </c>
    </row>
    <row r="8" hidden="1" outlineLevel="1">
      <c r="A8" s="443">
        <v>45235.0</v>
      </c>
      <c r="B8" s="446">
        <f>A8</f>
        <v>45235</v>
      </c>
      <c r="C8" s="447" t="s">
        <v>118</v>
      </c>
      <c r="D8" s="447" t="s">
        <v>1761</v>
      </c>
      <c r="E8" s="447" t="s">
        <v>1758</v>
      </c>
      <c r="F8" s="449">
        <v>200.0</v>
      </c>
      <c r="G8" s="450"/>
      <c r="H8" s="44" t="b">
        <v>1</v>
      </c>
      <c r="I8" s="452"/>
      <c r="J8" s="452"/>
      <c r="K8" s="91" t="s">
        <v>1761</v>
      </c>
      <c r="L8" s="90">
        <f t="shared" ref="L8:L14" si="2">COUNTIFS($D$3:$D$42, $K8,$E$3:$E$42,$L$7)</f>
        <v>7</v>
      </c>
      <c r="M8" s="90">
        <f t="shared" ref="M8:M14" si="3">COUNTIFS($D$3:$D$42, $K8,$E$3:$E$42,$M$7)</f>
        <v>0</v>
      </c>
      <c r="N8" s="276">
        <f t="shared" ref="N8:N14" si="4">L8+M8</f>
        <v>7</v>
      </c>
      <c r="O8" s="424">
        <f t="shared" ref="O8:O14" si="5">SUMIFS($F$3:$F$42,$D$3:$D$42,$K8)</f>
        <v>1250</v>
      </c>
      <c r="P8" s="424">
        <f t="shared" ref="P8:P14" si="6">SUMIFS($F$3:$F$42,$D$3:$D$42,$K8,$H$3:$H$42,TRUE)</f>
        <v>1250</v>
      </c>
      <c r="Q8" s="424">
        <f t="shared" ref="Q8:Q14" si="7">O8-P8</f>
        <v>0</v>
      </c>
    </row>
    <row r="9" hidden="1" outlineLevel="1">
      <c r="A9" s="10"/>
      <c r="B9" s="10"/>
      <c r="C9" s="447" t="s">
        <v>136</v>
      </c>
      <c r="D9" s="447" t="s">
        <v>1816</v>
      </c>
      <c r="E9" s="447" t="s">
        <v>1758</v>
      </c>
      <c r="F9" s="449">
        <v>200.0</v>
      </c>
      <c r="G9" s="450"/>
      <c r="H9" s="44" t="b">
        <v>1</v>
      </c>
      <c r="I9" s="452"/>
      <c r="J9" s="452"/>
      <c r="K9" s="91" t="s">
        <v>183</v>
      </c>
      <c r="L9" s="90">
        <f t="shared" si="2"/>
        <v>6</v>
      </c>
      <c r="M9" s="90">
        <f t="shared" si="3"/>
        <v>0</v>
      </c>
      <c r="N9" s="276">
        <f t="shared" si="4"/>
        <v>6</v>
      </c>
      <c r="O9" s="424">
        <f t="shared" si="5"/>
        <v>600</v>
      </c>
      <c r="P9" s="424">
        <f t="shared" si="6"/>
        <v>600</v>
      </c>
      <c r="Q9" s="424">
        <f t="shared" si="7"/>
        <v>0</v>
      </c>
    </row>
    <row r="10" hidden="1" outlineLevel="1">
      <c r="A10" s="125">
        <v>45236.0</v>
      </c>
      <c r="B10" s="126">
        <f t="shared" ref="B10:B11" si="8">A10</f>
        <v>45236</v>
      </c>
      <c r="C10" s="129" t="s">
        <v>118</v>
      </c>
      <c r="D10" s="129" t="s">
        <v>1756</v>
      </c>
      <c r="E10" s="129" t="s">
        <v>1758</v>
      </c>
      <c r="F10" s="130">
        <v>130.0</v>
      </c>
      <c r="G10" s="127"/>
      <c r="H10" s="44" t="b">
        <v>1</v>
      </c>
      <c r="I10" s="452"/>
      <c r="J10" s="452"/>
      <c r="K10" s="91" t="s">
        <v>1756</v>
      </c>
      <c r="L10" s="90">
        <f t="shared" si="2"/>
        <v>15</v>
      </c>
      <c r="M10" s="90">
        <f t="shared" si="3"/>
        <v>6</v>
      </c>
      <c r="N10" s="276">
        <f t="shared" si="4"/>
        <v>21</v>
      </c>
      <c r="O10" s="424">
        <f t="shared" si="5"/>
        <v>2730</v>
      </c>
      <c r="P10" s="424">
        <f t="shared" si="6"/>
        <v>2730</v>
      </c>
      <c r="Q10" s="424">
        <f t="shared" si="7"/>
        <v>0</v>
      </c>
    </row>
    <row r="11" hidden="1" outlineLevel="1">
      <c r="A11" s="102">
        <v>45237.0</v>
      </c>
      <c r="B11" s="97">
        <f t="shared" si="8"/>
        <v>45237</v>
      </c>
      <c r="C11" s="129" t="s">
        <v>118</v>
      </c>
      <c r="D11" s="129" t="s">
        <v>183</v>
      </c>
      <c r="E11" s="129" t="s">
        <v>1758</v>
      </c>
      <c r="F11" s="130">
        <v>150.0</v>
      </c>
      <c r="G11" s="127"/>
      <c r="H11" s="44" t="b">
        <v>1</v>
      </c>
      <c r="I11" s="452"/>
      <c r="J11" s="452"/>
      <c r="K11" s="91" t="s">
        <v>1816</v>
      </c>
      <c r="L11" s="90">
        <f t="shared" si="2"/>
        <v>1</v>
      </c>
      <c r="M11" s="90">
        <f t="shared" si="3"/>
        <v>0</v>
      </c>
      <c r="N11" s="276">
        <f t="shared" si="4"/>
        <v>1</v>
      </c>
      <c r="O11" s="424">
        <f t="shared" si="5"/>
        <v>200</v>
      </c>
      <c r="P11" s="424">
        <f t="shared" si="6"/>
        <v>200</v>
      </c>
      <c r="Q11" s="424">
        <f t="shared" si="7"/>
        <v>0</v>
      </c>
    </row>
    <row r="12" hidden="1" outlineLevel="1">
      <c r="A12" s="10"/>
      <c r="B12" s="10"/>
      <c r="C12" s="129" t="s">
        <v>118</v>
      </c>
      <c r="D12" s="129" t="s">
        <v>1756</v>
      </c>
      <c r="E12" s="129" t="s">
        <v>469</v>
      </c>
      <c r="F12" s="130">
        <v>130.0</v>
      </c>
      <c r="G12" s="127"/>
      <c r="H12" s="44" t="b">
        <v>1</v>
      </c>
      <c r="I12" s="452"/>
      <c r="J12" s="452"/>
      <c r="K12" s="91" t="s">
        <v>1845</v>
      </c>
      <c r="L12" s="90">
        <f t="shared" si="2"/>
        <v>1</v>
      </c>
      <c r="M12" s="90">
        <f t="shared" si="3"/>
        <v>0</v>
      </c>
      <c r="N12" s="276">
        <f t="shared" si="4"/>
        <v>1</v>
      </c>
      <c r="O12" s="424">
        <f t="shared" si="5"/>
        <v>200</v>
      </c>
      <c r="P12" s="424">
        <f t="shared" si="6"/>
        <v>200</v>
      </c>
      <c r="Q12" s="424">
        <f t="shared" si="7"/>
        <v>0</v>
      </c>
    </row>
    <row r="13" hidden="1" outlineLevel="1">
      <c r="A13" s="125">
        <v>45238.0</v>
      </c>
      <c r="B13" s="126">
        <f t="shared" ref="B13:B15" si="9">A13</f>
        <v>45238</v>
      </c>
      <c r="C13" s="129" t="s">
        <v>118</v>
      </c>
      <c r="D13" s="129" t="s">
        <v>1756</v>
      </c>
      <c r="E13" s="129" t="s">
        <v>1758</v>
      </c>
      <c r="F13" s="130">
        <v>130.0</v>
      </c>
      <c r="G13" s="127"/>
      <c r="H13" s="44" t="b">
        <v>1</v>
      </c>
      <c r="I13" s="452"/>
      <c r="J13" s="452"/>
      <c r="K13" s="91" t="s">
        <v>363</v>
      </c>
      <c r="L13" s="90">
        <f t="shared" si="2"/>
        <v>1</v>
      </c>
      <c r="M13" s="90">
        <f t="shared" si="3"/>
        <v>0</v>
      </c>
      <c r="N13" s="276">
        <f t="shared" si="4"/>
        <v>1</v>
      </c>
      <c r="O13" s="424">
        <f t="shared" si="5"/>
        <v>200</v>
      </c>
      <c r="P13" s="424">
        <f t="shared" si="6"/>
        <v>200</v>
      </c>
      <c r="Q13" s="424">
        <f t="shared" si="7"/>
        <v>0</v>
      </c>
    </row>
    <row r="14" hidden="1" outlineLevel="1">
      <c r="A14" s="125">
        <v>45239.0</v>
      </c>
      <c r="B14" s="126">
        <f t="shared" si="9"/>
        <v>45239</v>
      </c>
      <c r="C14" s="129" t="s">
        <v>118</v>
      </c>
      <c r="D14" s="129" t="s">
        <v>1756</v>
      </c>
      <c r="E14" s="129" t="s">
        <v>1758</v>
      </c>
      <c r="F14" s="130">
        <v>130.0</v>
      </c>
      <c r="G14" s="127"/>
      <c r="H14" s="44" t="b">
        <v>1</v>
      </c>
      <c r="I14" s="452"/>
      <c r="J14" s="452"/>
      <c r="K14" s="91" t="s">
        <v>1810</v>
      </c>
      <c r="L14" s="90">
        <f t="shared" si="2"/>
        <v>3</v>
      </c>
      <c r="M14" s="90">
        <f t="shared" si="3"/>
        <v>0</v>
      </c>
      <c r="N14" s="276">
        <f t="shared" si="4"/>
        <v>3</v>
      </c>
      <c r="O14" s="424">
        <f t="shared" si="5"/>
        <v>130</v>
      </c>
      <c r="P14" s="424">
        <f t="shared" si="6"/>
        <v>130</v>
      </c>
      <c r="Q14" s="424">
        <f t="shared" si="7"/>
        <v>0</v>
      </c>
    </row>
    <row r="15" hidden="1" outlineLevel="1">
      <c r="A15" s="102">
        <v>45240.0</v>
      </c>
      <c r="B15" s="97">
        <f t="shared" si="9"/>
        <v>45240</v>
      </c>
      <c r="C15" s="179" t="s">
        <v>118</v>
      </c>
      <c r="D15" s="129" t="s">
        <v>1761</v>
      </c>
      <c r="E15" s="129" t="s">
        <v>1758</v>
      </c>
      <c r="F15" s="130">
        <v>150.0</v>
      </c>
      <c r="G15" s="127"/>
      <c r="H15" s="44" t="b">
        <v>1</v>
      </c>
      <c r="I15" s="452"/>
      <c r="J15" s="452"/>
      <c r="K15" s="90"/>
      <c r="L15" s="90"/>
      <c r="M15" s="90"/>
      <c r="N15" s="276"/>
      <c r="O15" s="276"/>
      <c r="P15" s="276"/>
      <c r="Q15" s="276"/>
    </row>
    <row r="16" hidden="1" outlineLevel="1">
      <c r="A16" s="10"/>
      <c r="B16" s="10"/>
      <c r="C16" s="10"/>
      <c r="D16" s="129" t="s">
        <v>1756</v>
      </c>
      <c r="E16" s="129" t="s">
        <v>469</v>
      </c>
      <c r="F16" s="130">
        <v>130.0</v>
      </c>
      <c r="G16" s="127"/>
      <c r="H16" s="44" t="b">
        <v>1</v>
      </c>
      <c r="I16" s="452"/>
      <c r="J16" s="452"/>
      <c r="K16" s="90"/>
      <c r="L16" s="90"/>
      <c r="M16" s="90"/>
      <c r="N16" s="276"/>
      <c r="O16" s="276"/>
      <c r="P16" s="276"/>
      <c r="Q16" s="276"/>
    </row>
    <row r="17" hidden="1" outlineLevel="1">
      <c r="A17" s="443">
        <v>45242.0</v>
      </c>
      <c r="B17" s="446">
        <f>A17</f>
        <v>45242</v>
      </c>
      <c r="C17" s="447" t="s">
        <v>118</v>
      </c>
      <c r="D17" s="447" t="s">
        <v>1761</v>
      </c>
      <c r="E17" s="447" t="s">
        <v>1758</v>
      </c>
      <c r="F17" s="449">
        <v>200.0</v>
      </c>
      <c r="G17" s="450"/>
      <c r="H17" s="44" t="b">
        <v>1</v>
      </c>
      <c r="I17" s="51"/>
      <c r="J17" s="51"/>
      <c r="K17" s="90"/>
      <c r="L17" s="90"/>
      <c r="M17" s="90"/>
      <c r="N17" s="276"/>
      <c r="O17" s="276"/>
      <c r="P17" s="276"/>
      <c r="Q17" s="276"/>
    </row>
    <row r="18" hidden="1" outlineLevel="1">
      <c r="A18" s="10"/>
      <c r="B18" s="10"/>
      <c r="C18" s="447" t="s">
        <v>136</v>
      </c>
      <c r="D18" s="447" t="s">
        <v>1845</v>
      </c>
      <c r="E18" s="447" t="s">
        <v>1758</v>
      </c>
      <c r="F18" s="449">
        <v>200.0</v>
      </c>
      <c r="G18" s="450"/>
      <c r="H18" s="44" t="b">
        <v>1</v>
      </c>
      <c r="I18" s="51"/>
      <c r="J18" s="51"/>
      <c r="K18" s="90"/>
      <c r="L18" s="90"/>
      <c r="M18" s="90"/>
      <c r="N18" s="276"/>
      <c r="O18" s="276"/>
      <c r="P18" s="276"/>
      <c r="Q18" s="276"/>
    </row>
    <row r="19" hidden="1" outlineLevel="1">
      <c r="A19" s="125">
        <v>45243.0</v>
      </c>
      <c r="B19" s="126">
        <f t="shared" ref="B19:B20" si="10">A19</f>
        <v>45243</v>
      </c>
      <c r="C19" s="129" t="s">
        <v>118</v>
      </c>
      <c r="D19" s="129" t="s">
        <v>1756</v>
      </c>
      <c r="E19" s="129" t="s">
        <v>1758</v>
      </c>
      <c r="F19" s="130">
        <v>130.0</v>
      </c>
      <c r="G19" s="127"/>
      <c r="H19" s="44" t="b">
        <v>1</v>
      </c>
      <c r="I19" s="51"/>
      <c r="J19" s="51"/>
      <c r="K19" s="90"/>
      <c r="L19" s="90"/>
      <c r="M19" s="90"/>
      <c r="N19" s="276"/>
      <c r="O19" s="276"/>
      <c r="P19" s="276"/>
      <c r="Q19" s="276"/>
    </row>
    <row r="20" hidden="1" outlineLevel="1">
      <c r="A20" s="102">
        <v>45244.0</v>
      </c>
      <c r="B20" s="97">
        <f t="shared" si="10"/>
        <v>45244</v>
      </c>
      <c r="C20" s="179" t="s">
        <v>118</v>
      </c>
      <c r="D20" s="129" t="s">
        <v>183</v>
      </c>
      <c r="E20" s="129" t="s">
        <v>1758</v>
      </c>
      <c r="F20" s="130">
        <v>150.0</v>
      </c>
      <c r="G20" s="127"/>
      <c r="H20" s="44" t="b">
        <v>1</v>
      </c>
      <c r="I20" s="51"/>
      <c r="J20" s="51"/>
      <c r="K20" s="90"/>
      <c r="L20" s="90"/>
      <c r="M20" s="90"/>
      <c r="N20" s="276"/>
      <c r="O20" s="276"/>
      <c r="P20" s="276"/>
      <c r="Q20" s="276"/>
    </row>
    <row r="21" hidden="1" outlineLevel="1">
      <c r="A21" s="10"/>
      <c r="B21" s="10"/>
      <c r="C21" s="10"/>
      <c r="D21" s="129" t="s">
        <v>1756</v>
      </c>
      <c r="E21" s="129" t="s">
        <v>469</v>
      </c>
      <c r="F21" s="130">
        <v>130.0</v>
      </c>
      <c r="G21" s="127"/>
      <c r="H21" s="44" t="b">
        <v>1</v>
      </c>
      <c r="I21" s="51"/>
      <c r="J21" s="51"/>
      <c r="K21" s="90"/>
      <c r="L21" s="90"/>
      <c r="M21" s="90"/>
      <c r="N21" s="276"/>
      <c r="O21" s="276"/>
      <c r="P21" s="276"/>
      <c r="Q21" s="276"/>
    </row>
    <row r="22" hidden="1" outlineLevel="1">
      <c r="A22" s="125">
        <v>45245.0</v>
      </c>
      <c r="B22" s="126">
        <f t="shared" ref="B22:B24" si="11">A22</f>
        <v>45245</v>
      </c>
      <c r="C22" s="129" t="s">
        <v>118</v>
      </c>
      <c r="D22" s="129" t="s">
        <v>1756</v>
      </c>
      <c r="E22" s="129" t="s">
        <v>1758</v>
      </c>
      <c r="F22" s="130">
        <v>130.0</v>
      </c>
      <c r="G22" s="127"/>
      <c r="H22" s="44" t="b">
        <v>1</v>
      </c>
      <c r="I22" s="51"/>
      <c r="J22" s="51"/>
      <c r="K22" s="90"/>
      <c r="L22" s="90"/>
      <c r="M22" s="90"/>
      <c r="N22" s="276"/>
      <c r="O22" s="276"/>
      <c r="P22" s="276"/>
      <c r="Q22" s="276"/>
    </row>
    <row r="23" hidden="1" outlineLevel="1">
      <c r="A23" s="125">
        <v>45246.0</v>
      </c>
      <c r="B23" s="126">
        <f t="shared" si="11"/>
        <v>45246</v>
      </c>
      <c r="C23" s="129" t="s">
        <v>118</v>
      </c>
      <c r="D23" s="129" t="s">
        <v>1756</v>
      </c>
      <c r="E23" s="129" t="s">
        <v>1758</v>
      </c>
      <c r="F23" s="130">
        <v>130.0</v>
      </c>
      <c r="G23" s="127"/>
      <c r="H23" s="44" t="b">
        <v>1</v>
      </c>
      <c r="I23" s="452"/>
      <c r="J23" s="452"/>
      <c r="K23" s="477" t="s">
        <v>195</v>
      </c>
      <c r="L23" s="478">
        <f t="shared" ref="L23:Q23" si="12">SUM(L8:L22)</f>
        <v>34</v>
      </c>
      <c r="M23" s="478">
        <f t="shared" si="12"/>
        <v>6</v>
      </c>
      <c r="N23" s="478">
        <f t="shared" si="12"/>
        <v>40</v>
      </c>
      <c r="O23" s="479">
        <f t="shared" si="12"/>
        <v>5310</v>
      </c>
      <c r="P23" s="479">
        <f t="shared" si="12"/>
        <v>5310</v>
      </c>
      <c r="Q23" s="479">
        <f t="shared" si="12"/>
        <v>0</v>
      </c>
    </row>
    <row r="24" hidden="1" outlineLevel="1">
      <c r="A24" s="102">
        <v>45247.0</v>
      </c>
      <c r="B24" s="97">
        <f t="shared" si="11"/>
        <v>45247</v>
      </c>
      <c r="C24" s="129" t="s">
        <v>118</v>
      </c>
      <c r="D24" s="129" t="s">
        <v>1761</v>
      </c>
      <c r="E24" s="129" t="s">
        <v>1758</v>
      </c>
      <c r="F24" s="130">
        <v>150.0</v>
      </c>
      <c r="G24" s="127"/>
      <c r="H24" s="44" t="b">
        <v>1</v>
      </c>
      <c r="I24" s="51"/>
      <c r="J24" s="51"/>
      <c r="K24" s="51"/>
      <c r="L24" s="51"/>
      <c r="M24" s="51"/>
    </row>
    <row r="25" hidden="1" outlineLevel="1">
      <c r="A25" s="10"/>
      <c r="B25" s="10"/>
      <c r="C25" s="129" t="s">
        <v>118</v>
      </c>
      <c r="D25" s="129" t="s">
        <v>1756</v>
      </c>
      <c r="E25" s="129" t="s">
        <v>469</v>
      </c>
      <c r="F25" s="130">
        <v>130.0</v>
      </c>
      <c r="G25" s="127"/>
      <c r="H25" s="44" t="b">
        <v>1</v>
      </c>
      <c r="I25" s="51"/>
      <c r="J25" s="51"/>
      <c r="K25" s="51"/>
      <c r="L25" s="51"/>
      <c r="M25" s="51"/>
    </row>
    <row r="26" hidden="1" outlineLevel="1">
      <c r="A26" s="443">
        <v>45249.0</v>
      </c>
      <c r="B26" s="446">
        <f>A26</f>
        <v>45249</v>
      </c>
      <c r="C26" s="447" t="s">
        <v>118</v>
      </c>
      <c r="D26" s="447" t="s">
        <v>1761</v>
      </c>
      <c r="E26" s="447" t="s">
        <v>1758</v>
      </c>
      <c r="F26" s="449">
        <v>200.0</v>
      </c>
      <c r="G26" s="450"/>
      <c r="H26" s="44" t="b">
        <v>1</v>
      </c>
    </row>
    <row r="27" hidden="1" outlineLevel="1">
      <c r="A27" s="10"/>
      <c r="B27" s="10"/>
      <c r="C27" s="447" t="s">
        <v>136</v>
      </c>
      <c r="D27" s="447" t="s">
        <v>363</v>
      </c>
      <c r="E27" s="447" t="s">
        <v>1758</v>
      </c>
      <c r="F27" s="449">
        <v>200.0</v>
      </c>
      <c r="G27" s="450"/>
      <c r="H27" s="44" t="b">
        <v>1</v>
      </c>
      <c r="O27" s="332"/>
    </row>
    <row r="28" hidden="1" outlineLevel="1">
      <c r="A28" s="125">
        <v>45250.0</v>
      </c>
      <c r="B28" s="126">
        <f t="shared" ref="B28:B29" si="13">A28</f>
        <v>45250</v>
      </c>
      <c r="C28" s="129" t="s">
        <v>118</v>
      </c>
      <c r="D28" s="129" t="s">
        <v>1756</v>
      </c>
      <c r="E28" s="129" t="s">
        <v>1758</v>
      </c>
      <c r="F28" s="130">
        <v>130.0</v>
      </c>
      <c r="G28" s="127"/>
      <c r="H28" s="44" t="b">
        <v>1</v>
      </c>
    </row>
    <row r="29" hidden="1" outlineLevel="1">
      <c r="A29" s="102">
        <v>45251.0</v>
      </c>
      <c r="B29" s="97">
        <f t="shared" si="13"/>
        <v>45251</v>
      </c>
      <c r="C29" s="179" t="s">
        <v>118</v>
      </c>
      <c r="D29" s="129" t="s">
        <v>183</v>
      </c>
      <c r="E29" s="129" t="s">
        <v>1758</v>
      </c>
      <c r="F29" s="130">
        <v>0.0</v>
      </c>
      <c r="G29" s="480" t="s">
        <v>1892</v>
      </c>
      <c r="H29" s="44" t="b">
        <v>0</v>
      </c>
    </row>
    <row r="30" hidden="1" outlineLevel="1">
      <c r="A30" s="10"/>
      <c r="B30" s="10"/>
      <c r="C30" s="10"/>
      <c r="D30" s="129" t="s">
        <v>1756</v>
      </c>
      <c r="E30" s="129" t="s">
        <v>1758</v>
      </c>
      <c r="F30" s="130">
        <v>130.0</v>
      </c>
      <c r="G30" s="127"/>
      <c r="H30" s="44" t="b">
        <v>1</v>
      </c>
    </row>
    <row r="31" hidden="1" outlineLevel="1">
      <c r="A31" s="125">
        <v>45252.0</v>
      </c>
      <c r="B31" s="126">
        <f t="shared" ref="B31:B33" si="14">A31</f>
        <v>45252</v>
      </c>
      <c r="C31" s="129" t="s">
        <v>118</v>
      </c>
      <c r="D31" s="129" t="s">
        <v>1756</v>
      </c>
      <c r="E31" s="129" t="s">
        <v>1758</v>
      </c>
      <c r="F31" s="130">
        <v>130.0</v>
      </c>
      <c r="G31" s="127"/>
      <c r="H31" s="44" t="b">
        <v>1</v>
      </c>
    </row>
    <row r="32" hidden="1" outlineLevel="1">
      <c r="A32" s="125">
        <v>45253.0</v>
      </c>
      <c r="B32" s="126">
        <f t="shared" si="14"/>
        <v>45253</v>
      </c>
      <c r="C32" s="129" t="s">
        <v>118</v>
      </c>
      <c r="D32" s="129" t="s">
        <v>1756</v>
      </c>
      <c r="E32" s="129" t="s">
        <v>1758</v>
      </c>
      <c r="F32" s="130">
        <v>130.0</v>
      </c>
      <c r="G32" s="127"/>
      <c r="H32" s="44" t="b">
        <v>1</v>
      </c>
    </row>
    <row r="33" hidden="1" outlineLevel="1">
      <c r="A33" s="102">
        <v>45254.0</v>
      </c>
      <c r="B33" s="97">
        <f t="shared" si="14"/>
        <v>45254</v>
      </c>
      <c r="C33" s="179" t="s">
        <v>118</v>
      </c>
      <c r="D33" s="129" t="s">
        <v>183</v>
      </c>
      <c r="E33" s="129" t="s">
        <v>1758</v>
      </c>
      <c r="F33" s="130">
        <v>150.0</v>
      </c>
      <c r="G33" s="127"/>
      <c r="H33" s="44" t="b">
        <v>1</v>
      </c>
    </row>
    <row r="34" hidden="1" outlineLevel="1">
      <c r="A34" s="10"/>
      <c r="B34" s="10"/>
      <c r="C34" s="10"/>
      <c r="D34" s="129" t="s">
        <v>1756</v>
      </c>
      <c r="E34" s="129" t="s">
        <v>469</v>
      </c>
      <c r="F34" s="130">
        <v>130.0</v>
      </c>
      <c r="G34" s="127"/>
      <c r="H34" s="44" t="b">
        <v>1</v>
      </c>
    </row>
    <row r="35" hidden="1" outlineLevel="1">
      <c r="A35" s="443">
        <v>45256.0</v>
      </c>
      <c r="B35" s="446">
        <f>A35</f>
        <v>45256</v>
      </c>
      <c r="C35" s="447" t="s">
        <v>118</v>
      </c>
      <c r="D35" s="447" t="s">
        <v>1761</v>
      </c>
      <c r="E35" s="447" t="s">
        <v>1758</v>
      </c>
      <c r="F35" s="449">
        <v>200.0</v>
      </c>
      <c r="G35" s="450"/>
      <c r="H35" s="44" t="b">
        <v>1</v>
      </c>
    </row>
    <row r="36" hidden="1" outlineLevel="1">
      <c r="A36" s="10"/>
      <c r="B36" s="10"/>
      <c r="C36" s="447" t="s">
        <v>136</v>
      </c>
      <c r="D36" s="447" t="s">
        <v>1810</v>
      </c>
      <c r="E36" s="447" t="s">
        <v>1758</v>
      </c>
      <c r="F36" s="449">
        <v>0.0</v>
      </c>
      <c r="G36" s="480" t="s">
        <v>1898</v>
      </c>
      <c r="H36" s="44" t="b">
        <v>0</v>
      </c>
    </row>
    <row r="37" hidden="1" outlineLevel="1">
      <c r="A37" s="125">
        <v>45257.0</v>
      </c>
      <c r="B37" s="126">
        <f t="shared" ref="B37:B38" si="15">A37</f>
        <v>45257</v>
      </c>
      <c r="C37" s="129" t="s">
        <v>118</v>
      </c>
      <c r="D37" s="129" t="s">
        <v>1756</v>
      </c>
      <c r="E37" s="129" t="s">
        <v>1758</v>
      </c>
      <c r="F37" s="130">
        <v>130.0</v>
      </c>
      <c r="G37" s="127"/>
      <c r="H37" s="44" t="b">
        <v>1</v>
      </c>
    </row>
    <row r="38" hidden="1" outlineLevel="1">
      <c r="A38" s="102">
        <v>45258.0</v>
      </c>
      <c r="B38" s="97">
        <f t="shared" si="15"/>
        <v>45258</v>
      </c>
      <c r="C38" s="179" t="s">
        <v>118</v>
      </c>
      <c r="D38" s="129" t="s">
        <v>183</v>
      </c>
      <c r="E38" s="129" t="s">
        <v>1758</v>
      </c>
      <c r="F38" s="130">
        <v>0.0</v>
      </c>
      <c r="G38" s="480" t="s">
        <v>1892</v>
      </c>
      <c r="H38" s="44" t="b">
        <v>0</v>
      </c>
    </row>
    <row r="39" hidden="1" outlineLevel="1">
      <c r="A39" s="10"/>
      <c r="B39" s="10"/>
      <c r="C39" s="10"/>
      <c r="D39" s="129" t="s">
        <v>1756</v>
      </c>
      <c r="E39" s="129" t="s">
        <v>1758</v>
      </c>
      <c r="F39" s="130">
        <v>130.0</v>
      </c>
      <c r="G39" s="127"/>
      <c r="H39" s="44" t="b">
        <v>1</v>
      </c>
    </row>
    <row r="40" ht="25.5" hidden="1" customHeight="1" outlineLevel="1">
      <c r="A40" s="102">
        <v>45259.0</v>
      </c>
      <c r="B40" s="97">
        <f>A40</f>
        <v>45259</v>
      </c>
      <c r="C40" s="129" t="s">
        <v>118</v>
      </c>
      <c r="D40" s="129" t="s">
        <v>1810</v>
      </c>
      <c r="E40" s="129" t="s">
        <v>1758</v>
      </c>
      <c r="F40" s="130">
        <v>0.0</v>
      </c>
      <c r="G40" s="480" t="s">
        <v>1898</v>
      </c>
      <c r="H40" s="71" t="b">
        <v>0</v>
      </c>
    </row>
    <row r="41" hidden="1" outlineLevel="1">
      <c r="A41" s="10"/>
      <c r="B41" s="10"/>
      <c r="C41" s="129" t="s">
        <v>118</v>
      </c>
      <c r="D41" s="129" t="s">
        <v>1756</v>
      </c>
      <c r="E41" s="129" t="s">
        <v>469</v>
      </c>
      <c r="F41" s="130">
        <v>130.0</v>
      </c>
      <c r="G41" s="480"/>
      <c r="H41" s="44" t="b">
        <v>1</v>
      </c>
    </row>
    <row r="42" hidden="1" outlineLevel="1">
      <c r="A42" s="125">
        <v>45260.0</v>
      </c>
      <c r="B42" s="126">
        <f>A42</f>
        <v>45260</v>
      </c>
      <c r="C42" s="129" t="s">
        <v>118</v>
      </c>
      <c r="D42" s="129" t="s">
        <v>1810</v>
      </c>
      <c r="E42" s="129" t="s">
        <v>1758</v>
      </c>
      <c r="F42" s="130">
        <v>130.0</v>
      </c>
      <c r="G42" s="127"/>
      <c r="H42" s="44" t="b">
        <v>1</v>
      </c>
    </row>
    <row r="43">
      <c r="A43" s="484" t="s">
        <v>195</v>
      </c>
      <c r="B43" s="27"/>
      <c r="C43" s="27"/>
      <c r="D43" s="27"/>
      <c r="E43" s="28"/>
      <c r="F43" s="485">
        <f>SUM(F3:F42)</f>
        <v>5310</v>
      </c>
      <c r="G43" s="486"/>
      <c r="H43" s="28"/>
      <c r="I43" s="432"/>
      <c r="J43" s="432"/>
      <c r="K43" s="274"/>
      <c r="L43" s="274"/>
      <c r="M43" s="274"/>
      <c r="N43" s="274"/>
      <c r="O43" s="274"/>
      <c r="P43" s="274"/>
    </row>
    <row r="44" collapsed="1">
      <c r="A44" s="487" t="s">
        <v>196</v>
      </c>
      <c r="B44" s="488"/>
      <c r="C44" s="488"/>
      <c r="D44" s="488"/>
      <c r="E44" s="488"/>
      <c r="F44" s="488"/>
      <c r="G44" s="488"/>
      <c r="H44" s="489"/>
      <c r="I44" s="432"/>
      <c r="J44" s="432"/>
      <c r="K44" s="274"/>
      <c r="L44" s="274"/>
      <c r="M44" s="274"/>
      <c r="N44" s="274"/>
      <c r="O44" s="274"/>
      <c r="P44" s="274"/>
    </row>
    <row r="45" hidden="1" outlineLevel="1">
      <c r="A45" s="490">
        <v>45261.0</v>
      </c>
      <c r="B45" s="491">
        <f>A45</f>
        <v>45261</v>
      </c>
      <c r="C45" s="435" t="s">
        <v>118</v>
      </c>
      <c r="D45" s="296" t="s">
        <v>183</v>
      </c>
      <c r="E45" s="296" t="s">
        <v>1758</v>
      </c>
      <c r="F45" s="436">
        <v>150.0</v>
      </c>
      <c r="G45" s="435"/>
      <c r="H45" s="35" t="b">
        <v>1</v>
      </c>
      <c r="N45" s="437"/>
    </row>
    <row r="46" hidden="1" outlineLevel="1">
      <c r="A46" s="10"/>
      <c r="B46" s="10"/>
      <c r="C46" s="435" t="s">
        <v>118</v>
      </c>
      <c r="D46" s="296" t="s">
        <v>1756</v>
      </c>
      <c r="E46" s="296" t="s">
        <v>469</v>
      </c>
      <c r="F46" s="436">
        <v>130.0</v>
      </c>
      <c r="G46" s="435"/>
      <c r="H46" s="35" t="b">
        <v>1</v>
      </c>
      <c r="N46" s="437"/>
    </row>
    <row r="47" hidden="1" outlineLevel="1">
      <c r="A47" s="492">
        <v>2.0</v>
      </c>
      <c r="B47" s="492" t="s">
        <v>164</v>
      </c>
      <c r="C47" s="296" t="s">
        <v>118</v>
      </c>
      <c r="D47" s="296" t="s">
        <v>1816</v>
      </c>
      <c r="E47" s="296" t="s">
        <v>1758</v>
      </c>
      <c r="F47" s="436">
        <v>150.0</v>
      </c>
      <c r="G47" s="296" t="s">
        <v>1914</v>
      </c>
      <c r="H47" s="35" t="b">
        <v>1</v>
      </c>
      <c r="I47" s="452"/>
      <c r="J47" s="452"/>
      <c r="K47" s="437"/>
      <c r="L47" s="437"/>
      <c r="M47" s="437"/>
      <c r="N47" s="437"/>
      <c r="O47" s="437"/>
      <c r="P47" s="437"/>
      <c r="Q47" s="437"/>
    </row>
    <row r="48" hidden="1" outlineLevel="1">
      <c r="A48" s="490">
        <v>45263.0</v>
      </c>
      <c r="B48" s="97">
        <f>A48</f>
        <v>45263</v>
      </c>
      <c r="C48" s="129" t="s">
        <v>118</v>
      </c>
      <c r="D48" s="129" t="s">
        <v>1818</v>
      </c>
      <c r="E48" s="129" t="s">
        <v>1758</v>
      </c>
      <c r="F48" s="130">
        <v>200.0</v>
      </c>
      <c r="G48" s="127"/>
      <c r="H48" s="44" t="b">
        <v>1</v>
      </c>
      <c r="I48" s="452"/>
      <c r="J48" s="452"/>
      <c r="K48" s="440" t="s">
        <v>1916</v>
      </c>
      <c r="L48" s="27"/>
      <c r="M48" s="27"/>
      <c r="N48" s="27"/>
      <c r="O48" s="27"/>
      <c r="P48" s="27"/>
      <c r="Q48" s="28"/>
    </row>
    <row r="49" hidden="1" outlineLevel="1">
      <c r="A49" s="10"/>
      <c r="B49" s="10"/>
      <c r="C49" s="129" t="s">
        <v>136</v>
      </c>
      <c r="D49" s="129" t="s">
        <v>1756</v>
      </c>
      <c r="E49" s="129" t="s">
        <v>1758</v>
      </c>
      <c r="F49" s="130">
        <v>200.0</v>
      </c>
      <c r="G49" s="127"/>
      <c r="H49" s="44" t="b">
        <v>1</v>
      </c>
      <c r="I49" s="452"/>
      <c r="J49" s="452"/>
      <c r="K49" s="441" t="s">
        <v>1749</v>
      </c>
      <c r="L49" s="441" t="s">
        <v>1758</v>
      </c>
      <c r="M49" s="441" t="s">
        <v>469</v>
      </c>
      <c r="N49" s="441" t="s">
        <v>195</v>
      </c>
      <c r="O49" s="441" t="s">
        <v>1764</v>
      </c>
      <c r="P49" s="441" t="s">
        <v>1765</v>
      </c>
      <c r="Q49" s="441" t="s">
        <v>1766</v>
      </c>
    </row>
    <row r="50" hidden="1" outlineLevel="1">
      <c r="A50" s="493">
        <v>45264.0</v>
      </c>
      <c r="B50" s="126">
        <f t="shared" ref="B50:B51" si="16">A50</f>
        <v>45264</v>
      </c>
      <c r="C50" s="129" t="s">
        <v>118</v>
      </c>
      <c r="D50" s="129" t="s">
        <v>1756</v>
      </c>
      <c r="E50" s="129" t="s">
        <v>1758</v>
      </c>
      <c r="F50" s="130">
        <v>130.0</v>
      </c>
      <c r="G50" s="127"/>
      <c r="H50" s="44" t="b">
        <v>1</v>
      </c>
      <c r="I50" s="452"/>
      <c r="J50" s="452"/>
      <c r="K50" s="91" t="s">
        <v>1761</v>
      </c>
      <c r="L50" s="90">
        <f t="shared" ref="L50:L61" si="17">COUNTIFS($D$45:$D$87, $K50,$E$45:$E$87,$L$49)</f>
        <v>5</v>
      </c>
      <c r="M50" s="90">
        <f t="shared" ref="M50:M61" si="18">COUNTIFS($D$45:$D$87, $K50,$E$45:$E$87,$M$49)</f>
        <v>0</v>
      </c>
      <c r="N50" s="276">
        <f t="shared" ref="N50:N61" si="19">L50+M50</f>
        <v>5</v>
      </c>
      <c r="O50" s="424">
        <f t="shared" ref="O50:O61" si="20">SUMIFS($F$45:$F$87,$D$45:$D$87,$K50)</f>
        <v>1000</v>
      </c>
      <c r="P50" s="424">
        <f t="shared" ref="P50:P61" si="21">SUMIFS($F$45:$F$87,$D$45:$D$87,$K50,$H$45:$H$87,TRUE)</f>
        <v>1000</v>
      </c>
      <c r="Q50" s="424">
        <f t="shared" ref="Q50:Q61" si="22">O50-P50</f>
        <v>0</v>
      </c>
    </row>
    <row r="51" hidden="1" outlineLevel="1">
      <c r="A51" s="490">
        <v>45265.0</v>
      </c>
      <c r="B51" s="97">
        <f t="shared" si="16"/>
        <v>45265</v>
      </c>
      <c r="C51" s="129" t="s">
        <v>118</v>
      </c>
      <c r="D51" s="129" t="s">
        <v>183</v>
      </c>
      <c r="E51" s="129" t="s">
        <v>1758</v>
      </c>
      <c r="F51" s="130">
        <v>150.0</v>
      </c>
      <c r="G51" s="127"/>
      <c r="H51" s="44" t="b">
        <v>1</v>
      </c>
      <c r="I51" s="452"/>
      <c r="J51" s="452"/>
      <c r="K51" s="91" t="s">
        <v>183</v>
      </c>
      <c r="L51" s="90">
        <f t="shared" si="17"/>
        <v>9</v>
      </c>
      <c r="M51" s="90">
        <f t="shared" si="18"/>
        <v>0</v>
      </c>
      <c r="N51" s="276">
        <f t="shared" si="19"/>
        <v>9</v>
      </c>
      <c r="O51" s="424">
        <f t="shared" si="20"/>
        <v>1200</v>
      </c>
      <c r="P51" s="424">
        <f t="shared" si="21"/>
        <v>1200</v>
      </c>
      <c r="Q51" s="424">
        <f t="shared" si="22"/>
        <v>0</v>
      </c>
    </row>
    <row r="52" hidden="1" outlineLevel="1">
      <c r="A52" s="10"/>
      <c r="B52" s="10"/>
      <c r="C52" s="129" t="s">
        <v>118</v>
      </c>
      <c r="D52" s="129" t="s">
        <v>1756</v>
      </c>
      <c r="E52" s="129" t="s">
        <v>469</v>
      </c>
      <c r="F52" s="130">
        <v>130.0</v>
      </c>
      <c r="G52" s="127"/>
      <c r="H52" s="44" t="b">
        <v>1</v>
      </c>
      <c r="I52" s="452"/>
      <c r="J52" s="452"/>
      <c r="K52" s="91" t="s">
        <v>1756</v>
      </c>
      <c r="L52" s="90">
        <f t="shared" si="17"/>
        <v>13</v>
      </c>
      <c r="M52" s="90">
        <f t="shared" si="18"/>
        <v>8</v>
      </c>
      <c r="N52" s="276">
        <f t="shared" si="19"/>
        <v>21</v>
      </c>
      <c r="O52" s="424">
        <f t="shared" si="20"/>
        <v>2820</v>
      </c>
      <c r="P52" s="424">
        <f t="shared" si="21"/>
        <v>2820</v>
      </c>
      <c r="Q52" s="424">
        <f t="shared" si="22"/>
        <v>0</v>
      </c>
    </row>
    <row r="53" hidden="1" outlineLevel="1">
      <c r="A53" s="493">
        <v>45266.0</v>
      </c>
      <c r="B53" s="126">
        <f t="shared" ref="B53:B55" si="23">A53</f>
        <v>45266</v>
      </c>
      <c r="C53" s="129" t="s">
        <v>118</v>
      </c>
      <c r="D53" s="129" t="s">
        <v>1756</v>
      </c>
      <c r="E53" s="129" t="s">
        <v>1758</v>
      </c>
      <c r="F53" s="130">
        <v>150.0</v>
      </c>
      <c r="G53" s="127"/>
      <c r="H53" s="44" t="b">
        <v>1</v>
      </c>
      <c r="I53" s="51"/>
      <c r="J53" s="51"/>
      <c r="K53" s="91" t="s">
        <v>1816</v>
      </c>
      <c r="L53" s="90">
        <f t="shared" si="17"/>
        <v>1</v>
      </c>
      <c r="M53" s="90">
        <f t="shared" si="18"/>
        <v>0</v>
      </c>
      <c r="N53" s="276">
        <f t="shared" si="19"/>
        <v>1</v>
      </c>
      <c r="O53" s="424">
        <f t="shared" si="20"/>
        <v>150</v>
      </c>
      <c r="P53" s="424">
        <f t="shared" si="21"/>
        <v>150</v>
      </c>
      <c r="Q53" s="424">
        <f t="shared" si="22"/>
        <v>0</v>
      </c>
    </row>
    <row r="54" hidden="1" outlineLevel="1">
      <c r="A54" s="433">
        <v>45267.0</v>
      </c>
      <c r="B54" s="126">
        <f t="shared" si="23"/>
        <v>45267</v>
      </c>
      <c r="C54" s="129" t="s">
        <v>118</v>
      </c>
      <c r="D54" s="129" t="s">
        <v>1756</v>
      </c>
      <c r="E54" s="129" t="s">
        <v>1758</v>
      </c>
      <c r="F54" s="130">
        <v>130.0</v>
      </c>
      <c r="G54" s="127"/>
      <c r="H54" s="44" t="b">
        <v>1</v>
      </c>
      <c r="I54" s="51"/>
      <c r="J54" s="51"/>
      <c r="K54" s="91" t="s">
        <v>1845</v>
      </c>
      <c r="L54" s="90">
        <f t="shared" si="17"/>
        <v>1</v>
      </c>
      <c r="M54" s="90">
        <f t="shared" si="18"/>
        <v>0</v>
      </c>
      <c r="N54" s="276">
        <f t="shared" si="19"/>
        <v>1</v>
      </c>
      <c r="O54" s="424">
        <f t="shared" si="20"/>
        <v>200</v>
      </c>
      <c r="P54" s="424">
        <f t="shared" si="21"/>
        <v>200</v>
      </c>
      <c r="Q54" s="424">
        <f t="shared" si="22"/>
        <v>0</v>
      </c>
    </row>
    <row r="55" hidden="1" outlineLevel="1">
      <c r="A55" s="519">
        <v>45268.0</v>
      </c>
      <c r="B55" s="97">
        <f t="shared" si="23"/>
        <v>45268</v>
      </c>
      <c r="C55" s="129" t="s">
        <v>118</v>
      </c>
      <c r="D55" s="129" t="s">
        <v>183</v>
      </c>
      <c r="E55" s="129" t="s">
        <v>1758</v>
      </c>
      <c r="F55" s="130">
        <v>0.0</v>
      </c>
      <c r="G55" s="522" t="s">
        <v>1951</v>
      </c>
      <c r="H55" s="44" t="b">
        <v>1</v>
      </c>
      <c r="I55" s="452"/>
      <c r="J55" s="452"/>
      <c r="K55" s="91" t="s">
        <v>363</v>
      </c>
      <c r="L55" s="90">
        <f t="shared" si="17"/>
        <v>0</v>
      </c>
      <c r="M55" s="90">
        <f t="shared" si="18"/>
        <v>0</v>
      </c>
      <c r="N55" s="276">
        <f t="shared" si="19"/>
        <v>0</v>
      </c>
      <c r="O55" s="424">
        <f t="shared" si="20"/>
        <v>0</v>
      </c>
      <c r="P55" s="424">
        <f t="shared" si="21"/>
        <v>0</v>
      </c>
      <c r="Q55" s="424">
        <f t="shared" si="22"/>
        <v>0</v>
      </c>
    </row>
    <row r="56" hidden="1" outlineLevel="1">
      <c r="A56" s="10"/>
      <c r="B56" s="10"/>
      <c r="C56" s="129" t="s">
        <v>118</v>
      </c>
      <c r="D56" s="129" t="s">
        <v>1756</v>
      </c>
      <c r="E56" s="129" t="s">
        <v>1758</v>
      </c>
      <c r="F56" s="130">
        <v>130.0</v>
      </c>
      <c r="G56" s="127"/>
      <c r="H56" s="44" t="b">
        <v>1</v>
      </c>
      <c r="I56" s="452"/>
      <c r="J56" s="452"/>
      <c r="K56" s="91" t="s">
        <v>1810</v>
      </c>
      <c r="L56" s="90">
        <f t="shared" si="17"/>
        <v>0</v>
      </c>
      <c r="M56" s="90">
        <f t="shared" si="18"/>
        <v>0</v>
      </c>
      <c r="N56" s="276">
        <f t="shared" si="19"/>
        <v>0</v>
      </c>
      <c r="O56" s="424">
        <f t="shared" si="20"/>
        <v>0</v>
      </c>
      <c r="P56" s="424">
        <f t="shared" si="21"/>
        <v>0</v>
      </c>
      <c r="Q56" s="424">
        <f t="shared" si="22"/>
        <v>0</v>
      </c>
    </row>
    <row r="57" hidden="1" outlineLevel="1">
      <c r="A57" s="519">
        <v>45270.0</v>
      </c>
      <c r="B57" s="97">
        <f>A57</f>
        <v>45270</v>
      </c>
      <c r="C57" s="129" t="s">
        <v>118</v>
      </c>
      <c r="D57" s="129" t="s">
        <v>1805</v>
      </c>
      <c r="E57" s="129" t="s">
        <v>1758</v>
      </c>
      <c r="F57" s="130">
        <v>200.0</v>
      </c>
      <c r="G57" s="127"/>
      <c r="H57" s="44" t="b">
        <v>1</v>
      </c>
      <c r="K57" s="91" t="s">
        <v>1805</v>
      </c>
      <c r="L57" s="90">
        <f t="shared" si="17"/>
        <v>1</v>
      </c>
      <c r="M57" s="90">
        <f t="shared" si="18"/>
        <v>0</v>
      </c>
      <c r="N57" s="276">
        <f t="shared" si="19"/>
        <v>1</v>
      </c>
      <c r="O57" s="424">
        <f t="shared" si="20"/>
        <v>200</v>
      </c>
      <c r="P57" s="424">
        <f t="shared" si="21"/>
        <v>200</v>
      </c>
      <c r="Q57" s="424">
        <f t="shared" si="22"/>
        <v>0</v>
      </c>
    </row>
    <row r="58" hidden="1" outlineLevel="1">
      <c r="A58" s="10"/>
      <c r="B58" s="10"/>
      <c r="C58" s="129" t="s">
        <v>136</v>
      </c>
      <c r="D58" s="129" t="s">
        <v>1845</v>
      </c>
      <c r="E58" s="129" t="s">
        <v>1758</v>
      </c>
      <c r="F58" s="130">
        <v>200.0</v>
      </c>
      <c r="G58" s="127"/>
      <c r="H58" s="44" t="b">
        <v>1</v>
      </c>
      <c r="K58" s="91" t="s">
        <v>1846</v>
      </c>
      <c r="L58" s="90">
        <f t="shared" si="17"/>
        <v>1</v>
      </c>
      <c r="M58" s="90">
        <f t="shared" si="18"/>
        <v>0</v>
      </c>
      <c r="N58" s="276">
        <f t="shared" si="19"/>
        <v>1</v>
      </c>
      <c r="O58" s="424">
        <f t="shared" si="20"/>
        <v>200</v>
      </c>
      <c r="P58" s="424">
        <f t="shared" si="21"/>
        <v>200</v>
      </c>
      <c r="Q58" s="424">
        <f t="shared" si="22"/>
        <v>0</v>
      </c>
    </row>
    <row r="59" hidden="1" outlineLevel="1">
      <c r="A59" s="433">
        <v>45271.0</v>
      </c>
      <c r="B59" s="126">
        <f t="shared" ref="B59:B60" si="24">A59</f>
        <v>45271</v>
      </c>
      <c r="C59" s="129" t="s">
        <v>118</v>
      </c>
      <c r="D59" s="129" t="s">
        <v>1756</v>
      </c>
      <c r="E59" s="129" t="s">
        <v>1758</v>
      </c>
      <c r="F59" s="130">
        <v>130.0</v>
      </c>
      <c r="G59" s="127"/>
      <c r="H59" s="44" t="b">
        <v>1</v>
      </c>
      <c r="K59" s="531" t="s">
        <v>1818</v>
      </c>
      <c r="L59" s="90">
        <f t="shared" si="17"/>
        <v>2</v>
      </c>
      <c r="M59" s="90">
        <f t="shared" si="18"/>
        <v>0</v>
      </c>
      <c r="N59" s="276">
        <f t="shared" si="19"/>
        <v>2</v>
      </c>
      <c r="O59" s="424">
        <f t="shared" si="20"/>
        <v>400</v>
      </c>
      <c r="P59" s="424">
        <f t="shared" si="21"/>
        <v>400</v>
      </c>
      <c r="Q59" s="424">
        <f t="shared" si="22"/>
        <v>0</v>
      </c>
    </row>
    <row r="60" hidden="1" outlineLevel="1">
      <c r="A60" s="519">
        <v>45272.0</v>
      </c>
      <c r="B60" s="97">
        <f t="shared" si="24"/>
        <v>45272</v>
      </c>
      <c r="C60" s="129" t="s">
        <v>118</v>
      </c>
      <c r="D60" s="129" t="s">
        <v>183</v>
      </c>
      <c r="E60" s="129" t="s">
        <v>1758</v>
      </c>
      <c r="F60" s="130">
        <v>150.0</v>
      </c>
      <c r="G60" s="127"/>
      <c r="H60" s="44" t="b">
        <v>1</v>
      </c>
      <c r="K60" s="531" t="s">
        <v>1844</v>
      </c>
      <c r="L60" s="90">
        <f t="shared" si="17"/>
        <v>1</v>
      </c>
      <c r="M60" s="90">
        <f t="shared" si="18"/>
        <v>0</v>
      </c>
      <c r="N60" s="276">
        <f t="shared" si="19"/>
        <v>1</v>
      </c>
      <c r="O60" s="424">
        <f t="shared" si="20"/>
        <v>150</v>
      </c>
      <c r="P60" s="424">
        <f t="shared" si="21"/>
        <v>150</v>
      </c>
      <c r="Q60" s="424">
        <f t="shared" si="22"/>
        <v>0</v>
      </c>
    </row>
    <row r="61" hidden="1" outlineLevel="1">
      <c r="A61" s="10"/>
      <c r="B61" s="10"/>
      <c r="C61" s="129" t="s">
        <v>118</v>
      </c>
      <c r="D61" s="129" t="s">
        <v>1756</v>
      </c>
      <c r="E61" s="129" t="s">
        <v>469</v>
      </c>
      <c r="F61" s="130">
        <v>130.0</v>
      </c>
      <c r="G61" s="127"/>
      <c r="H61" s="44" t="b">
        <v>1</v>
      </c>
      <c r="K61" s="531" t="s">
        <v>998</v>
      </c>
      <c r="L61" s="90">
        <f t="shared" si="17"/>
        <v>1</v>
      </c>
      <c r="M61" s="90">
        <f t="shared" si="18"/>
        <v>0</v>
      </c>
      <c r="N61" s="276">
        <f t="shared" si="19"/>
        <v>1</v>
      </c>
      <c r="O61" s="424">
        <f t="shared" si="20"/>
        <v>200</v>
      </c>
      <c r="P61" s="424">
        <f t="shared" si="21"/>
        <v>200</v>
      </c>
      <c r="Q61" s="424">
        <f t="shared" si="22"/>
        <v>0</v>
      </c>
    </row>
    <row r="62" hidden="1" outlineLevel="1">
      <c r="A62" s="490">
        <v>45273.0</v>
      </c>
      <c r="B62" s="97">
        <f>A62</f>
        <v>45273</v>
      </c>
      <c r="C62" s="179" t="s">
        <v>118</v>
      </c>
      <c r="D62" s="129" t="s">
        <v>1756</v>
      </c>
      <c r="E62" s="129" t="s">
        <v>1758</v>
      </c>
      <c r="F62" s="130">
        <v>130.0</v>
      </c>
      <c r="G62" s="127"/>
      <c r="H62" s="44" t="b">
        <v>1</v>
      </c>
      <c r="K62" s="90"/>
      <c r="L62" s="90"/>
      <c r="M62" s="90"/>
      <c r="N62" s="276"/>
      <c r="O62" s="276"/>
      <c r="P62" s="276"/>
      <c r="Q62" s="276"/>
    </row>
    <row r="63" hidden="1" outlineLevel="1">
      <c r="A63" s="10"/>
      <c r="B63" s="10"/>
      <c r="C63" s="10"/>
      <c r="D63" s="129" t="s">
        <v>1844</v>
      </c>
      <c r="E63" s="129" t="s">
        <v>1758</v>
      </c>
      <c r="F63" s="130">
        <v>150.0</v>
      </c>
      <c r="G63" s="127"/>
      <c r="H63" s="44" t="b">
        <v>1</v>
      </c>
      <c r="K63" s="90"/>
      <c r="L63" s="90"/>
      <c r="M63" s="90"/>
      <c r="N63" s="276"/>
      <c r="O63" s="276"/>
      <c r="P63" s="276"/>
      <c r="Q63" s="276"/>
    </row>
    <row r="64" hidden="1" outlineLevel="1">
      <c r="A64" s="493">
        <v>45274.0</v>
      </c>
      <c r="B64" s="126">
        <f t="shared" ref="B64:B65" si="25">A64</f>
        <v>45274</v>
      </c>
      <c r="C64" s="129" t="s">
        <v>118</v>
      </c>
      <c r="D64" s="129" t="s">
        <v>1756</v>
      </c>
      <c r="E64" s="129" t="s">
        <v>1758</v>
      </c>
      <c r="F64" s="130">
        <v>130.0</v>
      </c>
      <c r="G64" s="127"/>
      <c r="H64" s="44" t="b">
        <v>1</v>
      </c>
      <c r="K64" s="90"/>
      <c r="L64" s="90"/>
      <c r="M64" s="90"/>
      <c r="N64" s="276"/>
      <c r="O64" s="276"/>
      <c r="P64" s="276"/>
      <c r="Q64" s="276"/>
    </row>
    <row r="65" hidden="1" outlineLevel="1">
      <c r="A65" s="490">
        <v>45275.0</v>
      </c>
      <c r="B65" s="97">
        <f t="shared" si="25"/>
        <v>45275</v>
      </c>
      <c r="C65" s="129" t="s">
        <v>118</v>
      </c>
      <c r="D65" s="129" t="s">
        <v>183</v>
      </c>
      <c r="E65" s="129" t="s">
        <v>1758</v>
      </c>
      <c r="F65" s="130">
        <v>150.0</v>
      </c>
      <c r="G65" s="127"/>
      <c r="H65" s="44" t="b">
        <v>1</v>
      </c>
      <c r="K65" s="90"/>
      <c r="L65" s="90"/>
      <c r="M65" s="90"/>
      <c r="N65" s="276"/>
      <c r="O65" s="276"/>
      <c r="P65" s="276"/>
      <c r="Q65" s="276"/>
    </row>
    <row r="66" hidden="1" outlineLevel="1">
      <c r="A66" s="10"/>
      <c r="B66" s="10"/>
      <c r="C66" s="129" t="s">
        <v>118</v>
      </c>
      <c r="D66" s="129" t="s">
        <v>1756</v>
      </c>
      <c r="E66" s="129" t="s">
        <v>469</v>
      </c>
      <c r="F66" s="130">
        <v>130.0</v>
      </c>
      <c r="G66" s="127"/>
      <c r="H66" s="44" t="b">
        <v>1</v>
      </c>
      <c r="K66" s="477" t="s">
        <v>195</v>
      </c>
      <c r="L66" s="478">
        <f t="shared" ref="L66:P66" si="26">SUM(L50:L65)</f>
        <v>35</v>
      </c>
      <c r="M66" s="478">
        <f t="shared" si="26"/>
        <v>8</v>
      </c>
      <c r="N66" s="478">
        <f t="shared" si="26"/>
        <v>43</v>
      </c>
      <c r="O66" s="479">
        <f t="shared" si="26"/>
        <v>6520</v>
      </c>
      <c r="P66" s="479">
        <f t="shared" si="26"/>
        <v>6520</v>
      </c>
      <c r="Q66" s="479">
        <f>O66-P66</f>
        <v>0</v>
      </c>
    </row>
    <row r="67" hidden="1" outlineLevel="1">
      <c r="A67" s="490">
        <v>45277.0</v>
      </c>
      <c r="B67" s="97">
        <f>A67</f>
        <v>45277</v>
      </c>
      <c r="C67" s="129" t="s">
        <v>118</v>
      </c>
      <c r="D67" s="129" t="s">
        <v>1761</v>
      </c>
      <c r="E67" s="129" t="s">
        <v>1758</v>
      </c>
      <c r="F67" s="130">
        <v>200.0</v>
      </c>
      <c r="G67" s="127"/>
      <c r="H67" s="44" t="b">
        <v>1</v>
      </c>
    </row>
    <row r="68" hidden="1" outlineLevel="1">
      <c r="A68" s="10"/>
      <c r="B68" s="10"/>
      <c r="C68" s="129" t="s">
        <v>136</v>
      </c>
      <c r="D68" s="129" t="s">
        <v>1846</v>
      </c>
      <c r="E68" s="129" t="s">
        <v>1758</v>
      </c>
      <c r="F68" s="130">
        <v>200.0</v>
      </c>
      <c r="G68" s="127"/>
      <c r="H68" s="44" t="b">
        <v>1</v>
      </c>
    </row>
    <row r="69" hidden="1" outlineLevel="1">
      <c r="A69" s="493">
        <v>45278.0</v>
      </c>
      <c r="B69" s="126">
        <f t="shared" ref="B69:B70" si="27">A69</f>
        <v>45278</v>
      </c>
      <c r="C69" s="129" t="s">
        <v>118</v>
      </c>
      <c r="D69" s="129" t="s">
        <v>1756</v>
      </c>
      <c r="E69" s="129" t="s">
        <v>1758</v>
      </c>
      <c r="F69" s="130">
        <v>130.0</v>
      </c>
      <c r="G69" s="127"/>
      <c r="H69" s="44" t="b">
        <v>1</v>
      </c>
    </row>
    <row r="70" hidden="1" outlineLevel="1">
      <c r="A70" s="490">
        <v>45279.0</v>
      </c>
      <c r="B70" s="97">
        <f t="shared" si="27"/>
        <v>45279</v>
      </c>
      <c r="C70" s="129" t="s">
        <v>118</v>
      </c>
      <c r="D70" s="129" t="s">
        <v>183</v>
      </c>
      <c r="E70" s="129" t="s">
        <v>1758</v>
      </c>
      <c r="F70" s="130">
        <v>150.0</v>
      </c>
      <c r="G70" s="127"/>
      <c r="H70" s="44" t="b">
        <v>1</v>
      </c>
    </row>
    <row r="71" hidden="1" outlineLevel="1">
      <c r="A71" s="10"/>
      <c r="B71" s="10"/>
      <c r="C71" s="129" t="s">
        <v>118</v>
      </c>
      <c r="D71" s="129" t="s">
        <v>1756</v>
      </c>
      <c r="E71" s="129" t="s">
        <v>469</v>
      </c>
      <c r="F71" s="130">
        <v>130.0</v>
      </c>
      <c r="G71" s="127"/>
      <c r="H71" s="44" t="b">
        <v>1</v>
      </c>
    </row>
    <row r="72" hidden="1" outlineLevel="1">
      <c r="A72" s="493">
        <v>45280.0</v>
      </c>
      <c r="B72" s="126">
        <f t="shared" ref="B72:B74" si="28">A72</f>
        <v>45280</v>
      </c>
      <c r="C72" s="129" t="s">
        <v>118</v>
      </c>
      <c r="D72" s="129" t="s">
        <v>1756</v>
      </c>
      <c r="E72" s="129" t="s">
        <v>1758</v>
      </c>
      <c r="F72" s="130">
        <v>130.0</v>
      </c>
      <c r="G72" s="127"/>
      <c r="H72" s="44" t="b">
        <v>1</v>
      </c>
    </row>
    <row r="73" hidden="1" outlineLevel="1">
      <c r="A73" s="433">
        <v>45281.0</v>
      </c>
      <c r="B73" s="126">
        <f t="shared" si="28"/>
        <v>45281</v>
      </c>
      <c r="C73" s="129" t="s">
        <v>118</v>
      </c>
      <c r="D73" s="129" t="s">
        <v>1756</v>
      </c>
      <c r="E73" s="129" t="s">
        <v>1758</v>
      </c>
      <c r="F73" s="130">
        <v>130.0</v>
      </c>
      <c r="G73" s="127"/>
      <c r="H73" s="44" t="b">
        <v>1</v>
      </c>
    </row>
    <row r="74" hidden="1" outlineLevel="1">
      <c r="A74" s="519">
        <v>45282.0</v>
      </c>
      <c r="B74" s="97">
        <f t="shared" si="28"/>
        <v>45282</v>
      </c>
      <c r="C74" s="129" t="s">
        <v>118</v>
      </c>
      <c r="D74" s="129" t="s">
        <v>183</v>
      </c>
      <c r="E74" s="129" t="s">
        <v>1758</v>
      </c>
      <c r="F74" s="130">
        <v>150.0</v>
      </c>
      <c r="G74" s="127"/>
      <c r="H74" s="44" t="b">
        <v>1</v>
      </c>
    </row>
    <row r="75" hidden="1" outlineLevel="1">
      <c r="A75" s="10"/>
      <c r="B75" s="10"/>
      <c r="C75" s="129" t="s">
        <v>118</v>
      </c>
      <c r="D75" s="129" t="s">
        <v>1756</v>
      </c>
      <c r="E75" s="129" t="s">
        <v>469</v>
      </c>
      <c r="F75" s="130">
        <v>130.0</v>
      </c>
      <c r="G75" s="127"/>
      <c r="H75" s="44" t="b">
        <v>1</v>
      </c>
    </row>
    <row r="76" hidden="1" outlineLevel="1">
      <c r="A76" s="433">
        <v>45283.0</v>
      </c>
      <c r="B76" s="126">
        <f t="shared" ref="B76:B77" si="29">A76</f>
        <v>45283</v>
      </c>
      <c r="C76" s="129" t="s">
        <v>136</v>
      </c>
      <c r="D76" s="129" t="s">
        <v>1761</v>
      </c>
      <c r="E76" s="129" t="s">
        <v>1758</v>
      </c>
      <c r="F76" s="130">
        <v>200.0</v>
      </c>
      <c r="G76" s="127"/>
      <c r="H76" s="44" t="b">
        <v>1</v>
      </c>
    </row>
    <row r="77" hidden="1" outlineLevel="1">
      <c r="A77" s="519">
        <v>45284.0</v>
      </c>
      <c r="B77" s="97">
        <f t="shared" si="29"/>
        <v>45284</v>
      </c>
      <c r="C77" s="129" t="s">
        <v>118</v>
      </c>
      <c r="D77" s="129" t="s">
        <v>1761</v>
      </c>
      <c r="E77" s="129" t="s">
        <v>1758</v>
      </c>
      <c r="F77" s="130">
        <v>200.0</v>
      </c>
      <c r="G77" s="127"/>
      <c r="H77" s="44" t="b">
        <v>1</v>
      </c>
    </row>
    <row r="78" hidden="1" outlineLevel="1">
      <c r="A78" s="10"/>
      <c r="B78" s="10"/>
      <c r="C78" s="129" t="s">
        <v>136</v>
      </c>
      <c r="D78" s="129" t="s">
        <v>1761</v>
      </c>
      <c r="E78" s="129" t="s">
        <v>1758</v>
      </c>
      <c r="F78" s="130">
        <v>200.0</v>
      </c>
      <c r="G78" s="129" t="s">
        <v>1970</v>
      </c>
      <c r="H78" s="44" t="b">
        <v>1</v>
      </c>
    </row>
    <row r="79" hidden="1" outlineLevel="1">
      <c r="A79" s="433">
        <v>45285.0</v>
      </c>
      <c r="B79" s="126">
        <f t="shared" ref="B79:B80" si="30">A79</f>
        <v>45285</v>
      </c>
      <c r="C79" s="129" t="s">
        <v>136</v>
      </c>
      <c r="D79" s="129" t="s">
        <v>1761</v>
      </c>
      <c r="E79" s="129" t="s">
        <v>1758</v>
      </c>
      <c r="F79" s="130">
        <v>200.0</v>
      </c>
      <c r="G79" s="127"/>
      <c r="H79" s="44" t="b">
        <v>1</v>
      </c>
    </row>
    <row r="80" hidden="1" outlineLevel="1">
      <c r="A80" s="519">
        <v>45286.0</v>
      </c>
      <c r="B80" s="97">
        <f t="shared" si="30"/>
        <v>45286</v>
      </c>
      <c r="C80" s="129" t="s">
        <v>118</v>
      </c>
      <c r="D80" s="129" t="s">
        <v>183</v>
      </c>
      <c r="E80" s="129" t="s">
        <v>1758</v>
      </c>
      <c r="F80" s="130">
        <v>150.0</v>
      </c>
      <c r="G80" s="127"/>
      <c r="H80" s="44" t="b">
        <v>1</v>
      </c>
    </row>
    <row r="81" hidden="1" outlineLevel="1">
      <c r="A81" s="10"/>
      <c r="B81" s="10"/>
      <c r="C81" s="129" t="s">
        <v>118</v>
      </c>
      <c r="D81" s="129" t="s">
        <v>1756</v>
      </c>
      <c r="E81" s="129" t="s">
        <v>469</v>
      </c>
      <c r="F81" s="130">
        <v>130.0</v>
      </c>
      <c r="G81" s="127"/>
      <c r="H81" s="44" t="b">
        <v>1</v>
      </c>
    </row>
    <row r="82" hidden="1" outlineLevel="1">
      <c r="A82" s="433">
        <v>45287.0</v>
      </c>
      <c r="B82" s="126">
        <f t="shared" ref="B82:B84" si="31">A82</f>
        <v>45287</v>
      </c>
      <c r="C82" s="129" t="s">
        <v>118</v>
      </c>
      <c r="D82" s="129" t="s">
        <v>1756</v>
      </c>
      <c r="E82" s="129" t="s">
        <v>1758</v>
      </c>
      <c r="F82" s="130">
        <v>130.0</v>
      </c>
      <c r="G82" s="127"/>
      <c r="H82" s="44" t="b">
        <v>1</v>
      </c>
    </row>
    <row r="83" hidden="1" outlineLevel="1">
      <c r="A83" s="493">
        <v>45288.0</v>
      </c>
      <c r="B83" s="126">
        <f t="shared" si="31"/>
        <v>45288</v>
      </c>
      <c r="C83" s="129" t="s">
        <v>118</v>
      </c>
      <c r="D83" s="129" t="s">
        <v>1756</v>
      </c>
      <c r="E83" s="129" t="s">
        <v>1758</v>
      </c>
      <c r="F83" s="130">
        <v>130.0</v>
      </c>
      <c r="G83" s="127"/>
      <c r="H83" s="44" t="b">
        <v>1</v>
      </c>
    </row>
    <row r="84" hidden="1" outlineLevel="1">
      <c r="A84" s="490">
        <v>45289.0</v>
      </c>
      <c r="B84" s="97">
        <f t="shared" si="31"/>
        <v>45289</v>
      </c>
      <c r="C84" s="129" t="s">
        <v>118</v>
      </c>
      <c r="D84" s="129" t="s">
        <v>183</v>
      </c>
      <c r="E84" s="129" t="s">
        <v>1758</v>
      </c>
      <c r="F84" s="130">
        <v>150.0</v>
      </c>
      <c r="G84" s="127"/>
      <c r="H84" s="44" t="b">
        <v>1</v>
      </c>
    </row>
    <row r="85" hidden="1" outlineLevel="1">
      <c r="A85" s="10"/>
      <c r="B85" s="10"/>
      <c r="C85" s="129" t="s">
        <v>118</v>
      </c>
      <c r="D85" s="129" t="s">
        <v>1756</v>
      </c>
      <c r="E85" s="129" t="s">
        <v>469</v>
      </c>
      <c r="F85" s="130">
        <v>130.0</v>
      </c>
      <c r="G85" s="127"/>
      <c r="H85" s="44" t="b">
        <v>1</v>
      </c>
    </row>
    <row r="86" hidden="1" outlineLevel="1">
      <c r="A86" s="490">
        <v>45291.0</v>
      </c>
      <c r="B86" s="97">
        <f>A86</f>
        <v>45291</v>
      </c>
      <c r="C86" s="129" t="s">
        <v>118</v>
      </c>
      <c r="D86" s="129" t="s">
        <v>998</v>
      </c>
      <c r="E86" s="129" t="s">
        <v>1758</v>
      </c>
      <c r="F86" s="130">
        <v>200.0</v>
      </c>
      <c r="G86" s="127"/>
      <c r="H86" s="44" t="b">
        <v>1</v>
      </c>
    </row>
    <row r="87" hidden="1" outlineLevel="1">
      <c r="A87" s="10"/>
      <c r="B87" s="10"/>
      <c r="C87" s="129" t="s">
        <v>136</v>
      </c>
      <c r="D87" s="129" t="s">
        <v>1818</v>
      </c>
      <c r="E87" s="129" t="s">
        <v>1758</v>
      </c>
      <c r="F87" s="130">
        <v>200.0</v>
      </c>
      <c r="G87" s="127"/>
      <c r="H87" s="44" t="b">
        <v>1</v>
      </c>
    </row>
    <row r="88">
      <c r="A88" s="484" t="s">
        <v>195</v>
      </c>
      <c r="B88" s="27"/>
      <c r="C88" s="27"/>
      <c r="D88" s="27"/>
      <c r="E88" s="28"/>
      <c r="F88" s="485">
        <f>SUM(F45:F87)</f>
        <v>6520</v>
      </c>
      <c r="G88" s="486"/>
      <c r="H88" s="28"/>
    </row>
    <row r="89" collapsed="1">
      <c r="A89" s="339" t="s">
        <v>302</v>
      </c>
      <c r="B89" s="246"/>
      <c r="C89" s="246"/>
      <c r="D89" s="246"/>
      <c r="E89" s="246"/>
      <c r="F89" s="246"/>
      <c r="G89" s="246"/>
      <c r="H89" s="247"/>
    </row>
    <row r="90" hidden="1" outlineLevel="1">
      <c r="A90" s="125">
        <v>45292.0</v>
      </c>
      <c r="B90" s="126">
        <f t="shared" ref="B90:B91" si="32">A90</f>
        <v>45292</v>
      </c>
      <c r="C90" s="127" t="s">
        <v>118</v>
      </c>
      <c r="D90" s="129" t="s">
        <v>1761</v>
      </c>
      <c r="E90" s="129" t="s">
        <v>1758</v>
      </c>
      <c r="F90" s="130">
        <v>200.0</v>
      </c>
      <c r="G90" s="127"/>
      <c r="H90" s="44" t="b">
        <v>1</v>
      </c>
      <c r="N90" s="437"/>
    </row>
    <row r="91" hidden="1" outlineLevel="1">
      <c r="A91" s="102">
        <v>45293.0</v>
      </c>
      <c r="B91" s="97">
        <f t="shared" si="32"/>
        <v>45293</v>
      </c>
      <c r="C91" s="151" t="s">
        <v>118</v>
      </c>
      <c r="D91" s="129" t="s">
        <v>1851</v>
      </c>
      <c r="E91" s="129" t="s">
        <v>1758</v>
      </c>
      <c r="F91" s="130">
        <v>150.0</v>
      </c>
      <c r="G91" s="127"/>
      <c r="H91" s="44" t="b">
        <v>1</v>
      </c>
      <c r="N91" s="437"/>
    </row>
    <row r="92" hidden="1" outlineLevel="1">
      <c r="A92" s="10"/>
      <c r="B92" s="10"/>
      <c r="C92" s="10"/>
      <c r="D92" s="129" t="s">
        <v>1756</v>
      </c>
      <c r="E92" s="129" t="s">
        <v>469</v>
      </c>
      <c r="F92" s="130">
        <v>130.0</v>
      </c>
      <c r="G92" s="127"/>
      <c r="H92" s="44" t="b">
        <v>1</v>
      </c>
      <c r="N92" s="437"/>
    </row>
    <row r="93" hidden="1" outlineLevel="1">
      <c r="A93" s="125">
        <v>45294.0</v>
      </c>
      <c r="B93" s="126">
        <f t="shared" ref="B93:B95" si="33">A93</f>
        <v>45294</v>
      </c>
      <c r="C93" s="129" t="s">
        <v>118</v>
      </c>
      <c r="D93" s="129" t="s">
        <v>1756</v>
      </c>
      <c r="E93" s="129" t="s">
        <v>1758</v>
      </c>
      <c r="F93" s="130">
        <v>130.0</v>
      </c>
      <c r="G93" s="129"/>
      <c r="H93" s="44" t="b">
        <v>1</v>
      </c>
      <c r="I93" s="452"/>
      <c r="J93" s="452"/>
      <c r="K93" s="437"/>
      <c r="L93" s="437"/>
      <c r="M93" s="437"/>
      <c r="N93" s="437"/>
      <c r="O93" s="437"/>
      <c r="P93" s="437"/>
      <c r="Q93" s="437"/>
    </row>
    <row r="94" hidden="1" outlineLevel="1">
      <c r="A94" s="125">
        <v>45295.0</v>
      </c>
      <c r="B94" s="126">
        <f t="shared" si="33"/>
        <v>45295</v>
      </c>
      <c r="C94" s="129" t="s">
        <v>118</v>
      </c>
      <c r="D94" s="129" t="s">
        <v>1756</v>
      </c>
      <c r="E94" s="129" t="s">
        <v>1758</v>
      </c>
      <c r="F94" s="130">
        <v>130.0</v>
      </c>
      <c r="G94" s="127"/>
      <c r="H94" s="44" t="b">
        <v>1</v>
      </c>
      <c r="I94" s="452"/>
      <c r="J94" s="452"/>
      <c r="K94" s="440" t="s">
        <v>1981</v>
      </c>
      <c r="L94" s="27"/>
      <c r="M94" s="27"/>
      <c r="N94" s="27"/>
      <c r="O94" s="27"/>
      <c r="P94" s="27"/>
      <c r="Q94" s="28"/>
    </row>
    <row r="95" hidden="1" outlineLevel="1">
      <c r="A95" s="102">
        <v>45296.0</v>
      </c>
      <c r="B95" s="97">
        <f t="shared" si="33"/>
        <v>45296</v>
      </c>
      <c r="C95" s="129" t="s">
        <v>118</v>
      </c>
      <c r="D95" s="129" t="s">
        <v>183</v>
      </c>
      <c r="E95" s="129" t="s">
        <v>1758</v>
      </c>
      <c r="F95" s="130">
        <v>150.0</v>
      </c>
      <c r="G95" s="127"/>
      <c r="H95" s="44" t="b">
        <v>1</v>
      </c>
      <c r="I95" s="452"/>
      <c r="J95" s="452"/>
      <c r="K95" s="441" t="s">
        <v>1749</v>
      </c>
      <c r="L95" s="441" t="s">
        <v>1758</v>
      </c>
      <c r="M95" s="441" t="s">
        <v>469</v>
      </c>
      <c r="N95" s="441" t="s">
        <v>195</v>
      </c>
      <c r="O95" s="441" t="s">
        <v>1764</v>
      </c>
      <c r="P95" s="441" t="s">
        <v>1765</v>
      </c>
      <c r="Q95" s="441" t="s">
        <v>1766</v>
      </c>
    </row>
    <row r="96" hidden="1" outlineLevel="1">
      <c r="A96" s="58"/>
      <c r="B96" s="58"/>
      <c r="C96" s="129" t="s">
        <v>118</v>
      </c>
      <c r="D96" s="129" t="s">
        <v>1756</v>
      </c>
      <c r="E96" s="129" t="s">
        <v>469</v>
      </c>
      <c r="F96" s="130">
        <v>130.0</v>
      </c>
      <c r="G96" s="127"/>
      <c r="H96" s="44" t="b">
        <v>1</v>
      </c>
      <c r="I96" s="452"/>
      <c r="J96" s="452"/>
      <c r="K96" s="91" t="s">
        <v>1756</v>
      </c>
      <c r="L96" s="90">
        <f t="shared" ref="L96:L104" si="34">COUNTIFS($D$90:$D$133, $K96,$E$90:$E$133,$L$95)</f>
        <v>13</v>
      </c>
      <c r="M96" s="90">
        <f t="shared" ref="M96:M104" si="35">COUNTIFS($D$90:$D$133, $K96,$E$90:$E$133,$M$95)</f>
        <v>9</v>
      </c>
      <c r="N96" s="276">
        <f t="shared" ref="N96:N104" si="36">L96+M96</f>
        <v>22</v>
      </c>
      <c r="O96" s="424">
        <f t="shared" ref="O96:O104" si="37">SUMIFS($F$90:$F$133,$D$90:$D$133,$K96)</f>
        <v>2860</v>
      </c>
      <c r="P96" s="424">
        <f t="shared" ref="P96:P104" si="38">SUMIFS($F$90:$F$133,$D$90:$D$133,$K96,$H$90:$H$133,TRUE)</f>
        <v>2860</v>
      </c>
      <c r="Q96" s="424">
        <f t="shared" ref="Q96:Q104" si="39">O96-P96</f>
        <v>0</v>
      </c>
    </row>
    <row r="97" hidden="1" outlineLevel="1">
      <c r="A97" s="10"/>
      <c r="B97" s="10"/>
      <c r="C97" s="129" t="s">
        <v>136</v>
      </c>
      <c r="D97" s="129" t="s">
        <v>1761</v>
      </c>
      <c r="E97" s="129" t="s">
        <v>1758</v>
      </c>
      <c r="F97" s="130">
        <v>150.0</v>
      </c>
      <c r="G97" s="129" t="s">
        <v>1983</v>
      </c>
      <c r="H97" s="44" t="b">
        <v>1</v>
      </c>
      <c r="I97" s="452"/>
      <c r="J97" s="452"/>
      <c r="K97" s="91" t="s">
        <v>1761</v>
      </c>
      <c r="L97" s="90">
        <f t="shared" si="34"/>
        <v>7</v>
      </c>
      <c r="M97" s="90">
        <f t="shared" si="35"/>
        <v>0</v>
      </c>
      <c r="N97" s="276">
        <f t="shared" si="36"/>
        <v>7</v>
      </c>
      <c r="O97" s="424">
        <f t="shared" si="37"/>
        <v>1300</v>
      </c>
      <c r="P97" s="424">
        <f t="shared" si="38"/>
        <v>1300</v>
      </c>
      <c r="Q97" s="424">
        <f t="shared" si="39"/>
        <v>0</v>
      </c>
    </row>
    <row r="98" hidden="1" outlineLevel="1">
      <c r="A98" s="102">
        <v>45298.0</v>
      </c>
      <c r="B98" s="97">
        <f>A98</f>
        <v>45298</v>
      </c>
      <c r="C98" s="129" t="s">
        <v>118</v>
      </c>
      <c r="D98" s="129" t="s">
        <v>1761</v>
      </c>
      <c r="E98" s="129" t="s">
        <v>1758</v>
      </c>
      <c r="F98" s="130">
        <v>200.0</v>
      </c>
      <c r="G98" s="127"/>
      <c r="H98" s="44" t="b">
        <v>1</v>
      </c>
      <c r="I98" s="452"/>
      <c r="J98" s="452"/>
      <c r="K98" s="91" t="s">
        <v>183</v>
      </c>
      <c r="L98" s="90">
        <f t="shared" si="34"/>
        <v>7</v>
      </c>
      <c r="M98" s="90">
        <f t="shared" si="35"/>
        <v>0</v>
      </c>
      <c r="N98" s="276">
        <f t="shared" si="36"/>
        <v>7</v>
      </c>
      <c r="O98" s="424">
        <f t="shared" si="37"/>
        <v>1050</v>
      </c>
      <c r="P98" s="424">
        <f t="shared" si="38"/>
        <v>1050</v>
      </c>
      <c r="Q98" s="424">
        <f t="shared" si="39"/>
        <v>0</v>
      </c>
    </row>
    <row r="99" hidden="1" outlineLevel="1">
      <c r="A99" s="10"/>
      <c r="B99" s="10"/>
      <c r="C99" s="129" t="s">
        <v>136</v>
      </c>
      <c r="D99" s="129" t="s">
        <v>1845</v>
      </c>
      <c r="E99" s="129" t="s">
        <v>1758</v>
      </c>
      <c r="F99" s="130">
        <v>200.0</v>
      </c>
      <c r="G99" s="127"/>
      <c r="H99" s="44" t="b">
        <v>1</v>
      </c>
      <c r="I99" s="452"/>
      <c r="J99" s="452"/>
      <c r="K99" s="91" t="s">
        <v>1816</v>
      </c>
      <c r="L99" s="90">
        <f t="shared" si="34"/>
        <v>1</v>
      </c>
      <c r="M99" s="90">
        <f t="shared" si="35"/>
        <v>0</v>
      </c>
      <c r="N99" s="276">
        <f t="shared" si="36"/>
        <v>1</v>
      </c>
      <c r="O99" s="424">
        <f t="shared" si="37"/>
        <v>200</v>
      </c>
      <c r="P99" s="424">
        <f t="shared" si="38"/>
        <v>200</v>
      </c>
      <c r="Q99" s="424">
        <f t="shared" si="39"/>
        <v>0</v>
      </c>
    </row>
    <row r="100" hidden="1" outlineLevel="1">
      <c r="A100" s="125">
        <v>45299.0</v>
      </c>
      <c r="B100" s="126">
        <f t="shared" ref="B100:B101" si="40">A100</f>
        <v>45299</v>
      </c>
      <c r="C100" s="129" t="s">
        <v>118</v>
      </c>
      <c r="D100" s="129" t="s">
        <v>1756</v>
      </c>
      <c r="E100" s="129" t="s">
        <v>1758</v>
      </c>
      <c r="F100" s="130">
        <v>130.0</v>
      </c>
      <c r="G100" s="127"/>
      <c r="H100" s="44" t="b">
        <v>1</v>
      </c>
      <c r="I100" s="452"/>
      <c r="J100" s="452"/>
      <c r="K100" s="91" t="s">
        <v>1845</v>
      </c>
      <c r="L100" s="90">
        <f t="shared" si="34"/>
        <v>1</v>
      </c>
      <c r="M100" s="90">
        <f t="shared" si="35"/>
        <v>0</v>
      </c>
      <c r="N100" s="276">
        <f t="shared" si="36"/>
        <v>1</v>
      </c>
      <c r="O100" s="424">
        <f t="shared" si="37"/>
        <v>200</v>
      </c>
      <c r="P100" s="424">
        <f t="shared" si="38"/>
        <v>200</v>
      </c>
      <c r="Q100" s="424">
        <f t="shared" si="39"/>
        <v>0</v>
      </c>
    </row>
    <row r="101" hidden="1" outlineLevel="1">
      <c r="A101" s="102">
        <v>45300.0</v>
      </c>
      <c r="B101" s="97">
        <f t="shared" si="40"/>
        <v>45300</v>
      </c>
      <c r="C101" s="179" t="s">
        <v>118</v>
      </c>
      <c r="D101" s="129" t="s">
        <v>183</v>
      </c>
      <c r="E101" s="129" t="s">
        <v>1758</v>
      </c>
      <c r="F101" s="130">
        <v>150.0</v>
      </c>
      <c r="G101" s="127"/>
      <c r="H101" s="44" t="b">
        <v>1</v>
      </c>
      <c r="I101" s="51"/>
      <c r="J101" s="51"/>
      <c r="K101" s="91" t="s">
        <v>363</v>
      </c>
      <c r="L101" s="90">
        <f t="shared" si="34"/>
        <v>2</v>
      </c>
      <c r="M101" s="90">
        <f t="shared" si="35"/>
        <v>0</v>
      </c>
      <c r="N101" s="276">
        <f t="shared" si="36"/>
        <v>2</v>
      </c>
      <c r="O101" s="424">
        <f t="shared" si="37"/>
        <v>400</v>
      </c>
      <c r="P101" s="424">
        <f t="shared" si="38"/>
        <v>400</v>
      </c>
      <c r="Q101" s="424">
        <f t="shared" si="39"/>
        <v>0</v>
      </c>
    </row>
    <row r="102" hidden="1" outlineLevel="1">
      <c r="A102" s="10"/>
      <c r="B102" s="10"/>
      <c r="C102" s="10"/>
      <c r="D102" s="129" t="s">
        <v>1756</v>
      </c>
      <c r="E102" s="129" t="s">
        <v>469</v>
      </c>
      <c r="F102" s="130">
        <v>130.0</v>
      </c>
      <c r="G102" s="127"/>
      <c r="H102" s="44" t="b">
        <v>1</v>
      </c>
      <c r="I102" s="51"/>
      <c r="J102" s="51"/>
      <c r="K102" s="91" t="s">
        <v>1851</v>
      </c>
      <c r="L102" s="90">
        <f t="shared" si="34"/>
        <v>1</v>
      </c>
      <c r="M102" s="90">
        <f t="shared" si="35"/>
        <v>0</v>
      </c>
      <c r="N102" s="276">
        <f t="shared" si="36"/>
        <v>1</v>
      </c>
      <c r="O102" s="424">
        <f t="shared" si="37"/>
        <v>150</v>
      </c>
      <c r="P102" s="424">
        <f t="shared" si="38"/>
        <v>150</v>
      </c>
      <c r="Q102" s="424">
        <f t="shared" si="39"/>
        <v>0</v>
      </c>
    </row>
    <row r="103" hidden="1" outlineLevel="1">
      <c r="A103" s="125">
        <v>45301.0</v>
      </c>
      <c r="B103" s="126">
        <f t="shared" ref="B103:B105" si="41">A103</f>
        <v>45301</v>
      </c>
      <c r="C103" s="129" t="s">
        <v>118</v>
      </c>
      <c r="D103" s="129" t="s">
        <v>1756</v>
      </c>
      <c r="E103" s="129" t="s">
        <v>1758</v>
      </c>
      <c r="F103" s="130">
        <v>130.0</v>
      </c>
      <c r="G103" s="127"/>
      <c r="H103" s="44" t="b">
        <v>1</v>
      </c>
      <c r="I103" s="51"/>
      <c r="J103" s="51"/>
      <c r="K103" s="91" t="s">
        <v>1842</v>
      </c>
      <c r="L103" s="90">
        <f t="shared" si="34"/>
        <v>0</v>
      </c>
      <c r="M103" s="90">
        <f t="shared" si="35"/>
        <v>0</v>
      </c>
      <c r="N103" s="276">
        <f t="shared" si="36"/>
        <v>0</v>
      </c>
      <c r="O103" s="424">
        <f t="shared" si="37"/>
        <v>0</v>
      </c>
      <c r="P103" s="424">
        <f t="shared" si="38"/>
        <v>0</v>
      </c>
      <c r="Q103" s="424">
        <f t="shared" si="39"/>
        <v>0</v>
      </c>
    </row>
    <row r="104" hidden="1" outlineLevel="1">
      <c r="A104" s="125">
        <v>45302.0</v>
      </c>
      <c r="B104" s="126">
        <f t="shared" si="41"/>
        <v>45302</v>
      </c>
      <c r="C104" s="129" t="s">
        <v>118</v>
      </c>
      <c r="D104" s="129" t="s">
        <v>1756</v>
      </c>
      <c r="E104" s="129" t="s">
        <v>1758</v>
      </c>
      <c r="F104" s="130">
        <v>130.0</v>
      </c>
      <c r="G104" s="522"/>
      <c r="H104" s="44" t="b">
        <v>1</v>
      </c>
      <c r="I104" s="452"/>
      <c r="J104" s="452"/>
      <c r="K104" s="91" t="s">
        <v>1840</v>
      </c>
      <c r="L104" s="90">
        <f t="shared" si="34"/>
        <v>1</v>
      </c>
      <c r="M104" s="90">
        <f t="shared" si="35"/>
        <v>0</v>
      </c>
      <c r="N104" s="276">
        <f t="shared" si="36"/>
        <v>1</v>
      </c>
      <c r="O104" s="424">
        <f t="shared" si="37"/>
        <v>50</v>
      </c>
      <c r="P104" s="424">
        <f t="shared" si="38"/>
        <v>50</v>
      </c>
      <c r="Q104" s="424">
        <f t="shared" si="39"/>
        <v>0</v>
      </c>
    </row>
    <row r="105" hidden="1" outlineLevel="1">
      <c r="A105" s="102">
        <v>45303.0</v>
      </c>
      <c r="B105" s="97">
        <f t="shared" si="41"/>
        <v>45303</v>
      </c>
      <c r="C105" s="179" t="s">
        <v>118</v>
      </c>
      <c r="D105" s="129" t="s">
        <v>183</v>
      </c>
      <c r="E105" s="129" t="s">
        <v>1758</v>
      </c>
      <c r="F105" s="130">
        <v>150.0</v>
      </c>
      <c r="G105" s="127"/>
      <c r="H105" s="44" t="b">
        <v>1</v>
      </c>
      <c r="I105" s="452"/>
      <c r="J105" s="452"/>
      <c r="K105" s="531"/>
      <c r="L105" s="90"/>
      <c r="M105" s="90"/>
      <c r="N105" s="276"/>
      <c r="O105" s="424"/>
      <c r="P105" s="424"/>
      <c r="Q105" s="276"/>
    </row>
    <row r="106" hidden="1" outlineLevel="1">
      <c r="A106" s="10"/>
      <c r="B106" s="10"/>
      <c r="C106" s="10"/>
      <c r="D106" s="129" t="s">
        <v>1756</v>
      </c>
      <c r="E106" s="129" t="s">
        <v>469</v>
      </c>
      <c r="F106" s="130">
        <v>130.0</v>
      </c>
      <c r="G106" s="127"/>
      <c r="H106" s="44" t="b">
        <v>1</v>
      </c>
      <c r="I106" s="452"/>
      <c r="J106" s="452"/>
      <c r="K106" s="531"/>
      <c r="L106" s="90"/>
      <c r="M106" s="90"/>
      <c r="N106" s="276"/>
      <c r="O106" s="424"/>
      <c r="P106" s="424"/>
      <c r="Q106" s="276"/>
    </row>
    <row r="107" hidden="1" outlineLevel="1">
      <c r="A107" s="125">
        <v>45304.0</v>
      </c>
      <c r="B107" s="126">
        <f t="shared" ref="B107:B108" si="42">A107</f>
        <v>45304</v>
      </c>
      <c r="C107" s="129" t="s">
        <v>118</v>
      </c>
      <c r="D107" s="129" t="s">
        <v>1840</v>
      </c>
      <c r="E107" s="129" t="s">
        <v>1758</v>
      </c>
      <c r="F107" s="130">
        <v>50.0</v>
      </c>
      <c r="G107" s="127"/>
      <c r="H107" s="44" t="b">
        <v>1</v>
      </c>
      <c r="K107" s="531"/>
      <c r="L107" s="90"/>
      <c r="M107" s="90"/>
      <c r="N107" s="276"/>
      <c r="O107" s="424"/>
      <c r="P107" s="424"/>
      <c r="Q107" s="276"/>
    </row>
    <row r="108" hidden="1" outlineLevel="1">
      <c r="A108" s="102">
        <v>45305.0</v>
      </c>
      <c r="B108" s="97">
        <f t="shared" si="42"/>
        <v>45305</v>
      </c>
      <c r="C108" s="129" t="s">
        <v>118</v>
      </c>
      <c r="D108" s="129" t="s">
        <v>1761</v>
      </c>
      <c r="E108" s="129" t="s">
        <v>1758</v>
      </c>
      <c r="F108" s="130">
        <v>200.0</v>
      </c>
      <c r="G108" s="127"/>
      <c r="H108" s="44" t="b">
        <v>1</v>
      </c>
      <c r="K108" s="531"/>
      <c r="L108" s="90"/>
      <c r="M108" s="90"/>
      <c r="N108" s="276"/>
      <c r="O108" s="424"/>
      <c r="P108" s="424"/>
      <c r="Q108" s="276"/>
    </row>
    <row r="109" hidden="1" outlineLevel="1">
      <c r="A109" s="10"/>
      <c r="B109" s="10"/>
      <c r="C109" s="129" t="s">
        <v>136</v>
      </c>
      <c r="D109" s="129" t="s">
        <v>363</v>
      </c>
      <c r="E109" s="129" t="s">
        <v>1758</v>
      </c>
      <c r="F109" s="130">
        <v>200.0</v>
      </c>
      <c r="G109" s="127"/>
      <c r="H109" s="44" t="b">
        <v>1</v>
      </c>
      <c r="K109" s="477" t="s">
        <v>195</v>
      </c>
      <c r="L109" s="478">
        <f t="shared" ref="L109:N109" si="43">SUM(L88:L108)</f>
        <v>33</v>
      </c>
      <c r="M109" s="478">
        <f t="shared" si="43"/>
        <v>9</v>
      </c>
      <c r="N109" s="478">
        <f t="shared" si="43"/>
        <v>42</v>
      </c>
      <c r="O109" s="479">
        <f t="shared" ref="O109:Q109" si="44">SUM(O96:O108)</f>
        <v>6210</v>
      </c>
      <c r="P109" s="479">
        <f t="shared" si="44"/>
        <v>6210</v>
      </c>
      <c r="Q109" s="479">
        <f t="shared" si="44"/>
        <v>0</v>
      </c>
    </row>
    <row r="110" hidden="1" outlineLevel="1">
      <c r="A110" s="125">
        <v>45306.0</v>
      </c>
      <c r="B110" s="126">
        <f t="shared" ref="B110:B111" si="45">A110</f>
        <v>45306</v>
      </c>
      <c r="C110" s="129" t="s">
        <v>118</v>
      </c>
      <c r="D110" s="129" t="s">
        <v>1756</v>
      </c>
      <c r="E110" s="129" t="s">
        <v>1758</v>
      </c>
      <c r="F110" s="130">
        <v>130.0</v>
      </c>
      <c r="G110" s="127"/>
      <c r="H110" s="44" t="b">
        <v>1</v>
      </c>
    </row>
    <row r="111" hidden="1" outlineLevel="1">
      <c r="A111" s="102">
        <v>45307.0</v>
      </c>
      <c r="B111" s="97">
        <f t="shared" si="45"/>
        <v>45307</v>
      </c>
      <c r="C111" s="179" t="s">
        <v>118</v>
      </c>
      <c r="D111" s="129" t="s">
        <v>1756</v>
      </c>
      <c r="E111" s="129" t="s">
        <v>469</v>
      </c>
      <c r="F111" s="130">
        <v>130.0</v>
      </c>
      <c r="G111" s="127"/>
      <c r="H111" s="44" t="b">
        <v>1</v>
      </c>
    </row>
    <row r="112" hidden="1" outlineLevel="1">
      <c r="A112" s="10"/>
      <c r="B112" s="10"/>
      <c r="C112" s="10"/>
      <c r="D112" s="129" t="s">
        <v>183</v>
      </c>
      <c r="E112" s="129" t="s">
        <v>1758</v>
      </c>
      <c r="F112" s="130">
        <v>150.0</v>
      </c>
      <c r="G112" s="127"/>
      <c r="H112" s="44" t="b">
        <v>1</v>
      </c>
      <c r="K112" s="553"/>
      <c r="L112" s="51"/>
      <c r="M112" s="51"/>
      <c r="O112" s="554"/>
      <c r="P112" s="554"/>
    </row>
    <row r="113" hidden="1" outlineLevel="1">
      <c r="A113" s="125">
        <v>45308.0</v>
      </c>
      <c r="B113" s="126">
        <f t="shared" ref="B113:B115" si="46">A113</f>
        <v>45308</v>
      </c>
      <c r="C113" s="129" t="s">
        <v>118</v>
      </c>
      <c r="D113" s="129" t="s">
        <v>1756</v>
      </c>
      <c r="E113" s="129" t="s">
        <v>1758</v>
      </c>
      <c r="F113" s="130">
        <v>130.0</v>
      </c>
      <c r="G113" s="127"/>
      <c r="H113" s="44" t="b">
        <v>1</v>
      </c>
      <c r="K113" s="51"/>
      <c r="L113" s="51"/>
      <c r="M113" s="51"/>
    </row>
    <row r="114" hidden="1" outlineLevel="1">
      <c r="A114" s="125">
        <v>45309.0</v>
      </c>
      <c r="B114" s="126">
        <f t="shared" si="46"/>
        <v>45309</v>
      </c>
      <c r="C114" s="179" t="s">
        <v>118</v>
      </c>
      <c r="D114" s="129" t="s">
        <v>1756</v>
      </c>
      <c r="E114" s="129" t="s">
        <v>1758</v>
      </c>
      <c r="F114" s="130">
        <v>130.0</v>
      </c>
      <c r="G114" s="127"/>
      <c r="H114" s="44" t="b">
        <v>1</v>
      </c>
      <c r="K114" s="51"/>
      <c r="L114" s="51"/>
      <c r="M114" s="51"/>
    </row>
    <row r="115" hidden="1" outlineLevel="1">
      <c r="A115" s="102">
        <v>45310.0</v>
      </c>
      <c r="B115" s="97">
        <f t="shared" si="46"/>
        <v>45310</v>
      </c>
      <c r="C115" s="179" t="s">
        <v>118</v>
      </c>
      <c r="D115" s="129" t="s">
        <v>183</v>
      </c>
      <c r="E115" s="129" t="s">
        <v>1758</v>
      </c>
      <c r="F115" s="130">
        <v>150.0</v>
      </c>
      <c r="G115" s="127"/>
      <c r="H115" s="44" t="b">
        <v>1</v>
      </c>
      <c r="K115" s="51"/>
      <c r="L115" s="51"/>
      <c r="M115" s="51"/>
    </row>
    <row r="116" hidden="1" outlineLevel="1">
      <c r="A116" s="10"/>
      <c r="B116" s="10"/>
      <c r="C116" s="179" t="s">
        <v>118</v>
      </c>
      <c r="D116" s="129" t="s">
        <v>1756</v>
      </c>
      <c r="E116" s="129" t="s">
        <v>469</v>
      </c>
      <c r="F116" s="130">
        <v>130.0</v>
      </c>
      <c r="G116" s="127"/>
      <c r="H116" s="44" t="b">
        <v>1</v>
      </c>
      <c r="K116" s="51"/>
      <c r="L116" s="51"/>
      <c r="M116" s="51"/>
    </row>
    <row r="117" hidden="1" outlineLevel="1">
      <c r="A117" s="170">
        <v>45311.0</v>
      </c>
      <c r="B117" s="171">
        <f t="shared" ref="B117:B118" si="47">A117</f>
        <v>45311</v>
      </c>
      <c r="C117" s="173"/>
      <c r="D117" s="173"/>
      <c r="E117" s="173"/>
      <c r="F117" s="174"/>
      <c r="G117" s="185"/>
      <c r="H117" s="555" t="b">
        <v>0</v>
      </c>
      <c r="K117" s="51"/>
      <c r="L117" s="51"/>
      <c r="M117" s="51"/>
    </row>
    <row r="118" hidden="1" outlineLevel="1">
      <c r="A118" s="102">
        <v>45312.0</v>
      </c>
      <c r="B118" s="97">
        <f t="shared" si="47"/>
        <v>45312</v>
      </c>
      <c r="C118" s="129" t="s">
        <v>118</v>
      </c>
      <c r="D118" s="129" t="s">
        <v>1761</v>
      </c>
      <c r="E118" s="129" t="s">
        <v>1758</v>
      </c>
      <c r="F118" s="130">
        <v>200.0</v>
      </c>
      <c r="G118" s="127"/>
      <c r="H118" s="44" t="b">
        <v>1</v>
      </c>
      <c r="K118" s="51"/>
      <c r="L118" s="51"/>
      <c r="M118" s="51"/>
    </row>
    <row r="119" hidden="1" outlineLevel="1">
      <c r="A119" s="10"/>
      <c r="B119" s="10"/>
      <c r="C119" s="129" t="s">
        <v>136</v>
      </c>
      <c r="D119" s="129" t="s">
        <v>363</v>
      </c>
      <c r="E119" s="129" t="s">
        <v>1758</v>
      </c>
      <c r="F119" s="130">
        <v>200.0</v>
      </c>
      <c r="G119" s="127"/>
      <c r="H119" s="44" t="b">
        <v>1</v>
      </c>
      <c r="K119" s="51"/>
      <c r="L119" s="51"/>
      <c r="M119" s="51"/>
    </row>
    <row r="120" hidden="1" outlineLevel="1">
      <c r="A120" s="125">
        <v>45313.0</v>
      </c>
      <c r="B120" s="126">
        <f t="shared" ref="B120:B121" si="48">A120</f>
        <v>45313</v>
      </c>
      <c r="C120" s="129" t="s">
        <v>118</v>
      </c>
      <c r="D120" s="129" t="s">
        <v>1756</v>
      </c>
      <c r="E120" s="129" t="s">
        <v>1758</v>
      </c>
      <c r="F120" s="130">
        <v>130.0</v>
      </c>
      <c r="G120" s="127"/>
      <c r="H120" s="44" t="b">
        <v>1</v>
      </c>
      <c r="K120" s="452"/>
      <c r="L120" s="51"/>
      <c r="M120" s="51"/>
      <c r="N120" s="51"/>
    </row>
    <row r="121" hidden="1" outlineLevel="1">
      <c r="A121" s="102">
        <v>45314.0</v>
      </c>
      <c r="B121" s="97">
        <f t="shared" si="48"/>
        <v>45314</v>
      </c>
      <c r="C121" s="129" t="s">
        <v>118</v>
      </c>
      <c r="D121" s="129" t="s">
        <v>1756</v>
      </c>
      <c r="E121" s="129" t="s">
        <v>469</v>
      </c>
      <c r="F121" s="130">
        <v>130.0</v>
      </c>
      <c r="G121" s="127"/>
      <c r="H121" s="44" t="b">
        <v>1</v>
      </c>
    </row>
    <row r="122" hidden="1" outlineLevel="1">
      <c r="A122" s="10"/>
      <c r="B122" s="10"/>
      <c r="C122" s="129" t="s">
        <v>118</v>
      </c>
      <c r="D122" s="129" t="s">
        <v>183</v>
      </c>
      <c r="E122" s="129" t="s">
        <v>1758</v>
      </c>
      <c r="F122" s="130">
        <v>150.0</v>
      </c>
      <c r="G122" s="127"/>
      <c r="H122" s="44" t="b">
        <v>1</v>
      </c>
    </row>
    <row r="123" hidden="1" outlineLevel="1">
      <c r="A123" s="125">
        <v>45315.0</v>
      </c>
      <c r="B123" s="126">
        <f t="shared" ref="B123:B125" si="49">A123</f>
        <v>45315</v>
      </c>
      <c r="C123" s="129" t="s">
        <v>136</v>
      </c>
      <c r="D123" s="129" t="s">
        <v>1756</v>
      </c>
      <c r="E123" s="129" t="s">
        <v>1758</v>
      </c>
      <c r="F123" s="130">
        <v>130.0</v>
      </c>
      <c r="G123" s="127"/>
      <c r="H123" s="44" t="b">
        <v>1</v>
      </c>
    </row>
    <row r="124" hidden="1" outlineLevel="1">
      <c r="A124" s="125">
        <v>45316.0</v>
      </c>
      <c r="B124" s="126">
        <f t="shared" si="49"/>
        <v>45316</v>
      </c>
      <c r="C124" s="129" t="s">
        <v>118</v>
      </c>
      <c r="D124" s="129" t="s">
        <v>1756</v>
      </c>
      <c r="E124" s="129" t="s">
        <v>1758</v>
      </c>
      <c r="F124" s="130">
        <v>130.0</v>
      </c>
      <c r="G124" s="127"/>
      <c r="H124" s="44" t="b">
        <v>1</v>
      </c>
    </row>
    <row r="125" hidden="1" outlineLevel="1">
      <c r="A125" s="102">
        <v>45317.0</v>
      </c>
      <c r="B125" s="97">
        <f t="shared" si="49"/>
        <v>45317</v>
      </c>
      <c r="C125" s="129" t="s">
        <v>118</v>
      </c>
      <c r="D125" s="129" t="s">
        <v>1761</v>
      </c>
      <c r="E125" s="129" t="s">
        <v>1758</v>
      </c>
      <c r="F125" s="130">
        <v>150.0</v>
      </c>
      <c r="G125" s="127"/>
      <c r="H125" s="44" t="b">
        <v>1</v>
      </c>
    </row>
    <row r="126" hidden="1" outlineLevel="1">
      <c r="A126" s="10"/>
      <c r="B126" s="10"/>
      <c r="C126" s="129" t="s">
        <v>118</v>
      </c>
      <c r="D126" s="129" t="s">
        <v>1756</v>
      </c>
      <c r="E126" s="129" t="s">
        <v>469</v>
      </c>
      <c r="F126" s="130">
        <v>130.0</v>
      </c>
      <c r="G126" s="127"/>
      <c r="H126" s="44" t="b">
        <v>1</v>
      </c>
    </row>
    <row r="127" hidden="1" outlineLevel="1">
      <c r="A127" s="170">
        <v>45318.0</v>
      </c>
      <c r="B127" s="171">
        <f t="shared" ref="B127:B128" si="50">A127</f>
        <v>45318</v>
      </c>
      <c r="C127" s="173"/>
      <c r="D127" s="173"/>
      <c r="E127" s="173"/>
      <c r="F127" s="174"/>
      <c r="G127" s="185"/>
      <c r="H127" s="555" t="b">
        <v>0</v>
      </c>
    </row>
    <row r="128" hidden="1" outlineLevel="1">
      <c r="A128" s="102">
        <v>45319.0</v>
      </c>
      <c r="B128" s="97">
        <f t="shared" si="50"/>
        <v>45319</v>
      </c>
      <c r="C128" s="129" t="s">
        <v>118</v>
      </c>
      <c r="D128" s="129" t="s">
        <v>1761</v>
      </c>
      <c r="E128" s="129" t="s">
        <v>1758</v>
      </c>
      <c r="F128" s="130">
        <v>200.0</v>
      </c>
      <c r="G128" s="127"/>
      <c r="H128" s="44" t="b">
        <v>1</v>
      </c>
    </row>
    <row r="129" hidden="1" outlineLevel="1">
      <c r="A129" s="10"/>
      <c r="B129" s="10"/>
      <c r="C129" s="129" t="s">
        <v>136</v>
      </c>
      <c r="D129" s="129" t="s">
        <v>1816</v>
      </c>
      <c r="E129" s="129" t="s">
        <v>1758</v>
      </c>
      <c r="F129" s="130">
        <v>200.0</v>
      </c>
      <c r="G129" s="127"/>
      <c r="H129" s="44" t="b">
        <v>1</v>
      </c>
    </row>
    <row r="130" hidden="1" outlineLevel="1">
      <c r="A130" s="125">
        <v>45320.0</v>
      </c>
      <c r="B130" s="126">
        <f t="shared" ref="B130:B131" si="51">A130</f>
        <v>45320</v>
      </c>
      <c r="C130" s="129" t="s">
        <v>118</v>
      </c>
      <c r="D130" s="129" t="s">
        <v>1756</v>
      </c>
      <c r="E130" s="129" t="s">
        <v>1758</v>
      </c>
      <c r="F130" s="130">
        <v>130.0</v>
      </c>
      <c r="G130" s="127"/>
      <c r="H130" s="44" t="b">
        <v>1</v>
      </c>
    </row>
    <row r="131" hidden="1" outlineLevel="1">
      <c r="A131" s="102">
        <v>45321.0</v>
      </c>
      <c r="B131" s="97">
        <f t="shared" si="51"/>
        <v>45321</v>
      </c>
      <c r="C131" s="179" t="s">
        <v>118</v>
      </c>
      <c r="D131" s="129" t="s">
        <v>183</v>
      </c>
      <c r="E131" s="129" t="s">
        <v>1758</v>
      </c>
      <c r="F131" s="130">
        <v>150.0</v>
      </c>
      <c r="G131" s="127"/>
      <c r="H131" s="44" t="b">
        <v>1</v>
      </c>
    </row>
    <row r="132" hidden="1" outlineLevel="1">
      <c r="A132" s="10"/>
      <c r="B132" s="10"/>
      <c r="C132" s="10"/>
      <c r="D132" s="129" t="s">
        <v>1756</v>
      </c>
      <c r="E132" s="129" t="s">
        <v>469</v>
      </c>
      <c r="F132" s="130">
        <v>130.0</v>
      </c>
      <c r="G132" s="127"/>
      <c r="H132" s="44" t="b">
        <v>1</v>
      </c>
    </row>
    <row r="133" hidden="1" outlineLevel="1">
      <c r="A133" s="125">
        <v>45322.0</v>
      </c>
      <c r="B133" s="126">
        <f>A133</f>
        <v>45322</v>
      </c>
      <c r="C133" s="129" t="s">
        <v>118</v>
      </c>
      <c r="D133" s="129" t="s">
        <v>1756</v>
      </c>
      <c r="E133" s="129" t="s">
        <v>1758</v>
      </c>
      <c r="F133" s="130">
        <v>130.0</v>
      </c>
      <c r="G133" s="127"/>
      <c r="H133" s="44" t="b">
        <v>1</v>
      </c>
    </row>
    <row r="134">
      <c r="A134" s="484" t="s">
        <v>195</v>
      </c>
      <c r="B134" s="27"/>
      <c r="C134" s="27"/>
      <c r="D134" s="27"/>
      <c r="E134" s="28"/>
      <c r="F134" s="485">
        <f>SUM(F90:F133)</f>
        <v>6210</v>
      </c>
      <c r="G134" s="486"/>
      <c r="H134" s="28"/>
    </row>
    <row r="135" collapsed="1">
      <c r="A135" s="339" t="s">
        <v>366</v>
      </c>
      <c r="B135" s="246"/>
      <c r="C135" s="246"/>
      <c r="D135" s="246"/>
      <c r="E135" s="246"/>
      <c r="F135" s="246"/>
      <c r="G135" s="246"/>
      <c r="H135" s="247"/>
    </row>
    <row r="136" hidden="1" outlineLevel="1">
      <c r="A136" s="125">
        <v>45323.0</v>
      </c>
      <c r="B136" s="126">
        <f t="shared" ref="B136:B137" si="52">A136</f>
        <v>45323</v>
      </c>
      <c r="C136" s="127" t="s">
        <v>118</v>
      </c>
      <c r="D136" s="129" t="s">
        <v>1756</v>
      </c>
      <c r="E136" s="129" t="s">
        <v>1758</v>
      </c>
      <c r="F136" s="130">
        <v>150.0</v>
      </c>
      <c r="G136" s="127"/>
      <c r="H136" s="44" t="b">
        <v>1</v>
      </c>
      <c r="N136" s="437"/>
    </row>
    <row r="137" hidden="1" outlineLevel="1">
      <c r="A137" s="190">
        <v>45324.0</v>
      </c>
      <c r="B137" s="97">
        <f t="shared" si="52"/>
        <v>45324</v>
      </c>
      <c r="C137" s="127" t="s">
        <v>118</v>
      </c>
      <c r="D137" s="129" t="s">
        <v>183</v>
      </c>
      <c r="E137" s="129" t="s">
        <v>1758</v>
      </c>
      <c r="F137" s="130">
        <v>150.0</v>
      </c>
      <c r="G137" s="127"/>
      <c r="H137" s="44" t="b">
        <v>1</v>
      </c>
      <c r="N137" s="437"/>
    </row>
    <row r="138" hidden="1" outlineLevel="1">
      <c r="A138" s="191"/>
      <c r="B138" s="58"/>
      <c r="C138" s="129" t="s">
        <v>136</v>
      </c>
      <c r="D138" s="129" t="s">
        <v>1761</v>
      </c>
      <c r="E138" s="129" t="s">
        <v>1758</v>
      </c>
      <c r="F138" s="130">
        <v>200.0</v>
      </c>
      <c r="G138" s="129" t="s">
        <v>2021</v>
      </c>
      <c r="H138" s="44" t="b">
        <v>1</v>
      </c>
      <c r="N138" s="437"/>
    </row>
    <row r="139" hidden="1" outlineLevel="1">
      <c r="A139" s="191"/>
      <c r="B139" s="10"/>
      <c r="C139" s="127" t="s">
        <v>118</v>
      </c>
      <c r="D139" s="129" t="s">
        <v>1756</v>
      </c>
      <c r="E139" s="129" t="s">
        <v>469</v>
      </c>
      <c r="F139" s="130">
        <v>150.0</v>
      </c>
      <c r="G139" s="127"/>
      <c r="H139" s="44" t="b">
        <v>1</v>
      </c>
      <c r="N139" s="437"/>
    </row>
    <row r="140" hidden="1" outlineLevel="1">
      <c r="A140" s="125">
        <v>45325.0</v>
      </c>
      <c r="B140" s="126">
        <f t="shared" ref="B140:B141" si="53">A140</f>
        <v>45325</v>
      </c>
      <c r="C140" s="127" t="s">
        <v>118</v>
      </c>
      <c r="D140" s="129" t="s">
        <v>1851</v>
      </c>
      <c r="E140" s="129" t="s">
        <v>1758</v>
      </c>
      <c r="F140" s="130">
        <v>150.0</v>
      </c>
      <c r="G140" s="129" t="s">
        <v>2022</v>
      </c>
      <c r="H140" s="44" t="b">
        <v>1</v>
      </c>
      <c r="N140" s="437"/>
    </row>
    <row r="141" hidden="1" outlineLevel="1">
      <c r="A141" s="190">
        <v>45326.0</v>
      </c>
      <c r="B141" s="97">
        <f t="shared" si="53"/>
        <v>45326</v>
      </c>
      <c r="C141" s="129" t="s">
        <v>118</v>
      </c>
      <c r="D141" s="129" t="s">
        <v>1761</v>
      </c>
      <c r="E141" s="129" t="s">
        <v>1758</v>
      </c>
      <c r="F141" s="130">
        <v>200.0</v>
      </c>
      <c r="G141" s="129"/>
      <c r="H141" s="44" t="b">
        <v>1</v>
      </c>
      <c r="I141" s="452"/>
      <c r="J141" s="452"/>
      <c r="K141" s="437"/>
      <c r="L141" s="437"/>
      <c r="M141" s="437"/>
      <c r="N141" s="437"/>
      <c r="O141" s="437"/>
      <c r="P141" s="437"/>
      <c r="Q141" s="437"/>
    </row>
    <row r="142" hidden="1" outlineLevel="1">
      <c r="A142" s="191"/>
      <c r="B142" s="10"/>
      <c r="C142" s="129" t="s">
        <v>136</v>
      </c>
      <c r="D142" s="129" t="s">
        <v>1756</v>
      </c>
      <c r="E142" s="129" t="s">
        <v>1758</v>
      </c>
      <c r="F142" s="130">
        <v>200.0</v>
      </c>
      <c r="G142" s="127"/>
      <c r="H142" s="44" t="b">
        <v>1</v>
      </c>
      <c r="I142" s="452"/>
      <c r="J142" s="452"/>
      <c r="K142" s="440" t="s">
        <v>2025</v>
      </c>
      <c r="L142" s="27"/>
      <c r="M142" s="27"/>
      <c r="N142" s="27"/>
      <c r="O142" s="27"/>
      <c r="P142" s="27"/>
      <c r="Q142" s="28"/>
    </row>
    <row r="143" hidden="1" outlineLevel="1">
      <c r="A143" s="190">
        <v>45327.0</v>
      </c>
      <c r="B143" s="126">
        <f t="shared" ref="B143:B144" si="54">A143</f>
        <v>45327</v>
      </c>
      <c r="C143" s="129" t="s">
        <v>118</v>
      </c>
      <c r="D143" s="129" t="s">
        <v>1756</v>
      </c>
      <c r="E143" s="129" t="s">
        <v>1758</v>
      </c>
      <c r="F143" s="130">
        <v>150.0</v>
      </c>
      <c r="G143" s="127"/>
      <c r="H143" s="44" t="b">
        <v>1</v>
      </c>
      <c r="I143" s="452"/>
      <c r="J143" s="452"/>
      <c r="K143" s="441" t="s">
        <v>1749</v>
      </c>
      <c r="L143" s="441" t="s">
        <v>1758</v>
      </c>
      <c r="M143" s="441" t="s">
        <v>469</v>
      </c>
      <c r="N143" s="441" t="s">
        <v>195</v>
      </c>
      <c r="O143" s="441" t="s">
        <v>1764</v>
      </c>
      <c r="P143" s="441" t="s">
        <v>1765</v>
      </c>
      <c r="Q143" s="441" t="s">
        <v>1766</v>
      </c>
    </row>
    <row r="144" hidden="1" outlineLevel="1">
      <c r="A144" s="190">
        <v>45328.0</v>
      </c>
      <c r="B144" s="97">
        <f t="shared" si="54"/>
        <v>45328</v>
      </c>
      <c r="C144" s="129" t="s">
        <v>118</v>
      </c>
      <c r="D144" s="129" t="s">
        <v>1756</v>
      </c>
      <c r="E144" s="129" t="s">
        <v>469</v>
      </c>
      <c r="F144" s="130">
        <v>150.0</v>
      </c>
      <c r="G144" s="127"/>
      <c r="H144" s="44" t="b">
        <v>1</v>
      </c>
      <c r="I144" s="452"/>
      <c r="J144" s="452"/>
      <c r="K144" s="91" t="s">
        <v>1761</v>
      </c>
      <c r="L144" s="90">
        <f t="shared" ref="L144:L153" si="55">COUNTIFS($D$136:$D$175, $K144,$E$136:$E$175,$L$143)</f>
        <v>4</v>
      </c>
      <c r="M144" s="90">
        <f t="shared" ref="M144:M153" si="56">COUNTIFS($D$136:$D$175, $K144,$E$136:$E$175,$M$143)</f>
        <v>0</v>
      </c>
      <c r="N144" s="90">
        <f t="shared" ref="N144:N153" si="57">L144+M144</f>
        <v>4</v>
      </c>
      <c r="O144" s="92">
        <f t="shared" ref="O144:O153" si="58">SUMIFS($F$136:$F$175,$D$136:$D$175,$K144)</f>
        <v>750</v>
      </c>
      <c r="P144" s="92">
        <f t="shared" ref="P144:P153" si="59">SUMIFS($F$136:$F$175,$D$136:$D$175,$K144,$H$136:$H$175,TRUE)</f>
        <v>750</v>
      </c>
      <c r="Q144" s="92">
        <f t="shared" ref="Q144:Q153" si="60">O144-P144</f>
        <v>0</v>
      </c>
    </row>
    <row r="145" hidden="1" outlineLevel="1">
      <c r="A145" s="191"/>
      <c r="B145" s="10"/>
      <c r="C145" s="129" t="s">
        <v>118</v>
      </c>
      <c r="D145" s="129" t="s">
        <v>183</v>
      </c>
      <c r="E145" s="129" t="s">
        <v>1758</v>
      </c>
      <c r="F145" s="130">
        <v>150.0</v>
      </c>
      <c r="G145" s="127"/>
      <c r="H145" s="44" t="b">
        <v>1</v>
      </c>
      <c r="I145" s="452"/>
      <c r="J145" s="452"/>
      <c r="K145" s="91" t="s">
        <v>183</v>
      </c>
      <c r="L145" s="90">
        <f t="shared" si="55"/>
        <v>7</v>
      </c>
      <c r="M145" s="90">
        <f t="shared" si="56"/>
        <v>0</v>
      </c>
      <c r="N145" s="90">
        <f t="shared" si="57"/>
        <v>7</v>
      </c>
      <c r="O145" s="92">
        <f t="shared" si="58"/>
        <v>1050</v>
      </c>
      <c r="P145" s="92">
        <f t="shared" si="59"/>
        <v>1050</v>
      </c>
      <c r="Q145" s="92">
        <f t="shared" si="60"/>
        <v>0</v>
      </c>
    </row>
    <row r="146" hidden="1" outlineLevel="1">
      <c r="A146" s="125">
        <v>45329.0</v>
      </c>
      <c r="B146" s="126">
        <f t="shared" ref="B146:B148" si="61">A146</f>
        <v>45329</v>
      </c>
      <c r="C146" s="129" t="s">
        <v>118</v>
      </c>
      <c r="D146" s="129" t="s">
        <v>1756</v>
      </c>
      <c r="E146" s="129" t="s">
        <v>1758</v>
      </c>
      <c r="F146" s="130">
        <v>150.0</v>
      </c>
      <c r="G146" s="127"/>
      <c r="H146" s="44" t="b">
        <v>1</v>
      </c>
      <c r="I146" s="452"/>
      <c r="J146" s="452"/>
      <c r="K146" s="91" t="s">
        <v>1756</v>
      </c>
      <c r="L146" s="90">
        <f t="shared" si="55"/>
        <v>13</v>
      </c>
      <c r="M146" s="90">
        <f t="shared" si="56"/>
        <v>7</v>
      </c>
      <c r="N146" s="90">
        <f t="shared" si="57"/>
        <v>20</v>
      </c>
      <c r="O146" s="92">
        <f t="shared" si="58"/>
        <v>3100</v>
      </c>
      <c r="P146" s="92">
        <f t="shared" si="59"/>
        <v>3100</v>
      </c>
      <c r="Q146" s="92">
        <f t="shared" si="60"/>
        <v>0</v>
      </c>
    </row>
    <row r="147" hidden="1" outlineLevel="1">
      <c r="A147" s="190">
        <v>45330.0</v>
      </c>
      <c r="B147" s="126">
        <f t="shared" si="61"/>
        <v>45330</v>
      </c>
      <c r="C147" s="129" t="s">
        <v>118</v>
      </c>
      <c r="D147" s="129" t="s">
        <v>1756</v>
      </c>
      <c r="E147" s="129" t="s">
        <v>1758</v>
      </c>
      <c r="F147" s="130">
        <v>150.0</v>
      </c>
      <c r="G147" s="129"/>
      <c r="H147" s="44" t="b">
        <v>1</v>
      </c>
      <c r="I147" s="452"/>
      <c r="J147" s="452"/>
      <c r="K147" s="91" t="s">
        <v>1816</v>
      </c>
      <c r="L147" s="90">
        <f t="shared" si="55"/>
        <v>0</v>
      </c>
      <c r="M147" s="90">
        <f t="shared" si="56"/>
        <v>0</v>
      </c>
      <c r="N147" s="90">
        <f t="shared" si="57"/>
        <v>0</v>
      </c>
      <c r="O147" s="92">
        <f t="shared" si="58"/>
        <v>0</v>
      </c>
      <c r="P147" s="92">
        <f t="shared" si="59"/>
        <v>0</v>
      </c>
      <c r="Q147" s="92">
        <f t="shared" si="60"/>
        <v>0</v>
      </c>
    </row>
    <row r="148" hidden="1" outlineLevel="1">
      <c r="A148" s="102">
        <v>45331.0</v>
      </c>
      <c r="B148" s="97">
        <f t="shared" si="61"/>
        <v>45331</v>
      </c>
      <c r="C148" s="129" t="s">
        <v>118</v>
      </c>
      <c r="D148" s="129" t="s">
        <v>183</v>
      </c>
      <c r="E148" s="129" t="s">
        <v>1758</v>
      </c>
      <c r="F148" s="130">
        <v>150.0</v>
      </c>
      <c r="G148" s="127"/>
      <c r="H148" s="44" t="b">
        <v>1</v>
      </c>
      <c r="I148" s="452"/>
      <c r="J148" s="452"/>
      <c r="K148" s="91" t="s">
        <v>1845</v>
      </c>
      <c r="L148" s="90">
        <f t="shared" si="55"/>
        <v>1</v>
      </c>
      <c r="M148" s="90">
        <f t="shared" si="56"/>
        <v>0</v>
      </c>
      <c r="N148" s="90">
        <f t="shared" si="57"/>
        <v>1</v>
      </c>
      <c r="O148" s="92">
        <f t="shared" si="58"/>
        <v>150</v>
      </c>
      <c r="P148" s="92">
        <f t="shared" si="59"/>
        <v>150</v>
      </c>
      <c r="Q148" s="92">
        <f t="shared" si="60"/>
        <v>0</v>
      </c>
    </row>
    <row r="149" hidden="1" outlineLevel="1">
      <c r="A149" s="10"/>
      <c r="B149" s="10"/>
      <c r="C149" s="129" t="s">
        <v>118</v>
      </c>
      <c r="D149" s="129" t="s">
        <v>1756</v>
      </c>
      <c r="E149" s="129" t="s">
        <v>469</v>
      </c>
      <c r="F149" s="130">
        <v>150.0</v>
      </c>
      <c r="G149" s="127"/>
      <c r="H149" s="44" t="b">
        <v>1</v>
      </c>
      <c r="I149" s="452"/>
      <c r="J149" s="452"/>
      <c r="K149" s="91" t="s">
        <v>363</v>
      </c>
      <c r="L149" s="90">
        <f t="shared" si="55"/>
        <v>2</v>
      </c>
      <c r="M149" s="90">
        <f t="shared" si="56"/>
        <v>0</v>
      </c>
      <c r="N149" s="90">
        <f t="shared" si="57"/>
        <v>2</v>
      </c>
      <c r="O149" s="92">
        <f t="shared" si="58"/>
        <v>400</v>
      </c>
      <c r="P149" s="92">
        <f t="shared" si="59"/>
        <v>400</v>
      </c>
      <c r="Q149" s="92">
        <f t="shared" si="60"/>
        <v>0</v>
      </c>
    </row>
    <row r="150" hidden="1" outlineLevel="1">
      <c r="A150" s="195">
        <v>45332.0</v>
      </c>
      <c r="B150" s="171">
        <f t="shared" ref="B150:B156" si="62">A150</f>
        <v>45332</v>
      </c>
      <c r="C150" s="173"/>
      <c r="D150" s="173"/>
      <c r="E150" s="173"/>
      <c r="F150" s="174">
        <v>0.0</v>
      </c>
      <c r="G150" s="185"/>
      <c r="H150" s="555" t="b">
        <v>0</v>
      </c>
      <c r="I150" s="452"/>
      <c r="J150" s="452"/>
      <c r="K150" s="91" t="s">
        <v>1851</v>
      </c>
      <c r="L150" s="90">
        <f t="shared" si="55"/>
        <v>1</v>
      </c>
      <c r="M150" s="90">
        <f t="shared" si="56"/>
        <v>0</v>
      </c>
      <c r="N150" s="90">
        <f t="shared" si="57"/>
        <v>1</v>
      </c>
      <c r="O150" s="92">
        <f t="shared" si="58"/>
        <v>150</v>
      </c>
      <c r="P150" s="92">
        <f t="shared" si="59"/>
        <v>150</v>
      </c>
      <c r="Q150" s="92">
        <f t="shared" si="60"/>
        <v>0</v>
      </c>
    </row>
    <row r="151" hidden="1" outlineLevel="1">
      <c r="A151" s="125">
        <v>45333.0</v>
      </c>
      <c r="B151" s="126">
        <f t="shared" si="62"/>
        <v>45333</v>
      </c>
      <c r="C151" s="129" t="s">
        <v>136</v>
      </c>
      <c r="D151" s="129" t="s">
        <v>363</v>
      </c>
      <c r="E151" s="129" t="s">
        <v>1758</v>
      </c>
      <c r="F151" s="130">
        <v>200.0</v>
      </c>
      <c r="G151" s="127"/>
      <c r="H151" s="44" t="b">
        <v>1</v>
      </c>
      <c r="I151" s="452"/>
      <c r="J151" s="452"/>
      <c r="K151" s="91" t="s">
        <v>1842</v>
      </c>
      <c r="L151" s="90">
        <f t="shared" si="55"/>
        <v>0</v>
      </c>
      <c r="M151" s="90">
        <f t="shared" si="56"/>
        <v>0</v>
      </c>
      <c r="N151" s="90">
        <f t="shared" si="57"/>
        <v>0</v>
      </c>
      <c r="O151" s="92">
        <f t="shared" si="58"/>
        <v>0</v>
      </c>
      <c r="P151" s="92">
        <f t="shared" si="59"/>
        <v>0</v>
      </c>
      <c r="Q151" s="92">
        <f t="shared" si="60"/>
        <v>0</v>
      </c>
    </row>
    <row r="152" hidden="1" outlineLevel="1">
      <c r="A152" s="556">
        <v>45334.0</v>
      </c>
      <c r="B152" s="197">
        <f t="shared" si="62"/>
        <v>45334</v>
      </c>
      <c r="C152" s="199" t="s">
        <v>118</v>
      </c>
      <c r="D152" s="200"/>
      <c r="E152" s="200" t="s">
        <v>1758</v>
      </c>
      <c r="F152" s="201">
        <v>0.0</v>
      </c>
      <c r="G152" s="200" t="s">
        <v>421</v>
      </c>
      <c r="H152" s="557" t="b">
        <v>0</v>
      </c>
      <c r="I152" s="51"/>
      <c r="J152" s="51"/>
      <c r="K152" s="91" t="s">
        <v>1840</v>
      </c>
      <c r="L152" s="90">
        <f t="shared" si="55"/>
        <v>0</v>
      </c>
      <c r="M152" s="90">
        <f t="shared" si="56"/>
        <v>0</v>
      </c>
      <c r="N152" s="90">
        <f t="shared" si="57"/>
        <v>0</v>
      </c>
      <c r="O152" s="92">
        <f t="shared" si="58"/>
        <v>0</v>
      </c>
      <c r="P152" s="92">
        <f t="shared" si="59"/>
        <v>0</v>
      </c>
      <c r="Q152" s="92">
        <f t="shared" si="60"/>
        <v>0</v>
      </c>
    </row>
    <row r="153" hidden="1" outlineLevel="1">
      <c r="A153" s="299">
        <v>45335.0</v>
      </c>
      <c r="B153" s="197">
        <f t="shared" si="62"/>
        <v>45335</v>
      </c>
      <c r="C153" s="199" t="s">
        <v>118</v>
      </c>
      <c r="D153" s="200"/>
      <c r="E153" s="200" t="s">
        <v>1758</v>
      </c>
      <c r="F153" s="201">
        <v>0.0</v>
      </c>
      <c r="G153" s="200" t="s">
        <v>421</v>
      </c>
      <c r="H153" s="557" t="b">
        <v>0</v>
      </c>
      <c r="I153" s="51"/>
      <c r="J153" s="51"/>
      <c r="K153" s="91" t="s">
        <v>1830</v>
      </c>
      <c r="L153" s="90">
        <f t="shared" si="55"/>
        <v>1</v>
      </c>
      <c r="M153" s="90">
        <f t="shared" si="56"/>
        <v>0</v>
      </c>
      <c r="N153" s="90">
        <f t="shared" si="57"/>
        <v>1</v>
      </c>
      <c r="O153" s="92">
        <f t="shared" si="58"/>
        <v>0</v>
      </c>
      <c r="P153" s="92">
        <f t="shared" si="59"/>
        <v>0</v>
      </c>
      <c r="Q153" s="92">
        <f t="shared" si="60"/>
        <v>0</v>
      </c>
    </row>
    <row r="154" hidden="1" outlineLevel="1">
      <c r="A154" s="190">
        <v>45336.0</v>
      </c>
      <c r="B154" s="126">
        <f t="shared" si="62"/>
        <v>45336</v>
      </c>
      <c r="C154" s="179" t="s">
        <v>118</v>
      </c>
      <c r="D154" s="129" t="s">
        <v>1845</v>
      </c>
      <c r="E154" s="129" t="s">
        <v>1758</v>
      </c>
      <c r="F154" s="130">
        <v>150.0</v>
      </c>
      <c r="G154" s="129" t="s">
        <v>424</v>
      </c>
      <c r="H154" s="44" t="b">
        <v>1</v>
      </c>
      <c r="I154" s="51"/>
      <c r="J154" s="51"/>
      <c r="K154" s="531"/>
      <c r="L154" s="90"/>
      <c r="M154" s="90"/>
      <c r="N154" s="90"/>
      <c r="O154" s="92"/>
      <c r="P154" s="92"/>
      <c r="Q154" s="90"/>
    </row>
    <row r="155" hidden="1" outlineLevel="1">
      <c r="A155" s="125">
        <v>45337.0</v>
      </c>
      <c r="B155" s="126">
        <f t="shared" si="62"/>
        <v>45337</v>
      </c>
      <c r="C155" s="179" t="s">
        <v>118</v>
      </c>
      <c r="D155" s="129" t="s">
        <v>1756</v>
      </c>
      <c r="E155" s="129" t="s">
        <v>1758</v>
      </c>
      <c r="F155" s="130">
        <v>150.0</v>
      </c>
      <c r="G155" s="522"/>
      <c r="H155" s="44" t="b">
        <v>1</v>
      </c>
      <c r="I155" s="452"/>
      <c r="J155" s="452"/>
      <c r="K155" s="531"/>
      <c r="L155" s="90"/>
      <c r="M155" s="90"/>
      <c r="N155" s="90"/>
      <c r="O155" s="92"/>
      <c r="P155" s="92"/>
      <c r="Q155" s="90"/>
    </row>
    <row r="156" hidden="1" outlineLevel="1">
      <c r="A156" s="190">
        <v>45338.0</v>
      </c>
      <c r="B156" s="97">
        <f t="shared" si="62"/>
        <v>45338</v>
      </c>
      <c r="C156" s="179" t="s">
        <v>118</v>
      </c>
      <c r="D156" s="129" t="s">
        <v>183</v>
      </c>
      <c r="E156" s="129" t="s">
        <v>1758</v>
      </c>
      <c r="F156" s="130">
        <v>150.0</v>
      </c>
      <c r="G156" s="127"/>
      <c r="H156" s="44" t="b">
        <v>1</v>
      </c>
      <c r="I156" s="452"/>
      <c r="J156" s="452"/>
      <c r="K156" s="558" t="s">
        <v>2032</v>
      </c>
      <c r="L156" s="559"/>
      <c r="M156" s="559"/>
      <c r="N156" s="560"/>
      <c r="O156" s="561">
        <v>0.0</v>
      </c>
      <c r="P156" s="562"/>
      <c r="Q156" s="563">
        <f>O156-P156</f>
        <v>0</v>
      </c>
    </row>
    <row r="157" hidden="1" outlineLevel="1">
      <c r="A157" s="191"/>
      <c r="B157" s="10"/>
      <c r="C157" s="179" t="s">
        <v>118</v>
      </c>
      <c r="D157" s="129" t="s">
        <v>1756</v>
      </c>
      <c r="E157" s="129" t="s">
        <v>469</v>
      </c>
      <c r="F157" s="130">
        <v>150.0</v>
      </c>
      <c r="G157" s="127"/>
      <c r="H157" s="44" t="b">
        <v>1</v>
      </c>
      <c r="I157" s="452"/>
      <c r="J157" s="452"/>
      <c r="K157" s="531"/>
      <c r="L157" s="90"/>
      <c r="M157" s="90"/>
      <c r="N157" s="276"/>
      <c r="O157" s="424"/>
      <c r="P157" s="424"/>
      <c r="Q157" s="276"/>
    </row>
    <row r="158" hidden="1" outlineLevel="1">
      <c r="A158" s="170">
        <v>45339.0</v>
      </c>
      <c r="B158" s="171">
        <f t="shared" ref="B158:B159" si="63">A158</f>
        <v>45339</v>
      </c>
      <c r="C158" s="206"/>
      <c r="D158" s="173"/>
      <c r="E158" s="173"/>
      <c r="F158" s="174">
        <v>0.0</v>
      </c>
      <c r="G158" s="185"/>
      <c r="H158" s="555" t="b">
        <v>0</v>
      </c>
      <c r="I158" s="452"/>
      <c r="J158" s="452"/>
      <c r="K158" s="531"/>
      <c r="L158" s="90"/>
      <c r="M158" s="90"/>
      <c r="N158" s="276"/>
      <c r="O158" s="424"/>
      <c r="P158" s="424"/>
      <c r="Q158" s="276"/>
    </row>
    <row r="159" hidden="1" outlineLevel="1">
      <c r="A159" s="190">
        <v>45340.0</v>
      </c>
      <c r="B159" s="97">
        <f t="shared" si="63"/>
        <v>45340</v>
      </c>
      <c r="C159" s="179" t="s">
        <v>118</v>
      </c>
      <c r="D159" s="129" t="s">
        <v>1761</v>
      </c>
      <c r="E159" s="129" t="s">
        <v>1758</v>
      </c>
      <c r="F159" s="130">
        <v>200.0</v>
      </c>
      <c r="G159" s="127"/>
      <c r="H159" s="44" t="b">
        <v>1</v>
      </c>
      <c r="K159" s="531"/>
      <c r="L159" s="90"/>
      <c r="M159" s="90"/>
      <c r="N159" s="276"/>
      <c r="O159" s="424"/>
      <c r="P159" s="424"/>
      <c r="Q159" s="276"/>
    </row>
    <row r="160" hidden="1" outlineLevel="1">
      <c r="A160" s="191"/>
      <c r="B160" s="10"/>
      <c r="C160" s="179" t="s">
        <v>136</v>
      </c>
      <c r="D160" s="129" t="s">
        <v>1756</v>
      </c>
      <c r="E160" s="129" t="s">
        <v>1758</v>
      </c>
      <c r="F160" s="130">
        <v>200.0</v>
      </c>
      <c r="G160" s="127"/>
      <c r="H160" s="44" t="b">
        <v>1</v>
      </c>
      <c r="K160" s="477" t="s">
        <v>195</v>
      </c>
      <c r="L160" s="478">
        <f t="shared" ref="L160:P160" si="64">SUM(L134:L159)</f>
        <v>29</v>
      </c>
      <c r="M160" s="478">
        <f t="shared" si="64"/>
        <v>7</v>
      </c>
      <c r="N160" s="478">
        <f t="shared" si="64"/>
        <v>36</v>
      </c>
      <c r="O160" s="479">
        <f t="shared" si="64"/>
        <v>5600</v>
      </c>
      <c r="P160" s="479">
        <f t="shared" si="64"/>
        <v>5600</v>
      </c>
      <c r="Q160" s="479">
        <f>O160-P160</f>
        <v>0</v>
      </c>
    </row>
    <row r="161" hidden="1" outlineLevel="1">
      <c r="A161" s="190">
        <v>45341.0</v>
      </c>
      <c r="B161" s="126">
        <f t="shared" ref="B161:B162" si="65">A161</f>
        <v>45341</v>
      </c>
      <c r="C161" s="179" t="s">
        <v>118</v>
      </c>
      <c r="D161" s="129" t="s">
        <v>1756</v>
      </c>
      <c r="E161" s="129" t="s">
        <v>1758</v>
      </c>
      <c r="F161" s="130">
        <v>150.0</v>
      </c>
      <c r="G161" s="127"/>
      <c r="H161" s="44" t="b">
        <v>1</v>
      </c>
    </row>
    <row r="162" hidden="1" outlineLevel="1">
      <c r="A162" s="190">
        <v>45342.0</v>
      </c>
      <c r="B162" s="97">
        <f t="shared" si="65"/>
        <v>45342</v>
      </c>
      <c r="C162" s="179" t="s">
        <v>118</v>
      </c>
      <c r="D162" s="129" t="s">
        <v>183</v>
      </c>
      <c r="E162" s="129" t="s">
        <v>1758</v>
      </c>
      <c r="F162" s="130">
        <v>150.0</v>
      </c>
      <c r="G162" s="127"/>
      <c r="H162" s="44" t="b">
        <v>1</v>
      </c>
    </row>
    <row r="163" hidden="1" outlineLevel="1">
      <c r="A163" s="191"/>
      <c r="B163" s="10"/>
      <c r="C163" s="179" t="s">
        <v>118</v>
      </c>
      <c r="D163" s="129" t="s">
        <v>1756</v>
      </c>
      <c r="E163" s="129" t="s">
        <v>469</v>
      </c>
      <c r="F163" s="130">
        <v>150.0</v>
      </c>
      <c r="G163" s="127"/>
      <c r="H163" s="44" t="b">
        <v>1</v>
      </c>
    </row>
    <row r="164" hidden="1" outlineLevel="1">
      <c r="A164" s="190">
        <v>45343.0</v>
      </c>
      <c r="B164" s="126">
        <f t="shared" ref="B164:B166" si="66">A164</f>
        <v>45343</v>
      </c>
      <c r="C164" s="179" t="s">
        <v>118</v>
      </c>
      <c r="D164" s="129" t="s">
        <v>1756</v>
      </c>
      <c r="E164" s="129" t="s">
        <v>1758</v>
      </c>
      <c r="F164" s="130">
        <v>150.0</v>
      </c>
      <c r="G164" s="127"/>
      <c r="H164" s="44" t="b">
        <v>1</v>
      </c>
      <c r="K164" s="553"/>
      <c r="L164" s="51"/>
      <c r="M164" s="51"/>
      <c r="O164" s="554"/>
      <c r="P164" s="554"/>
    </row>
    <row r="165" hidden="1" outlineLevel="1">
      <c r="A165" s="190">
        <v>45344.0</v>
      </c>
      <c r="B165" s="126">
        <f t="shared" si="66"/>
        <v>45344</v>
      </c>
      <c r="C165" s="179" t="s">
        <v>118</v>
      </c>
      <c r="D165" s="129" t="s">
        <v>1756</v>
      </c>
      <c r="E165" s="129" t="s">
        <v>1758</v>
      </c>
      <c r="F165" s="130">
        <v>150.0</v>
      </c>
      <c r="G165" s="127"/>
      <c r="H165" s="44" t="b">
        <v>1</v>
      </c>
      <c r="K165" s="51"/>
      <c r="L165" s="51"/>
      <c r="M165" s="51"/>
    </row>
    <row r="166" hidden="1" outlineLevel="1">
      <c r="A166" s="190">
        <v>45345.0</v>
      </c>
      <c r="B166" s="97">
        <f t="shared" si="66"/>
        <v>45345</v>
      </c>
      <c r="C166" s="179" t="s">
        <v>118</v>
      </c>
      <c r="D166" s="129" t="s">
        <v>183</v>
      </c>
      <c r="E166" s="129" t="s">
        <v>1758</v>
      </c>
      <c r="F166" s="130">
        <v>150.0</v>
      </c>
      <c r="G166" s="127"/>
      <c r="H166" s="44" t="b">
        <v>1</v>
      </c>
      <c r="K166" s="51"/>
      <c r="L166" s="51"/>
      <c r="M166" s="51"/>
    </row>
    <row r="167" hidden="1" outlineLevel="1">
      <c r="A167" s="191"/>
      <c r="B167" s="10"/>
      <c r="C167" s="179" t="s">
        <v>118</v>
      </c>
      <c r="D167" s="129" t="s">
        <v>1756</v>
      </c>
      <c r="E167" s="129" t="s">
        <v>469</v>
      </c>
      <c r="F167" s="130">
        <v>150.0</v>
      </c>
      <c r="G167" s="127"/>
      <c r="H167" s="44" t="b">
        <v>1</v>
      </c>
      <c r="K167" s="51"/>
      <c r="L167" s="51"/>
      <c r="M167" s="51"/>
    </row>
    <row r="168" hidden="1" outlineLevel="1">
      <c r="A168" s="195">
        <v>45346.0</v>
      </c>
      <c r="B168" s="171">
        <f t="shared" ref="B168:B169" si="67">A168</f>
        <v>45346</v>
      </c>
      <c r="C168" s="206" t="s">
        <v>118</v>
      </c>
      <c r="D168" s="173" t="s">
        <v>1761</v>
      </c>
      <c r="E168" s="173" t="s">
        <v>1758</v>
      </c>
      <c r="F168" s="174">
        <v>150.0</v>
      </c>
      <c r="G168" s="185"/>
      <c r="H168" s="555" t="b">
        <v>1</v>
      </c>
      <c r="K168" s="51"/>
      <c r="L168" s="51"/>
      <c r="M168" s="51"/>
    </row>
    <row r="169" hidden="1" outlineLevel="1">
      <c r="A169" s="190">
        <v>45347.0</v>
      </c>
      <c r="B169" s="97">
        <f t="shared" si="67"/>
        <v>45347</v>
      </c>
      <c r="C169" s="179" t="s">
        <v>118</v>
      </c>
      <c r="D169" s="129" t="s">
        <v>1830</v>
      </c>
      <c r="E169" s="129" t="s">
        <v>1758</v>
      </c>
      <c r="F169" s="130">
        <v>0.0</v>
      </c>
      <c r="G169" s="129" t="s">
        <v>2033</v>
      </c>
      <c r="H169" s="44" t="b">
        <v>0</v>
      </c>
      <c r="K169" s="51"/>
      <c r="L169" s="51"/>
      <c r="M169" s="51"/>
    </row>
    <row r="170" hidden="1" outlineLevel="1">
      <c r="A170" s="191"/>
      <c r="B170" s="10"/>
      <c r="C170" s="179" t="s">
        <v>136</v>
      </c>
      <c r="D170" s="129" t="s">
        <v>363</v>
      </c>
      <c r="E170" s="129" t="s">
        <v>1758</v>
      </c>
      <c r="F170" s="130">
        <v>200.0</v>
      </c>
      <c r="G170" s="127"/>
      <c r="H170" s="44" t="b">
        <v>1</v>
      </c>
      <c r="K170" s="51"/>
      <c r="L170" s="51"/>
      <c r="M170" s="51"/>
    </row>
    <row r="171" hidden="1" outlineLevel="1">
      <c r="A171" s="190">
        <v>45348.0</v>
      </c>
      <c r="B171" s="126">
        <f t="shared" ref="B171:B172" si="68">A171</f>
        <v>45348</v>
      </c>
      <c r="C171" s="179" t="s">
        <v>118</v>
      </c>
      <c r="D171" s="129" t="s">
        <v>1756</v>
      </c>
      <c r="E171" s="129" t="s">
        <v>1758</v>
      </c>
      <c r="F171" s="130">
        <v>150.0</v>
      </c>
      <c r="G171" s="127"/>
      <c r="H171" s="44" t="b">
        <v>1</v>
      </c>
      <c r="K171" s="51"/>
      <c r="L171" s="51"/>
      <c r="M171" s="51"/>
    </row>
    <row r="172" hidden="1" outlineLevel="1">
      <c r="A172" s="190">
        <v>45349.0</v>
      </c>
      <c r="B172" s="97">
        <f t="shared" si="68"/>
        <v>45349</v>
      </c>
      <c r="C172" s="179" t="s">
        <v>118</v>
      </c>
      <c r="D172" s="129" t="s">
        <v>183</v>
      </c>
      <c r="E172" s="129" t="s">
        <v>1758</v>
      </c>
      <c r="F172" s="130">
        <v>150.0</v>
      </c>
      <c r="G172" s="127"/>
      <c r="H172" s="44" t="b">
        <v>1</v>
      </c>
      <c r="K172" s="452"/>
      <c r="L172" s="51"/>
      <c r="M172" s="51"/>
      <c r="N172" s="51"/>
    </row>
    <row r="173" hidden="1" outlineLevel="1">
      <c r="A173" s="191"/>
      <c r="B173" s="10"/>
      <c r="C173" s="179" t="s">
        <v>118</v>
      </c>
      <c r="D173" s="129" t="s">
        <v>1756</v>
      </c>
      <c r="E173" s="129" t="s">
        <v>469</v>
      </c>
      <c r="F173" s="130">
        <v>150.0</v>
      </c>
      <c r="G173" s="127"/>
      <c r="H173" s="44" t="b">
        <v>1</v>
      </c>
    </row>
    <row r="174" hidden="1" outlineLevel="1">
      <c r="A174" s="190">
        <v>45350.0</v>
      </c>
      <c r="B174" s="126">
        <f t="shared" ref="B174:B175" si="69">A174</f>
        <v>45350</v>
      </c>
      <c r="C174" s="179" t="s">
        <v>118</v>
      </c>
      <c r="D174" s="129" t="s">
        <v>1756</v>
      </c>
      <c r="E174" s="129" t="s">
        <v>1758</v>
      </c>
      <c r="F174" s="130">
        <v>150.0</v>
      </c>
      <c r="G174" s="127"/>
      <c r="H174" s="44" t="b">
        <v>1</v>
      </c>
    </row>
    <row r="175" hidden="1" outlineLevel="1">
      <c r="A175" s="190">
        <v>45351.0</v>
      </c>
      <c r="B175" s="126">
        <f t="shared" si="69"/>
        <v>45351</v>
      </c>
      <c r="C175" s="179" t="s">
        <v>118</v>
      </c>
      <c r="D175" s="129" t="s">
        <v>1756</v>
      </c>
      <c r="E175" s="129" t="s">
        <v>1758</v>
      </c>
      <c r="F175" s="130">
        <v>150.0</v>
      </c>
      <c r="G175" s="127"/>
      <c r="H175" s="44" t="b">
        <v>1</v>
      </c>
    </row>
    <row r="176">
      <c r="A176" s="484" t="s">
        <v>195</v>
      </c>
      <c r="B176" s="27"/>
      <c r="C176" s="27"/>
      <c r="D176" s="27"/>
      <c r="E176" s="28"/>
      <c r="F176" s="485">
        <f>SUM(F136:F175)</f>
        <v>5600</v>
      </c>
      <c r="G176" s="486"/>
      <c r="H176" s="28"/>
    </row>
    <row r="177" collapsed="1">
      <c r="A177" s="339" t="s">
        <v>427</v>
      </c>
      <c r="B177" s="246"/>
      <c r="C177" s="246"/>
      <c r="D177" s="246"/>
      <c r="E177" s="246"/>
      <c r="F177" s="246"/>
      <c r="G177" s="246"/>
      <c r="H177" s="247"/>
    </row>
    <row r="178" hidden="1" outlineLevel="1">
      <c r="A178" s="102">
        <v>45352.0</v>
      </c>
      <c r="B178" s="97">
        <f>A178</f>
        <v>45352</v>
      </c>
      <c r="C178" s="151" t="s">
        <v>118</v>
      </c>
      <c r="D178" s="129" t="s">
        <v>183</v>
      </c>
      <c r="E178" s="129" t="s">
        <v>1758</v>
      </c>
      <c r="F178" s="130">
        <v>150.0</v>
      </c>
      <c r="G178" s="127"/>
      <c r="H178" s="44" t="b">
        <v>1</v>
      </c>
      <c r="N178" s="437"/>
    </row>
    <row r="179" hidden="1" outlineLevel="1">
      <c r="A179" s="58"/>
      <c r="B179" s="58"/>
      <c r="C179" s="10"/>
      <c r="D179" s="129" t="s">
        <v>1756</v>
      </c>
      <c r="E179" s="129" t="s">
        <v>469</v>
      </c>
      <c r="F179" s="130">
        <v>150.0</v>
      </c>
      <c r="G179" s="127"/>
      <c r="H179" s="44" t="b">
        <v>1</v>
      </c>
      <c r="N179" s="437"/>
    </row>
    <row r="180" hidden="1" outlineLevel="1">
      <c r="A180" s="10"/>
      <c r="B180" s="58"/>
      <c r="C180" s="129" t="s">
        <v>136</v>
      </c>
      <c r="D180" s="129" t="s">
        <v>1761</v>
      </c>
      <c r="E180" s="129" t="s">
        <v>1758</v>
      </c>
      <c r="F180" s="130">
        <v>150.0</v>
      </c>
      <c r="G180" s="129" t="s">
        <v>65</v>
      </c>
      <c r="H180" s="44" t="b">
        <v>1</v>
      </c>
      <c r="N180" s="437"/>
    </row>
    <row r="181" hidden="1" outlineLevel="1">
      <c r="A181" s="102">
        <v>45354.0</v>
      </c>
      <c r="B181" s="97">
        <f t="shared" ref="B181:B183" si="70">A181</f>
        <v>45354</v>
      </c>
      <c r="C181" s="129" t="s">
        <v>136</v>
      </c>
      <c r="D181" s="129" t="s">
        <v>363</v>
      </c>
      <c r="E181" s="129" t="s">
        <v>1758</v>
      </c>
      <c r="F181" s="130">
        <v>200.0</v>
      </c>
      <c r="G181" s="129"/>
      <c r="H181" s="44" t="b">
        <v>1</v>
      </c>
      <c r="I181" s="452"/>
      <c r="J181" s="452"/>
      <c r="K181" s="437"/>
      <c r="L181" s="437"/>
      <c r="M181" s="437"/>
      <c r="N181" s="437"/>
      <c r="O181" s="437"/>
      <c r="P181" s="437"/>
      <c r="Q181" s="437"/>
    </row>
    <row r="182" hidden="1" outlineLevel="1">
      <c r="A182" s="125">
        <v>45355.0</v>
      </c>
      <c r="B182" s="126">
        <f t="shared" si="70"/>
        <v>45355</v>
      </c>
      <c r="C182" s="129" t="s">
        <v>136</v>
      </c>
      <c r="D182" s="129" t="s">
        <v>1756</v>
      </c>
      <c r="E182" s="129" t="s">
        <v>1758</v>
      </c>
      <c r="F182" s="130">
        <v>150.0</v>
      </c>
      <c r="G182" s="127"/>
      <c r="H182" s="44" t="b">
        <v>1</v>
      </c>
      <c r="I182" s="452"/>
      <c r="J182" s="452"/>
      <c r="K182" s="440" t="s">
        <v>2034</v>
      </c>
      <c r="L182" s="27"/>
      <c r="M182" s="27"/>
      <c r="N182" s="27"/>
      <c r="O182" s="27"/>
      <c r="P182" s="27"/>
      <c r="Q182" s="28"/>
    </row>
    <row r="183" hidden="1" outlineLevel="1">
      <c r="A183" s="102">
        <v>45356.0</v>
      </c>
      <c r="B183" s="97">
        <f t="shared" si="70"/>
        <v>45356</v>
      </c>
      <c r="C183" s="129" t="s">
        <v>118</v>
      </c>
      <c r="D183" s="129" t="s">
        <v>183</v>
      </c>
      <c r="E183" s="129" t="s">
        <v>1758</v>
      </c>
      <c r="F183" s="130">
        <v>150.0</v>
      </c>
      <c r="G183" s="127"/>
      <c r="H183" s="44" t="b">
        <v>1</v>
      </c>
      <c r="I183" s="452"/>
      <c r="J183" s="452"/>
      <c r="K183" s="441" t="s">
        <v>1749</v>
      </c>
      <c r="L183" s="441" t="s">
        <v>1758</v>
      </c>
      <c r="M183" s="441" t="s">
        <v>469</v>
      </c>
      <c r="N183" s="441" t="s">
        <v>195</v>
      </c>
      <c r="O183" s="441" t="s">
        <v>1764</v>
      </c>
      <c r="P183" s="441" t="s">
        <v>1765</v>
      </c>
      <c r="Q183" s="441" t="s">
        <v>1766</v>
      </c>
    </row>
    <row r="184" hidden="1" outlineLevel="1">
      <c r="A184" s="10"/>
      <c r="B184" s="10"/>
      <c r="C184" s="129" t="s">
        <v>118</v>
      </c>
      <c r="D184" s="129" t="s">
        <v>1756</v>
      </c>
      <c r="E184" s="129" t="s">
        <v>469</v>
      </c>
      <c r="F184" s="130">
        <v>150.0</v>
      </c>
      <c r="G184" s="127"/>
      <c r="H184" s="44" t="b">
        <v>1</v>
      </c>
      <c r="I184" s="452"/>
      <c r="J184" s="452"/>
      <c r="K184" s="91" t="s">
        <v>1761</v>
      </c>
      <c r="L184" s="90">
        <f t="shared" ref="L184:L197" si="71">COUNTIFS($D$178:$D$219, $K184,$E$178:$E$219,$L$183)</f>
        <v>1</v>
      </c>
      <c r="M184" s="90">
        <f t="shared" ref="M184:M197" si="72">COUNTIFS($D$178:$D$219, $K184,$E$178:$E$219,$M$143)</f>
        <v>0</v>
      </c>
      <c r="N184" s="90">
        <f t="shared" ref="N184:N196" si="73">L184+M184</f>
        <v>1</v>
      </c>
      <c r="O184" s="92">
        <f t="shared" ref="O184:O196" si="74">SUMIFS($F$178:$F$219,$D$178:$D$219,$K184)</f>
        <v>150</v>
      </c>
      <c r="P184" s="92">
        <f t="shared" ref="P184:P196" si="75">SUMIFS($F$178:$F$219,$D$178:$D$219,$K184,$H$178:$H$219,TRUE)</f>
        <v>150</v>
      </c>
      <c r="Q184" s="92">
        <f t="shared" ref="Q184:Q196" si="76">O184-P184</f>
        <v>0</v>
      </c>
    </row>
    <row r="185" hidden="1" outlineLevel="1">
      <c r="A185" s="125">
        <v>45357.0</v>
      </c>
      <c r="B185" s="126">
        <f t="shared" ref="B185:B187" si="77">A185</f>
        <v>45357</v>
      </c>
      <c r="C185" s="129" t="s">
        <v>118</v>
      </c>
      <c r="D185" s="129" t="s">
        <v>1756</v>
      </c>
      <c r="E185" s="129" t="s">
        <v>1758</v>
      </c>
      <c r="F185" s="130">
        <v>150.0</v>
      </c>
      <c r="G185" s="127"/>
      <c r="H185" s="44" t="b">
        <v>1</v>
      </c>
      <c r="I185" s="452"/>
      <c r="J185" s="452"/>
      <c r="K185" s="91" t="s">
        <v>183</v>
      </c>
      <c r="L185" s="90">
        <f t="shared" si="71"/>
        <v>8</v>
      </c>
      <c r="M185" s="90">
        <f t="shared" si="72"/>
        <v>0</v>
      </c>
      <c r="N185" s="90">
        <f t="shared" si="73"/>
        <v>8</v>
      </c>
      <c r="O185" s="92">
        <f t="shared" si="74"/>
        <v>1200</v>
      </c>
      <c r="P185" s="92">
        <f t="shared" si="75"/>
        <v>1200</v>
      </c>
      <c r="Q185" s="92">
        <f t="shared" si="76"/>
        <v>0</v>
      </c>
    </row>
    <row r="186" hidden="1" outlineLevel="1">
      <c r="A186" s="125">
        <v>45358.0</v>
      </c>
      <c r="B186" s="126">
        <f t="shared" si="77"/>
        <v>45358</v>
      </c>
      <c r="C186" s="129" t="s">
        <v>118</v>
      </c>
      <c r="D186" s="129" t="s">
        <v>1756</v>
      </c>
      <c r="E186" s="129" t="s">
        <v>1758</v>
      </c>
      <c r="F186" s="130">
        <v>150.0</v>
      </c>
      <c r="G186" s="127"/>
      <c r="H186" s="44" t="b">
        <v>1</v>
      </c>
      <c r="I186" s="452"/>
      <c r="J186" s="452"/>
      <c r="K186" s="91" t="s">
        <v>1756</v>
      </c>
      <c r="L186" s="90">
        <f t="shared" si="71"/>
        <v>11</v>
      </c>
      <c r="M186" s="90">
        <f t="shared" si="72"/>
        <v>8</v>
      </c>
      <c r="N186" s="90">
        <f t="shared" si="73"/>
        <v>19</v>
      </c>
      <c r="O186" s="92">
        <f t="shared" si="74"/>
        <v>2850</v>
      </c>
      <c r="P186" s="92">
        <f t="shared" si="75"/>
        <v>2850</v>
      </c>
      <c r="Q186" s="92">
        <f t="shared" si="76"/>
        <v>0</v>
      </c>
    </row>
    <row r="187" hidden="1" outlineLevel="1">
      <c r="A187" s="102">
        <v>45359.0</v>
      </c>
      <c r="B187" s="97">
        <f t="shared" si="77"/>
        <v>45359</v>
      </c>
      <c r="C187" s="129" t="s">
        <v>118</v>
      </c>
      <c r="D187" s="129" t="s">
        <v>183</v>
      </c>
      <c r="E187" s="129" t="s">
        <v>1758</v>
      </c>
      <c r="F187" s="130">
        <v>150.0</v>
      </c>
      <c r="G187" s="127"/>
      <c r="H187" s="44" t="b">
        <v>1</v>
      </c>
      <c r="I187" s="452"/>
      <c r="J187" s="452"/>
      <c r="K187" s="91" t="s">
        <v>1816</v>
      </c>
      <c r="L187" s="90">
        <f t="shared" si="71"/>
        <v>0</v>
      </c>
      <c r="M187" s="90">
        <f t="shared" si="72"/>
        <v>0</v>
      </c>
      <c r="N187" s="90">
        <f t="shared" si="73"/>
        <v>0</v>
      </c>
      <c r="O187" s="92">
        <f t="shared" si="74"/>
        <v>0</v>
      </c>
      <c r="P187" s="92">
        <f t="shared" si="75"/>
        <v>0</v>
      </c>
      <c r="Q187" s="92">
        <f t="shared" si="76"/>
        <v>0</v>
      </c>
    </row>
    <row r="188" hidden="1" outlineLevel="1">
      <c r="A188" s="10"/>
      <c r="B188" s="10"/>
      <c r="C188" s="129" t="s">
        <v>118</v>
      </c>
      <c r="D188" s="129" t="s">
        <v>1756</v>
      </c>
      <c r="E188" s="129" t="s">
        <v>469</v>
      </c>
      <c r="F188" s="130">
        <v>150.0</v>
      </c>
      <c r="G188" s="127"/>
      <c r="H188" s="44" t="b">
        <v>1</v>
      </c>
      <c r="I188" s="452"/>
      <c r="J188" s="452"/>
      <c r="K188" s="91" t="s">
        <v>1845</v>
      </c>
      <c r="L188" s="90">
        <f t="shared" si="71"/>
        <v>4</v>
      </c>
      <c r="M188" s="90">
        <f t="shared" si="72"/>
        <v>0</v>
      </c>
      <c r="N188" s="90">
        <f t="shared" si="73"/>
        <v>4</v>
      </c>
      <c r="O188" s="92">
        <f t="shared" si="74"/>
        <v>750</v>
      </c>
      <c r="P188" s="92">
        <f t="shared" si="75"/>
        <v>750</v>
      </c>
      <c r="Q188" s="92">
        <f t="shared" si="76"/>
        <v>0</v>
      </c>
    </row>
    <row r="189" hidden="1" outlineLevel="1">
      <c r="A189" s="102">
        <v>45361.0</v>
      </c>
      <c r="B189" s="97">
        <f>A189</f>
        <v>45361</v>
      </c>
      <c r="C189" s="129" t="s">
        <v>118</v>
      </c>
      <c r="D189" s="129" t="s">
        <v>1844</v>
      </c>
      <c r="E189" s="129" t="s">
        <v>1758</v>
      </c>
      <c r="F189" s="130">
        <v>200.0</v>
      </c>
      <c r="G189" s="127"/>
      <c r="H189" s="44" t="b">
        <v>1</v>
      </c>
      <c r="I189" s="452"/>
      <c r="J189" s="452"/>
      <c r="K189" s="91" t="s">
        <v>363</v>
      </c>
      <c r="L189" s="90">
        <f t="shared" si="71"/>
        <v>4</v>
      </c>
      <c r="M189" s="90">
        <f t="shared" si="72"/>
        <v>0</v>
      </c>
      <c r="N189" s="90">
        <f t="shared" si="73"/>
        <v>4</v>
      </c>
      <c r="O189" s="92">
        <f t="shared" si="74"/>
        <v>800</v>
      </c>
      <c r="P189" s="92">
        <f t="shared" si="75"/>
        <v>800</v>
      </c>
      <c r="Q189" s="92">
        <f t="shared" si="76"/>
        <v>0</v>
      </c>
    </row>
    <row r="190" hidden="1" outlineLevel="1">
      <c r="A190" s="10"/>
      <c r="B190" s="10"/>
      <c r="C190" s="129" t="s">
        <v>136</v>
      </c>
      <c r="D190" s="129" t="s">
        <v>1792</v>
      </c>
      <c r="E190" s="129" t="s">
        <v>1758</v>
      </c>
      <c r="F190" s="130">
        <v>200.0</v>
      </c>
      <c r="G190" s="127"/>
      <c r="H190" s="44" t="b">
        <v>1</v>
      </c>
      <c r="I190" s="452"/>
      <c r="J190" s="452"/>
      <c r="K190" s="91" t="s">
        <v>1822</v>
      </c>
      <c r="L190" s="90">
        <f t="shared" si="71"/>
        <v>0</v>
      </c>
      <c r="M190" s="90">
        <f t="shared" si="72"/>
        <v>1</v>
      </c>
      <c r="N190" s="90">
        <f t="shared" si="73"/>
        <v>1</v>
      </c>
      <c r="O190" s="92">
        <f t="shared" si="74"/>
        <v>150</v>
      </c>
      <c r="P190" s="92">
        <f t="shared" si="75"/>
        <v>150</v>
      </c>
      <c r="Q190" s="92">
        <f t="shared" si="76"/>
        <v>0</v>
      </c>
    </row>
    <row r="191" hidden="1" outlineLevel="1">
      <c r="A191" s="125">
        <v>45362.0</v>
      </c>
      <c r="B191" s="126">
        <f t="shared" ref="B191:B192" si="78">A191</f>
        <v>45362</v>
      </c>
      <c r="C191" s="129" t="s">
        <v>118</v>
      </c>
      <c r="D191" s="129" t="s">
        <v>1756</v>
      </c>
      <c r="E191" s="129" t="s">
        <v>1758</v>
      </c>
      <c r="F191" s="130">
        <v>150.0</v>
      </c>
      <c r="G191" s="127"/>
      <c r="H191" s="44" t="b">
        <v>1</v>
      </c>
      <c r="I191" s="452"/>
      <c r="J191" s="452"/>
      <c r="K191" s="91" t="s">
        <v>1842</v>
      </c>
      <c r="L191" s="90">
        <f t="shared" si="71"/>
        <v>0</v>
      </c>
      <c r="M191" s="90">
        <f t="shared" si="72"/>
        <v>0</v>
      </c>
      <c r="N191" s="90">
        <f t="shared" si="73"/>
        <v>0</v>
      </c>
      <c r="O191" s="92">
        <f t="shared" si="74"/>
        <v>0</v>
      </c>
      <c r="P191" s="92">
        <f t="shared" si="75"/>
        <v>0</v>
      </c>
      <c r="Q191" s="92">
        <f t="shared" si="76"/>
        <v>0</v>
      </c>
    </row>
    <row r="192" hidden="1" outlineLevel="1">
      <c r="A192" s="102">
        <v>45363.0</v>
      </c>
      <c r="B192" s="97">
        <f t="shared" si="78"/>
        <v>45363</v>
      </c>
      <c r="C192" s="129" t="s">
        <v>118</v>
      </c>
      <c r="D192" s="129" t="s">
        <v>183</v>
      </c>
      <c r="E192" s="129" t="s">
        <v>1758</v>
      </c>
      <c r="F192" s="130">
        <v>150.0</v>
      </c>
      <c r="G192" s="127"/>
      <c r="H192" s="44" t="b">
        <v>1</v>
      </c>
      <c r="I192" s="51"/>
      <c r="J192" s="51"/>
      <c r="K192" s="91" t="s">
        <v>1840</v>
      </c>
      <c r="L192" s="90">
        <f t="shared" si="71"/>
        <v>0</v>
      </c>
      <c r="M192" s="90">
        <f t="shared" si="72"/>
        <v>0</v>
      </c>
      <c r="N192" s="90">
        <f t="shared" si="73"/>
        <v>0</v>
      </c>
      <c r="O192" s="92">
        <f t="shared" si="74"/>
        <v>0</v>
      </c>
      <c r="P192" s="92">
        <f t="shared" si="75"/>
        <v>0</v>
      </c>
      <c r="Q192" s="92">
        <f t="shared" si="76"/>
        <v>0</v>
      </c>
    </row>
    <row r="193" hidden="1" outlineLevel="1">
      <c r="A193" s="10"/>
      <c r="B193" s="10"/>
      <c r="C193" s="129" t="s">
        <v>118</v>
      </c>
      <c r="D193" s="129" t="s">
        <v>1756</v>
      </c>
      <c r="E193" s="129" t="s">
        <v>469</v>
      </c>
      <c r="F193" s="130">
        <v>150.0</v>
      </c>
      <c r="G193" s="127"/>
      <c r="H193" s="44" t="b">
        <v>1</v>
      </c>
      <c r="I193" s="51"/>
      <c r="J193" s="51"/>
      <c r="K193" s="91" t="s">
        <v>1828</v>
      </c>
      <c r="L193" s="90">
        <f t="shared" si="71"/>
        <v>1</v>
      </c>
      <c r="M193" s="90">
        <f t="shared" si="72"/>
        <v>0</v>
      </c>
      <c r="N193" s="90">
        <f t="shared" si="73"/>
        <v>1</v>
      </c>
      <c r="O193" s="92">
        <f t="shared" si="74"/>
        <v>200</v>
      </c>
      <c r="P193" s="92">
        <f t="shared" si="75"/>
        <v>200</v>
      </c>
      <c r="Q193" s="92">
        <f t="shared" si="76"/>
        <v>0</v>
      </c>
    </row>
    <row r="194" hidden="1" outlineLevel="1">
      <c r="A194" s="125">
        <v>45364.0</v>
      </c>
      <c r="B194" s="126">
        <f t="shared" ref="B194:B196" si="79">A194</f>
        <v>45364</v>
      </c>
      <c r="C194" s="129" t="s">
        <v>136</v>
      </c>
      <c r="D194" s="129" t="s">
        <v>1756</v>
      </c>
      <c r="E194" s="129" t="s">
        <v>1758</v>
      </c>
      <c r="F194" s="130">
        <v>150.0</v>
      </c>
      <c r="G194" s="127"/>
      <c r="H194" s="44" t="b">
        <v>1</v>
      </c>
      <c r="I194" s="51"/>
      <c r="J194" s="51"/>
      <c r="K194" s="91" t="s">
        <v>1844</v>
      </c>
      <c r="L194" s="90">
        <f t="shared" si="71"/>
        <v>2</v>
      </c>
      <c r="M194" s="90">
        <f t="shared" si="72"/>
        <v>0</v>
      </c>
      <c r="N194" s="90">
        <f t="shared" si="73"/>
        <v>2</v>
      </c>
      <c r="O194" s="92">
        <f t="shared" si="74"/>
        <v>400</v>
      </c>
      <c r="P194" s="92">
        <f t="shared" si="75"/>
        <v>400</v>
      </c>
      <c r="Q194" s="92">
        <f t="shared" si="76"/>
        <v>0</v>
      </c>
    </row>
    <row r="195" hidden="1" outlineLevel="1">
      <c r="A195" s="125">
        <v>45365.0</v>
      </c>
      <c r="B195" s="126">
        <f t="shared" si="79"/>
        <v>45365</v>
      </c>
      <c r="C195" s="179" t="s">
        <v>118</v>
      </c>
      <c r="D195" s="129" t="s">
        <v>1756</v>
      </c>
      <c r="E195" s="129" t="s">
        <v>1758</v>
      </c>
      <c r="F195" s="130">
        <v>150.0</v>
      </c>
      <c r="G195" s="129"/>
      <c r="H195" s="44" t="b">
        <v>1</v>
      </c>
      <c r="I195" s="452"/>
      <c r="J195" s="452"/>
      <c r="K195" s="91" t="s">
        <v>1849</v>
      </c>
      <c r="L195" s="90">
        <f t="shared" si="71"/>
        <v>1</v>
      </c>
      <c r="M195" s="90">
        <f t="shared" si="72"/>
        <v>0</v>
      </c>
      <c r="N195" s="90">
        <f t="shared" si="73"/>
        <v>1</v>
      </c>
      <c r="O195" s="92">
        <f t="shared" si="74"/>
        <v>200</v>
      </c>
      <c r="P195" s="92">
        <f t="shared" si="75"/>
        <v>200</v>
      </c>
      <c r="Q195" s="92">
        <f t="shared" si="76"/>
        <v>0</v>
      </c>
    </row>
    <row r="196" hidden="1" outlineLevel="1">
      <c r="A196" s="102">
        <v>45366.0</v>
      </c>
      <c r="B196" s="97">
        <f t="shared" si="79"/>
        <v>45366</v>
      </c>
      <c r="C196" s="179" t="s">
        <v>118</v>
      </c>
      <c r="D196" s="129" t="s">
        <v>183</v>
      </c>
      <c r="E196" s="129" t="s">
        <v>1758</v>
      </c>
      <c r="F196" s="130">
        <v>150.0</v>
      </c>
      <c r="G196" s="129"/>
      <c r="H196" s="44" t="b">
        <v>1</v>
      </c>
      <c r="I196" s="452"/>
      <c r="J196" s="452"/>
      <c r="K196" s="91" t="s">
        <v>1792</v>
      </c>
      <c r="L196" s="90">
        <f t="shared" si="71"/>
        <v>1</v>
      </c>
      <c r="M196" s="90">
        <f t="shared" si="72"/>
        <v>0</v>
      </c>
      <c r="N196" s="90">
        <f t="shared" si="73"/>
        <v>1</v>
      </c>
      <c r="O196" s="92">
        <f t="shared" si="74"/>
        <v>200</v>
      </c>
      <c r="P196" s="92">
        <f t="shared" si="75"/>
        <v>200</v>
      </c>
      <c r="Q196" s="92">
        <f t="shared" si="76"/>
        <v>0</v>
      </c>
    </row>
    <row r="197" hidden="1" outlineLevel="1">
      <c r="A197" s="10"/>
      <c r="B197" s="10"/>
      <c r="C197" s="179" t="s">
        <v>118</v>
      </c>
      <c r="D197" s="129" t="s">
        <v>1756</v>
      </c>
      <c r="E197" s="129" t="s">
        <v>469</v>
      </c>
      <c r="F197" s="130">
        <v>150.0</v>
      </c>
      <c r="G197" s="129"/>
      <c r="H197" s="44" t="b">
        <v>1</v>
      </c>
      <c r="I197" s="452"/>
      <c r="J197" s="452"/>
      <c r="K197" s="531"/>
      <c r="L197" s="90">
        <f t="shared" si="71"/>
        <v>0</v>
      </c>
      <c r="M197" s="90">
        <f t="shared" si="72"/>
        <v>0</v>
      </c>
      <c r="N197" s="276"/>
      <c r="O197" s="424"/>
      <c r="P197" s="424"/>
      <c r="Q197" s="276"/>
    </row>
    <row r="198" hidden="1" outlineLevel="1">
      <c r="A198" s="102">
        <v>45368.0</v>
      </c>
      <c r="B198" s="97">
        <f>A198</f>
        <v>45368</v>
      </c>
      <c r="C198" s="179" t="s">
        <v>118</v>
      </c>
      <c r="D198" s="129" t="s">
        <v>1849</v>
      </c>
      <c r="E198" s="129" t="s">
        <v>1758</v>
      </c>
      <c r="F198" s="130">
        <v>200.0</v>
      </c>
      <c r="G198" s="522"/>
      <c r="H198" s="44" t="b">
        <v>1</v>
      </c>
      <c r="I198" s="452"/>
      <c r="J198" s="452"/>
      <c r="K198" s="564"/>
      <c r="L198" s="90"/>
      <c r="M198" s="90"/>
      <c r="N198" s="276"/>
      <c r="O198" s="302"/>
      <c r="P198" s="424"/>
      <c r="Q198" s="302"/>
    </row>
    <row r="199" hidden="1" outlineLevel="1">
      <c r="A199" s="10"/>
      <c r="B199" s="10"/>
      <c r="C199" s="179" t="s">
        <v>136</v>
      </c>
      <c r="D199" s="129" t="s">
        <v>363</v>
      </c>
      <c r="E199" s="129" t="s">
        <v>1758</v>
      </c>
      <c r="F199" s="130">
        <v>200.0</v>
      </c>
      <c r="G199" s="522"/>
      <c r="H199" s="44" t="b">
        <v>1</v>
      </c>
      <c r="K199" s="531"/>
      <c r="L199" s="90"/>
      <c r="M199" s="90"/>
      <c r="N199" s="276"/>
      <c r="O199" s="424"/>
      <c r="P199" s="424"/>
      <c r="Q199" s="276"/>
    </row>
    <row r="200" hidden="1" outlineLevel="1">
      <c r="A200" s="125">
        <v>45369.0</v>
      </c>
      <c r="B200" s="126">
        <f t="shared" ref="B200:B201" si="81">A200</f>
        <v>45369</v>
      </c>
      <c r="C200" s="179" t="s">
        <v>118</v>
      </c>
      <c r="D200" s="129" t="s">
        <v>1756</v>
      </c>
      <c r="E200" s="129" t="s">
        <v>1758</v>
      </c>
      <c r="F200" s="130">
        <v>150.0</v>
      </c>
      <c r="G200" s="127"/>
      <c r="H200" s="44" t="b">
        <v>1</v>
      </c>
      <c r="K200" s="477" t="s">
        <v>195</v>
      </c>
      <c r="L200" s="478">
        <f t="shared" ref="L200:Q200" si="80">SUM(L184:L199)</f>
        <v>33</v>
      </c>
      <c r="M200" s="478">
        <f t="shared" si="80"/>
        <v>9</v>
      </c>
      <c r="N200" s="478">
        <f t="shared" si="80"/>
        <v>42</v>
      </c>
      <c r="O200" s="479">
        <f t="shared" si="80"/>
        <v>6900</v>
      </c>
      <c r="P200" s="479">
        <f t="shared" si="80"/>
        <v>6900</v>
      </c>
      <c r="Q200" s="479">
        <f t="shared" si="80"/>
        <v>0</v>
      </c>
    </row>
    <row r="201" hidden="1" outlineLevel="1">
      <c r="A201" s="102">
        <v>45370.0</v>
      </c>
      <c r="B201" s="97">
        <f t="shared" si="81"/>
        <v>45370</v>
      </c>
      <c r="C201" s="179" t="s">
        <v>118</v>
      </c>
      <c r="D201" s="129" t="s">
        <v>183</v>
      </c>
      <c r="E201" s="129" t="s">
        <v>1758</v>
      </c>
      <c r="F201" s="130">
        <v>150.0</v>
      </c>
      <c r="G201" s="127"/>
      <c r="H201" s="44" t="b">
        <v>1</v>
      </c>
    </row>
    <row r="202" hidden="1" outlineLevel="1">
      <c r="A202" s="10"/>
      <c r="B202" s="10"/>
      <c r="C202" s="179" t="s">
        <v>118</v>
      </c>
      <c r="D202" s="129" t="s">
        <v>1756</v>
      </c>
      <c r="E202" s="129" t="s">
        <v>469</v>
      </c>
      <c r="F202" s="130">
        <v>150.0</v>
      </c>
      <c r="G202" s="127"/>
      <c r="H202" s="44" t="b">
        <v>1</v>
      </c>
    </row>
    <row r="203" hidden="1" outlineLevel="1">
      <c r="A203" s="125">
        <v>45371.0</v>
      </c>
      <c r="B203" s="126">
        <f t="shared" ref="B203:B205" si="82">A203</f>
        <v>45371</v>
      </c>
      <c r="C203" s="179" t="s">
        <v>118</v>
      </c>
      <c r="D203" s="129" t="s">
        <v>1756</v>
      </c>
      <c r="E203" s="129" t="s">
        <v>1758</v>
      </c>
      <c r="F203" s="130">
        <v>150.0</v>
      </c>
      <c r="G203" s="127"/>
      <c r="H203" s="44" t="b">
        <v>1</v>
      </c>
    </row>
    <row r="204" hidden="1" outlineLevel="1">
      <c r="A204" s="125">
        <v>45372.0</v>
      </c>
      <c r="B204" s="126">
        <f t="shared" si="82"/>
        <v>45372</v>
      </c>
      <c r="C204" s="179" t="s">
        <v>118</v>
      </c>
      <c r="D204" s="129" t="s">
        <v>1756</v>
      </c>
      <c r="E204" s="129" t="s">
        <v>1758</v>
      </c>
      <c r="F204" s="130">
        <v>150.0</v>
      </c>
      <c r="G204" s="127"/>
      <c r="H204" s="44" t="b">
        <v>1</v>
      </c>
      <c r="K204" s="553"/>
      <c r="L204" s="51"/>
      <c r="M204" s="51"/>
      <c r="O204" s="554"/>
      <c r="P204" s="554"/>
    </row>
    <row r="205" hidden="1" outlineLevel="1">
      <c r="A205" s="102">
        <v>45373.0</v>
      </c>
      <c r="B205" s="97">
        <f t="shared" si="82"/>
        <v>45373</v>
      </c>
      <c r="C205" s="179" t="s">
        <v>118</v>
      </c>
      <c r="D205" s="129" t="s">
        <v>183</v>
      </c>
      <c r="E205" s="129" t="s">
        <v>1758</v>
      </c>
      <c r="F205" s="130">
        <v>150.0</v>
      </c>
      <c r="G205" s="127"/>
      <c r="H205" s="44" t="b">
        <v>1</v>
      </c>
      <c r="K205" s="51"/>
      <c r="L205" s="51"/>
      <c r="M205" s="51"/>
    </row>
    <row r="206" hidden="1" outlineLevel="1">
      <c r="A206" s="10"/>
      <c r="B206" s="10"/>
      <c r="C206" s="179" t="s">
        <v>136</v>
      </c>
      <c r="D206" s="129" t="s">
        <v>1756</v>
      </c>
      <c r="E206" s="129" t="s">
        <v>469</v>
      </c>
      <c r="F206" s="130">
        <v>150.0</v>
      </c>
      <c r="G206" s="127"/>
      <c r="H206" s="44" t="b">
        <v>1</v>
      </c>
      <c r="K206" s="51"/>
      <c r="L206" s="51"/>
      <c r="M206" s="51"/>
    </row>
    <row r="207" hidden="1" outlineLevel="1">
      <c r="A207" s="102">
        <v>45375.0</v>
      </c>
      <c r="B207" s="97">
        <f>A207</f>
        <v>45375</v>
      </c>
      <c r="C207" s="179" t="s">
        <v>118</v>
      </c>
      <c r="D207" s="129" t="s">
        <v>363</v>
      </c>
      <c r="E207" s="129" t="s">
        <v>1758</v>
      </c>
      <c r="F207" s="130">
        <v>200.0</v>
      </c>
      <c r="G207" s="127"/>
      <c r="H207" s="44" t="b">
        <v>1</v>
      </c>
      <c r="K207" s="51"/>
      <c r="L207" s="51"/>
      <c r="M207" s="51"/>
    </row>
    <row r="208" hidden="1" outlineLevel="1">
      <c r="A208" s="10"/>
      <c r="B208" s="10"/>
      <c r="C208" s="179" t="s">
        <v>136</v>
      </c>
      <c r="D208" s="129" t="s">
        <v>363</v>
      </c>
      <c r="E208" s="129" t="s">
        <v>1758</v>
      </c>
      <c r="F208" s="130">
        <v>200.0</v>
      </c>
      <c r="G208" s="127"/>
      <c r="H208" s="44" t="b">
        <v>1</v>
      </c>
      <c r="K208" s="51"/>
      <c r="L208" s="51"/>
      <c r="M208" s="51"/>
    </row>
    <row r="209" hidden="1" outlineLevel="1">
      <c r="A209" s="125">
        <v>45376.0</v>
      </c>
      <c r="B209" s="126">
        <f t="shared" ref="B209:B210" si="83">A209</f>
        <v>45376</v>
      </c>
      <c r="C209" s="179" t="s">
        <v>118</v>
      </c>
      <c r="D209" s="129" t="s">
        <v>1756</v>
      </c>
      <c r="E209" s="129" t="s">
        <v>1758</v>
      </c>
      <c r="F209" s="130">
        <v>150.0</v>
      </c>
      <c r="G209" s="127"/>
      <c r="H209" s="44" t="b">
        <v>1</v>
      </c>
      <c r="K209" s="51"/>
      <c r="L209" s="51"/>
      <c r="M209" s="51"/>
    </row>
    <row r="210" hidden="1" outlineLevel="1">
      <c r="A210" s="102">
        <v>45377.0</v>
      </c>
      <c r="B210" s="97">
        <f t="shared" si="83"/>
        <v>45377</v>
      </c>
      <c r="C210" s="179" t="s">
        <v>118</v>
      </c>
      <c r="D210" s="129" t="s">
        <v>183</v>
      </c>
      <c r="E210" s="129" t="s">
        <v>1758</v>
      </c>
      <c r="F210" s="130">
        <v>150.0</v>
      </c>
      <c r="G210" s="127"/>
      <c r="H210" s="44" t="b">
        <v>1</v>
      </c>
      <c r="K210" s="452" t="s">
        <v>85</v>
      </c>
      <c r="L210" s="51"/>
      <c r="M210" s="51"/>
    </row>
    <row r="211" hidden="1" outlineLevel="1">
      <c r="A211" s="10"/>
      <c r="B211" s="10"/>
      <c r="C211" s="179" t="s">
        <v>118</v>
      </c>
      <c r="D211" s="129" t="s">
        <v>1756</v>
      </c>
      <c r="E211" s="129" t="s">
        <v>469</v>
      </c>
      <c r="F211" s="130">
        <v>150.0</v>
      </c>
      <c r="G211" s="127"/>
      <c r="H211" s="44" t="b">
        <v>1</v>
      </c>
      <c r="K211" s="51"/>
      <c r="L211" s="51"/>
      <c r="M211" s="51"/>
    </row>
    <row r="212" hidden="1" outlineLevel="1">
      <c r="A212" s="502">
        <v>27.0</v>
      </c>
      <c r="B212" s="502" t="s">
        <v>1179</v>
      </c>
      <c r="C212" s="179" t="s">
        <v>118</v>
      </c>
      <c r="D212" s="129" t="s">
        <v>1756</v>
      </c>
      <c r="E212" s="129" t="s">
        <v>1758</v>
      </c>
      <c r="F212" s="130">
        <v>150.0</v>
      </c>
      <c r="G212" s="129"/>
      <c r="H212" s="44" t="b">
        <v>1</v>
      </c>
      <c r="K212" s="452"/>
      <c r="L212" s="51"/>
      <c r="M212" s="51"/>
      <c r="N212" s="51"/>
    </row>
    <row r="213" hidden="1" outlineLevel="1">
      <c r="A213" s="58"/>
      <c r="B213" s="58"/>
      <c r="C213" s="179" t="s">
        <v>136</v>
      </c>
      <c r="D213" s="129" t="s">
        <v>1822</v>
      </c>
      <c r="E213" s="129" t="s">
        <v>469</v>
      </c>
      <c r="F213" s="130">
        <v>150.0</v>
      </c>
      <c r="G213" s="129"/>
      <c r="H213" s="44" t="b">
        <v>1</v>
      </c>
    </row>
    <row r="214" hidden="1" outlineLevel="1">
      <c r="A214" s="10"/>
      <c r="B214" s="10"/>
      <c r="C214" s="179" t="s">
        <v>136</v>
      </c>
      <c r="D214" s="129" t="s">
        <v>1845</v>
      </c>
      <c r="E214" s="129" t="s">
        <v>1758</v>
      </c>
      <c r="F214" s="130">
        <v>150.0</v>
      </c>
      <c r="G214" s="129" t="s">
        <v>2035</v>
      </c>
      <c r="H214" s="44" t="b">
        <v>1</v>
      </c>
    </row>
    <row r="215" hidden="1" outlineLevel="1">
      <c r="A215" s="125">
        <v>45379.0</v>
      </c>
      <c r="B215" s="126">
        <f t="shared" ref="B215:B218" si="84">A215</f>
        <v>45379</v>
      </c>
      <c r="C215" s="179" t="s">
        <v>118</v>
      </c>
      <c r="D215" s="129" t="s">
        <v>1845</v>
      </c>
      <c r="E215" s="129" t="s">
        <v>1758</v>
      </c>
      <c r="F215" s="130">
        <v>200.0</v>
      </c>
      <c r="G215" s="129" t="s">
        <v>2036</v>
      </c>
      <c r="H215" s="44" t="b">
        <v>1</v>
      </c>
    </row>
    <row r="216" hidden="1" outlineLevel="1">
      <c r="A216" s="125">
        <v>45380.0</v>
      </c>
      <c r="B216" s="126">
        <f t="shared" si="84"/>
        <v>45380</v>
      </c>
      <c r="C216" s="179" t="s">
        <v>118</v>
      </c>
      <c r="D216" s="129" t="s">
        <v>1845</v>
      </c>
      <c r="E216" s="129" t="s">
        <v>1758</v>
      </c>
      <c r="F216" s="130">
        <v>200.0</v>
      </c>
      <c r="G216" s="129" t="s">
        <v>2037</v>
      </c>
      <c r="H216" s="44" t="b">
        <v>1</v>
      </c>
    </row>
    <row r="217" hidden="1" outlineLevel="1">
      <c r="A217" s="125">
        <v>45381.0</v>
      </c>
      <c r="B217" s="126">
        <f t="shared" si="84"/>
        <v>45381</v>
      </c>
      <c r="C217" s="179" t="s">
        <v>118</v>
      </c>
      <c r="D217" s="129" t="s">
        <v>1844</v>
      </c>
      <c r="E217" s="129" t="s">
        <v>1758</v>
      </c>
      <c r="F217" s="130">
        <v>200.0</v>
      </c>
      <c r="G217" s="129" t="s">
        <v>2038</v>
      </c>
      <c r="H217" s="44" t="b">
        <v>1</v>
      </c>
    </row>
    <row r="218" hidden="1" outlineLevel="1">
      <c r="A218" s="102">
        <v>45382.0</v>
      </c>
      <c r="B218" s="97">
        <f t="shared" si="84"/>
        <v>45382</v>
      </c>
      <c r="C218" s="179" t="s">
        <v>118</v>
      </c>
      <c r="D218" s="129" t="s">
        <v>1828</v>
      </c>
      <c r="E218" s="129" t="s">
        <v>1758</v>
      </c>
      <c r="F218" s="130">
        <v>200.0</v>
      </c>
      <c r="G218" s="129" t="s">
        <v>2039</v>
      </c>
      <c r="H218" s="44" t="b">
        <v>1</v>
      </c>
    </row>
    <row r="219" hidden="1" outlineLevel="1">
      <c r="A219" s="10"/>
      <c r="B219" s="10"/>
      <c r="C219" s="179" t="s">
        <v>136</v>
      </c>
      <c r="D219" s="129" t="s">
        <v>1845</v>
      </c>
      <c r="E219" s="129" t="s">
        <v>1758</v>
      </c>
      <c r="F219" s="130">
        <v>200.0</v>
      </c>
      <c r="G219" s="129" t="s">
        <v>2039</v>
      </c>
      <c r="H219" s="44" t="b">
        <v>1</v>
      </c>
    </row>
    <row r="220">
      <c r="A220" s="484" t="s">
        <v>195</v>
      </c>
      <c r="B220" s="27"/>
      <c r="C220" s="27"/>
      <c r="D220" s="27"/>
      <c r="E220" s="28"/>
      <c r="F220" s="485">
        <f>SUM(F178:F219)</f>
        <v>6900</v>
      </c>
      <c r="G220" s="486"/>
      <c r="H220" s="28"/>
    </row>
    <row r="221" collapsed="1">
      <c r="A221" s="339" t="s">
        <v>499</v>
      </c>
      <c r="B221" s="246"/>
      <c r="C221" s="246"/>
      <c r="D221" s="246"/>
      <c r="E221" s="246"/>
      <c r="F221" s="246"/>
      <c r="G221" s="246"/>
      <c r="H221" s="247"/>
    </row>
    <row r="222" hidden="1" outlineLevel="1">
      <c r="A222" s="190">
        <v>45383.0</v>
      </c>
      <c r="B222" s="126">
        <f t="shared" ref="B222:B223" si="85">A222</f>
        <v>45383</v>
      </c>
      <c r="C222" s="179" t="s">
        <v>118</v>
      </c>
      <c r="D222" s="129" t="s">
        <v>1756</v>
      </c>
      <c r="E222" s="129" t="s">
        <v>1758</v>
      </c>
      <c r="F222" s="130">
        <v>150.0</v>
      </c>
      <c r="G222" s="127"/>
      <c r="H222" s="44" t="b">
        <v>1</v>
      </c>
      <c r="N222" s="437"/>
    </row>
    <row r="223" hidden="1" outlineLevel="1">
      <c r="A223" s="190">
        <v>45384.0</v>
      </c>
      <c r="B223" s="97">
        <f t="shared" si="85"/>
        <v>45384</v>
      </c>
      <c r="C223" s="179" t="s">
        <v>118</v>
      </c>
      <c r="D223" s="129" t="s">
        <v>1756</v>
      </c>
      <c r="E223" s="129" t="s">
        <v>469</v>
      </c>
      <c r="F223" s="130">
        <v>150.0</v>
      </c>
      <c r="G223" s="127"/>
      <c r="H223" s="44" t="b">
        <v>1</v>
      </c>
      <c r="K223" s="440" t="s">
        <v>2040</v>
      </c>
      <c r="L223" s="27"/>
      <c r="M223" s="27"/>
      <c r="N223" s="27"/>
      <c r="O223" s="27"/>
      <c r="P223" s="27"/>
      <c r="Q223" s="28"/>
    </row>
    <row r="224" hidden="1" outlineLevel="1">
      <c r="A224" s="191"/>
      <c r="B224" s="10"/>
      <c r="C224" s="179" t="s">
        <v>118</v>
      </c>
      <c r="D224" s="129" t="s">
        <v>183</v>
      </c>
      <c r="E224" s="129" t="s">
        <v>1758</v>
      </c>
      <c r="F224" s="130">
        <v>150.0</v>
      </c>
      <c r="G224" s="127"/>
      <c r="H224" s="44" t="b">
        <v>1</v>
      </c>
      <c r="K224" s="441" t="s">
        <v>1749</v>
      </c>
      <c r="L224" s="441" t="s">
        <v>1758</v>
      </c>
      <c r="M224" s="441" t="s">
        <v>469</v>
      </c>
      <c r="N224" s="441" t="s">
        <v>195</v>
      </c>
      <c r="O224" s="441" t="s">
        <v>1764</v>
      </c>
      <c r="P224" s="441" t="s">
        <v>1765</v>
      </c>
      <c r="Q224" s="441" t="s">
        <v>1766</v>
      </c>
    </row>
    <row r="225" hidden="1" outlineLevel="1">
      <c r="A225" s="190">
        <v>45385.0</v>
      </c>
      <c r="B225" s="126">
        <f t="shared" ref="B225:B227" si="86">A225</f>
        <v>45385</v>
      </c>
      <c r="C225" s="179" t="s">
        <v>118</v>
      </c>
      <c r="D225" s="129" t="s">
        <v>1756</v>
      </c>
      <c r="E225" s="129" t="s">
        <v>1758</v>
      </c>
      <c r="F225" s="130">
        <v>150.0</v>
      </c>
      <c r="G225" s="129"/>
      <c r="H225" s="44" t="b">
        <v>1</v>
      </c>
      <c r="K225" s="91" t="s">
        <v>1756</v>
      </c>
      <c r="L225" s="90">
        <f t="shared" ref="L225:L238" si="87">COUNTIFS($D$222:$D$266, $K225,$E$222:$E$266,$L$224)</f>
        <v>17</v>
      </c>
      <c r="M225" s="90">
        <f t="shared" ref="M225:M238" si="88">COUNTIFS($D$222:$D$266, $K225,$E$222:$E$266,$M$224)</f>
        <v>8</v>
      </c>
      <c r="N225" s="90">
        <f t="shared" ref="N225:N238" si="89">L225+M225</f>
        <v>25</v>
      </c>
      <c r="O225" s="92">
        <f t="shared" ref="O225:O238" si="90">SUMIFS($F$222:$F$266,$D$222:$D$266,$K225)</f>
        <v>3850</v>
      </c>
      <c r="P225" s="92">
        <f t="shared" ref="P225:P238" si="91">SUMIFS($F$222:$F$266,$D$222:$D$266,$K225,$H$222:$H$266,TRUE)</f>
        <v>3850</v>
      </c>
      <c r="Q225" s="92">
        <f t="shared" ref="Q225:Q238" si="92">O225-P225</f>
        <v>0</v>
      </c>
    </row>
    <row r="226" hidden="1" outlineLevel="1">
      <c r="A226" s="190">
        <v>45386.0</v>
      </c>
      <c r="B226" s="126">
        <f t="shared" si="86"/>
        <v>45386</v>
      </c>
      <c r="C226" s="179" t="s">
        <v>118</v>
      </c>
      <c r="D226" s="129" t="s">
        <v>1756</v>
      </c>
      <c r="E226" s="129" t="s">
        <v>1758</v>
      </c>
      <c r="F226" s="130">
        <v>150.0</v>
      </c>
      <c r="G226" s="129"/>
      <c r="H226" s="44" t="b">
        <v>1</v>
      </c>
      <c r="I226" s="452"/>
      <c r="J226" s="452"/>
      <c r="K226" s="91" t="s">
        <v>183</v>
      </c>
      <c r="L226" s="90">
        <f t="shared" si="87"/>
        <v>10</v>
      </c>
      <c r="M226" s="90">
        <f t="shared" si="88"/>
        <v>0</v>
      </c>
      <c r="N226" s="90">
        <f t="shared" si="89"/>
        <v>10</v>
      </c>
      <c r="O226" s="92">
        <f t="shared" si="90"/>
        <v>1400</v>
      </c>
      <c r="P226" s="92">
        <f t="shared" si="91"/>
        <v>1400</v>
      </c>
      <c r="Q226" s="92">
        <f t="shared" si="92"/>
        <v>0</v>
      </c>
    </row>
    <row r="227" hidden="1" outlineLevel="1">
      <c r="A227" s="190">
        <v>45387.0</v>
      </c>
      <c r="B227" s="97">
        <f t="shared" si="86"/>
        <v>45387</v>
      </c>
      <c r="C227" s="179" t="s">
        <v>118</v>
      </c>
      <c r="D227" s="129" t="s">
        <v>1756</v>
      </c>
      <c r="E227" s="129" t="s">
        <v>469</v>
      </c>
      <c r="F227" s="130">
        <v>150.0</v>
      </c>
      <c r="G227" s="127"/>
      <c r="H227" s="44" t="b">
        <v>1</v>
      </c>
      <c r="I227" s="452"/>
      <c r="J227" s="452"/>
      <c r="K227" s="91" t="s">
        <v>1816</v>
      </c>
      <c r="L227" s="90">
        <f t="shared" si="87"/>
        <v>0</v>
      </c>
      <c r="M227" s="90">
        <f t="shared" si="88"/>
        <v>0</v>
      </c>
      <c r="N227" s="90">
        <f t="shared" si="89"/>
        <v>0</v>
      </c>
      <c r="O227" s="92">
        <f t="shared" si="90"/>
        <v>0</v>
      </c>
      <c r="P227" s="92">
        <f t="shared" si="91"/>
        <v>0</v>
      </c>
      <c r="Q227" s="92">
        <f t="shared" si="92"/>
        <v>0</v>
      </c>
    </row>
    <row r="228" hidden="1" outlineLevel="1">
      <c r="A228" s="191"/>
      <c r="B228" s="58"/>
      <c r="C228" s="179" t="s">
        <v>118</v>
      </c>
      <c r="D228" s="129" t="s">
        <v>183</v>
      </c>
      <c r="E228" s="129" t="s">
        <v>1758</v>
      </c>
      <c r="F228" s="130">
        <v>150.0</v>
      </c>
      <c r="G228" s="127"/>
      <c r="H228" s="44" t="b">
        <v>1</v>
      </c>
      <c r="I228" s="452"/>
      <c r="J228" s="452"/>
      <c r="K228" s="91" t="s">
        <v>1845</v>
      </c>
      <c r="L228" s="90">
        <f t="shared" si="87"/>
        <v>2</v>
      </c>
      <c r="M228" s="90">
        <f t="shared" si="88"/>
        <v>0</v>
      </c>
      <c r="N228" s="90">
        <f t="shared" si="89"/>
        <v>2</v>
      </c>
      <c r="O228" s="92">
        <f t="shared" si="90"/>
        <v>350</v>
      </c>
      <c r="P228" s="92">
        <f t="shared" si="91"/>
        <v>350</v>
      </c>
      <c r="Q228" s="92">
        <f t="shared" si="92"/>
        <v>0</v>
      </c>
    </row>
    <row r="229" hidden="1" outlineLevel="1">
      <c r="A229" s="191"/>
      <c r="B229" s="10"/>
      <c r="C229" s="179" t="s">
        <v>136</v>
      </c>
      <c r="D229" s="129" t="s">
        <v>1849</v>
      </c>
      <c r="E229" s="129" t="s">
        <v>1758</v>
      </c>
      <c r="F229" s="130">
        <v>150.0</v>
      </c>
      <c r="G229" s="129" t="s">
        <v>2041</v>
      </c>
      <c r="H229" s="44" t="b">
        <v>1</v>
      </c>
      <c r="I229" s="452"/>
      <c r="J229" s="452"/>
      <c r="K229" s="91" t="s">
        <v>562</v>
      </c>
      <c r="L229" s="90">
        <f t="shared" si="87"/>
        <v>1</v>
      </c>
      <c r="M229" s="90">
        <f t="shared" si="88"/>
        <v>0</v>
      </c>
      <c r="N229" s="90">
        <f t="shared" si="89"/>
        <v>1</v>
      </c>
      <c r="O229" s="92">
        <f t="shared" si="90"/>
        <v>200</v>
      </c>
      <c r="P229" s="92">
        <f t="shared" si="91"/>
        <v>200</v>
      </c>
      <c r="Q229" s="92">
        <f t="shared" si="92"/>
        <v>0</v>
      </c>
    </row>
    <row r="230" hidden="1" outlineLevel="1">
      <c r="A230" s="190">
        <v>45388.0</v>
      </c>
      <c r="B230" s="126">
        <f t="shared" ref="B230:B231" si="93">A230</f>
        <v>45388</v>
      </c>
      <c r="C230" s="179" t="s">
        <v>118</v>
      </c>
      <c r="D230" s="129" t="s">
        <v>1761</v>
      </c>
      <c r="E230" s="129" t="s">
        <v>1758</v>
      </c>
      <c r="F230" s="130">
        <v>150.0</v>
      </c>
      <c r="G230" s="127"/>
      <c r="H230" s="44" t="b">
        <v>1</v>
      </c>
      <c r="I230" s="452"/>
      <c r="J230" s="452"/>
      <c r="K230" s="91" t="s">
        <v>1818</v>
      </c>
      <c r="L230" s="90">
        <f t="shared" si="87"/>
        <v>1</v>
      </c>
      <c r="M230" s="90">
        <f t="shared" si="88"/>
        <v>0</v>
      </c>
      <c r="N230" s="90">
        <f t="shared" si="89"/>
        <v>1</v>
      </c>
      <c r="O230" s="92">
        <f t="shared" si="90"/>
        <v>200</v>
      </c>
      <c r="P230" s="92">
        <f t="shared" si="91"/>
        <v>200</v>
      </c>
      <c r="Q230" s="92">
        <f t="shared" si="92"/>
        <v>0</v>
      </c>
    </row>
    <row r="231" hidden="1" outlineLevel="1">
      <c r="A231" s="190">
        <v>45389.0</v>
      </c>
      <c r="B231" s="97">
        <f t="shared" si="93"/>
        <v>45389</v>
      </c>
      <c r="C231" s="179" t="s">
        <v>118</v>
      </c>
      <c r="D231" s="129" t="s">
        <v>1828</v>
      </c>
      <c r="E231" s="129" t="s">
        <v>1758</v>
      </c>
      <c r="F231" s="130">
        <v>200.0</v>
      </c>
      <c r="G231" s="127"/>
      <c r="H231" s="44" t="b">
        <v>1</v>
      </c>
      <c r="I231" s="452"/>
      <c r="J231" s="452"/>
      <c r="K231" s="91" t="s">
        <v>1842</v>
      </c>
      <c r="L231" s="90">
        <f t="shared" si="87"/>
        <v>0</v>
      </c>
      <c r="M231" s="90">
        <f t="shared" si="88"/>
        <v>0</v>
      </c>
      <c r="N231" s="90">
        <f t="shared" si="89"/>
        <v>0</v>
      </c>
      <c r="O231" s="92">
        <f t="shared" si="90"/>
        <v>0</v>
      </c>
      <c r="P231" s="92">
        <f t="shared" si="91"/>
        <v>0</v>
      </c>
      <c r="Q231" s="92">
        <f t="shared" si="92"/>
        <v>0</v>
      </c>
    </row>
    <row r="232" hidden="1" outlineLevel="1">
      <c r="A232" s="191"/>
      <c r="B232" s="10"/>
      <c r="C232" s="179" t="s">
        <v>136</v>
      </c>
      <c r="D232" s="129" t="s">
        <v>1845</v>
      </c>
      <c r="E232" s="129" t="s">
        <v>1758</v>
      </c>
      <c r="F232" s="130">
        <v>200.0</v>
      </c>
      <c r="G232" s="127"/>
      <c r="H232" s="44" t="b">
        <v>1</v>
      </c>
      <c r="I232" s="452"/>
      <c r="J232" s="452"/>
      <c r="K232" s="91" t="s">
        <v>1840</v>
      </c>
      <c r="L232" s="90">
        <f t="shared" si="87"/>
        <v>0</v>
      </c>
      <c r="M232" s="90">
        <f t="shared" si="88"/>
        <v>0</v>
      </c>
      <c r="N232" s="90">
        <f t="shared" si="89"/>
        <v>0</v>
      </c>
      <c r="O232" s="92">
        <f t="shared" si="90"/>
        <v>0</v>
      </c>
      <c r="P232" s="92">
        <f t="shared" si="91"/>
        <v>0</v>
      </c>
      <c r="Q232" s="92">
        <f t="shared" si="92"/>
        <v>0</v>
      </c>
    </row>
    <row r="233" hidden="1" outlineLevel="1">
      <c r="A233" s="190">
        <v>45390.0</v>
      </c>
      <c r="B233" s="126">
        <f t="shared" ref="B233:B234" si="94">A233</f>
        <v>45390</v>
      </c>
      <c r="C233" s="179" t="s">
        <v>118</v>
      </c>
      <c r="D233" s="129" t="s">
        <v>1756</v>
      </c>
      <c r="E233" s="129" t="s">
        <v>1758</v>
      </c>
      <c r="F233" s="130">
        <v>150.0</v>
      </c>
      <c r="G233" s="127"/>
      <c r="H233" s="44" t="b">
        <v>1</v>
      </c>
      <c r="I233" s="452"/>
      <c r="J233" s="452"/>
      <c r="K233" s="91" t="s">
        <v>1828</v>
      </c>
      <c r="L233" s="90">
        <f t="shared" si="87"/>
        <v>3</v>
      </c>
      <c r="M233" s="90">
        <f t="shared" si="88"/>
        <v>0</v>
      </c>
      <c r="N233" s="90">
        <f t="shared" si="89"/>
        <v>3</v>
      </c>
      <c r="O233" s="92">
        <f t="shared" si="90"/>
        <v>600</v>
      </c>
      <c r="P233" s="92">
        <f t="shared" si="91"/>
        <v>600</v>
      </c>
      <c r="Q233" s="92">
        <f t="shared" si="92"/>
        <v>0</v>
      </c>
    </row>
    <row r="234" hidden="1" outlineLevel="1">
      <c r="A234" s="190">
        <v>45391.0</v>
      </c>
      <c r="B234" s="97">
        <f t="shared" si="94"/>
        <v>45391</v>
      </c>
      <c r="C234" s="179" t="s">
        <v>118</v>
      </c>
      <c r="D234" s="129" t="s">
        <v>1756</v>
      </c>
      <c r="E234" s="129" t="s">
        <v>469</v>
      </c>
      <c r="F234" s="130">
        <v>150.0</v>
      </c>
      <c r="G234" s="129" t="s">
        <v>2042</v>
      </c>
      <c r="H234" s="44" t="b">
        <v>1</v>
      </c>
      <c r="I234" s="452"/>
      <c r="J234" s="452"/>
      <c r="K234" s="91" t="s">
        <v>1844</v>
      </c>
      <c r="L234" s="90">
        <f t="shared" si="87"/>
        <v>0</v>
      </c>
      <c r="M234" s="90">
        <f t="shared" si="88"/>
        <v>0</v>
      </c>
      <c r="N234" s="90">
        <f t="shared" si="89"/>
        <v>0</v>
      </c>
      <c r="O234" s="92">
        <f t="shared" si="90"/>
        <v>0</v>
      </c>
      <c r="P234" s="92">
        <f t="shared" si="91"/>
        <v>0</v>
      </c>
      <c r="Q234" s="92">
        <f t="shared" si="92"/>
        <v>0</v>
      </c>
    </row>
    <row r="235" hidden="1" outlineLevel="1">
      <c r="A235" s="191"/>
      <c r="B235" s="10"/>
      <c r="C235" s="179" t="s">
        <v>118</v>
      </c>
      <c r="D235" s="129" t="s">
        <v>183</v>
      </c>
      <c r="E235" s="129" t="s">
        <v>1758</v>
      </c>
      <c r="F235" s="130">
        <v>150.0</v>
      </c>
      <c r="G235" s="127"/>
      <c r="H235" s="44" t="b">
        <v>1</v>
      </c>
      <c r="I235" s="452"/>
      <c r="J235" s="452"/>
      <c r="K235" s="91" t="s">
        <v>1820</v>
      </c>
      <c r="L235" s="90">
        <f t="shared" si="87"/>
        <v>1</v>
      </c>
      <c r="M235" s="90">
        <f t="shared" si="88"/>
        <v>0</v>
      </c>
      <c r="N235" s="90">
        <f t="shared" si="89"/>
        <v>1</v>
      </c>
      <c r="O235" s="92">
        <f t="shared" si="90"/>
        <v>150</v>
      </c>
      <c r="P235" s="92">
        <f t="shared" si="91"/>
        <v>150</v>
      </c>
      <c r="Q235" s="92">
        <f t="shared" si="92"/>
        <v>0</v>
      </c>
    </row>
    <row r="236" hidden="1" outlineLevel="1">
      <c r="A236" s="190">
        <v>45392.0</v>
      </c>
      <c r="B236" s="126">
        <f t="shared" ref="B236:B238" si="95">A236</f>
        <v>45392</v>
      </c>
      <c r="C236" s="179" t="s">
        <v>118</v>
      </c>
      <c r="D236" s="129" t="s">
        <v>1756</v>
      </c>
      <c r="E236" s="129" t="s">
        <v>1758</v>
      </c>
      <c r="F236" s="130">
        <v>150.0</v>
      </c>
      <c r="G236" s="127"/>
      <c r="H236" s="44" t="b">
        <v>1</v>
      </c>
      <c r="I236" s="452"/>
      <c r="J236" s="452"/>
      <c r="K236" s="91" t="s">
        <v>1761</v>
      </c>
      <c r="L236" s="90">
        <f t="shared" si="87"/>
        <v>1</v>
      </c>
      <c r="M236" s="90">
        <f t="shared" si="88"/>
        <v>0</v>
      </c>
      <c r="N236" s="90">
        <f t="shared" si="89"/>
        <v>1</v>
      </c>
      <c r="O236" s="92">
        <f t="shared" si="90"/>
        <v>150</v>
      </c>
      <c r="P236" s="92">
        <f t="shared" si="91"/>
        <v>150</v>
      </c>
      <c r="Q236" s="92">
        <f t="shared" si="92"/>
        <v>0</v>
      </c>
    </row>
    <row r="237" hidden="1" outlineLevel="1">
      <c r="A237" s="190">
        <v>45393.0</v>
      </c>
      <c r="B237" s="126">
        <f t="shared" si="95"/>
        <v>45393</v>
      </c>
      <c r="C237" s="179" t="s">
        <v>118</v>
      </c>
      <c r="D237" s="129" t="s">
        <v>1756</v>
      </c>
      <c r="E237" s="129" t="s">
        <v>1758</v>
      </c>
      <c r="F237" s="130">
        <v>150.0</v>
      </c>
      <c r="G237" s="127"/>
      <c r="H237" s="44" t="b">
        <v>1</v>
      </c>
      <c r="I237" s="452"/>
      <c r="J237" s="452"/>
      <c r="K237" s="91" t="s">
        <v>1849</v>
      </c>
      <c r="L237" s="90">
        <f t="shared" si="87"/>
        <v>1</v>
      </c>
      <c r="M237" s="90">
        <f t="shared" si="88"/>
        <v>0</v>
      </c>
      <c r="N237" s="90">
        <f t="shared" si="89"/>
        <v>1</v>
      </c>
      <c r="O237" s="92">
        <f t="shared" si="90"/>
        <v>150</v>
      </c>
      <c r="P237" s="92">
        <f t="shared" si="91"/>
        <v>150</v>
      </c>
      <c r="Q237" s="92">
        <f t="shared" si="92"/>
        <v>0</v>
      </c>
    </row>
    <row r="238" hidden="1" outlineLevel="1">
      <c r="A238" s="190">
        <v>45394.0</v>
      </c>
      <c r="B238" s="97">
        <f t="shared" si="95"/>
        <v>45394</v>
      </c>
      <c r="C238" s="179" t="s">
        <v>118</v>
      </c>
      <c r="D238" s="129" t="s">
        <v>1756</v>
      </c>
      <c r="E238" s="129" t="s">
        <v>469</v>
      </c>
      <c r="F238" s="130">
        <v>150.0</v>
      </c>
      <c r="G238" s="127"/>
      <c r="H238" s="44" t="b">
        <v>1</v>
      </c>
      <c r="I238" s="452"/>
      <c r="J238" s="452"/>
      <c r="K238" s="91" t="s">
        <v>1792</v>
      </c>
      <c r="L238" s="90">
        <f t="shared" si="87"/>
        <v>0</v>
      </c>
      <c r="M238" s="90">
        <f t="shared" si="88"/>
        <v>0</v>
      </c>
      <c r="N238" s="90">
        <f t="shared" si="89"/>
        <v>0</v>
      </c>
      <c r="O238" s="92">
        <f t="shared" si="90"/>
        <v>0</v>
      </c>
      <c r="P238" s="92">
        <f t="shared" si="91"/>
        <v>0</v>
      </c>
      <c r="Q238" s="92">
        <f t="shared" si="92"/>
        <v>0</v>
      </c>
    </row>
    <row r="239" hidden="1" outlineLevel="1">
      <c r="A239" s="191"/>
      <c r="B239" s="10"/>
      <c r="C239" s="179" t="s">
        <v>118</v>
      </c>
      <c r="D239" s="129" t="s">
        <v>183</v>
      </c>
      <c r="E239" s="129" t="s">
        <v>1758</v>
      </c>
      <c r="F239" s="130">
        <v>150.0</v>
      </c>
      <c r="G239" s="127"/>
      <c r="H239" s="44" t="b">
        <v>1</v>
      </c>
      <c r="I239" s="452"/>
      <c r="J239" s="452"/>
      <c r="K239" s="276"/>
      <c r="L239" s="276"/>
      <c r="M239" s="276"/>
      <c r="N239" s="276"/>
      <c r="O239" s="276"/>
      <c r="P239" s="276"/>
      <c r="Q239" s="276"/>
    </row>
    <row r="240" hidden="1" outlineLevel="1">
      <c r="A240" s="190">
        <v>45395.0</v>
      </c>
      <c r="B240" s="126">
        <f t="shared" ref="B240:B241" si="96">A240</f>
        <v>45395</v>
      </c>
      <c r="C240" s="179" t="s">
        <v>118</v>
      </c>
      <c r="D240" s="129" t="s">
        <v>1756</v>
      </c>
      <c r="E240" s="129" t="s">
        <v>1758</v>
      </c>
      <c r="F240" s="130">
        <v>150.0</v>
      </c>
      <c r="G240" s="127"/>
      <c r="H240" s="44" t="b">
        <v>1</v>
      </c>
      <c r="I240" s="452"/>
      <c r="J240" s="452"/>
      <c r="K240" s="91"/>
      <c r="L240" s="90"/>
      <c r="M240" s="90"/>
      <c r="N240" s="90"/>
      <c r="O240" s="92"/>
      <c r="P240" s="92"/>
      <c r="Q240" s="90"/>
    </row>
    <row r="241" hidden="1" outlineLevel="1">
      <c r="A241" s="190">
        <v>45396.0</v>
      </c>
      <c r="B241" s="97">
        <f t="shared" si="96"/>
        <v>45396</v>
      </c>
      <c r="C241" s="179" t="s">
        <v>118</v>
      </c>
      <c r="D241" s="129" t="s">
        <v>1828</v>
      </c>
      <c r="E241" s="129" t="s">
        <v>1758</v>
      </c>
      <c r="F241" s="130">
        <v>200.0</v>
      </c>
      <c r="G241" s="127"/>
      <c r="H241" s="44" t="b">
        <v>1</v>
      </c>
      <c r="I241" s="452"/>
      <c r="J241" s="452"/>
      <c r="K241" s="477" t="s">
        <v>195</v>
      </c>
      <c r="L241" s="478">
        <f t="shared" ref="L241:O241" si="97">SUM(L220:L240)</f>
        <v>37</v>
      </c>
      <c r="M241" s="478">
        <f t="shared" si="97"/>
        <v>8</v>
      </c>
      <c r="N241" s="478">
        <f t="shared" si="97"/>
        <v>45</v>
      </c>
      <c r="O241" s="479">
        <f t="shared" si="97"/>
        <v>7050</v>
      </c>
      <c r="P241" s="479">
        <f>SUM(P225:P240)</f>
        <v>7050</v>
      </c>
      <c r="Q241" s="479">
        <f>SUM(Q220:Q240)</f>
        <v>0</v>
      </c>
    </row>
    <row r="242" hidden="1" outlineLevel="1">
      <c r="A242" s="191"/>
      <c r="B242" s="10"/>
      <c r="C242" s="179" t="s">
        <v>136</v>
      </c>
      <c r="D242" s="129" t="s">
        <v>1756</v>
      </c>
      <c r="E242" s="129" t="s">
        <v>1758</v>
      </c>
      <c r="F242" s="130">
        <v>200.0</v>
      </c>
      <c r="G242" s="127"/>
      <c r="H242" s="44" t="b">
        <v>1</v>
      </c>
      <c r="I242" s="51"/>
      <c r="J242" s="51"/>
      <c r="K242" s="553"/>
      <c r="L242" s="51"/>
      <c r="M242" s="51"/>
      <c r="O242" s="565"/>
      <c r="P242" s="554"/>
      <c r="Q242" s="565"/>
    </row>
    <row r="243" hidden="1" outlineLevel="1">
      <c r="A243" s="190">
        <v>45397.0</v>
      </c>
      <c r="B243" s="126">
        <f t="shared" ref="B243:B244" si="98">A243</f>
        <v>45397</v>
      </c>
      <c r="C243" s="179" t="s">
        <v>118</v>
      </c>
      <c r="D243" s="129" t="s">
        <v>1756</v>
      </c>
      <c r="E243" s="129" t="s">
        <v>1758</v>
      </c>
      <c r="F243" s="130">
        <v>150.0</v>
      </c>
      <c r="G243" s="127"/>
      <c r="H243" s="44" t="b">
        <v>1</v>
      </c>
      <c r="I243" s="51"/>
      <c r="J243" s="51"/>
      <c r="K243" s="553"/>
      <c r="L243" s="51"/>
      <c r="M243" s="51"/>
      <c r="O243" s="565"/>
      <c r="P243" s="554"/>
      <c r="Q243" s="565"/>
    </row>
    <row r="244" hidden="1" outlineLevel="1">
      <c r="A244" s="190">
        <v>45398.0</v>
      </c>
      <c r="B244" s="97">
        <f t="shared" si="98"/>
        <v>45398</v>
      </c>
      <c r="C244" s="179" t="s">
        <v>118</v>
      </c>
      <c r="D244" s="129" t="s">
        <v>183</v>
      </c>
      <c r="E244" s="129" t="s">
        <v>1758</v>
      </c>
      <c r="F244" s="130">
        <v>150.0</v>
      </c>
      <c r="G244" s="127"/>
      <c r="H244" s="44" t="b">
        <v>1</v>
      </c>
      <c r="I244" s="51"/>
      <c r="J244" s="51"/>
      <c r="K244" s="566"/>
      <c r="L244" s="51"/>
      <c r="M244" s="51"/>
      <c r="O244" s="554"/>
      <c r="P244" s="554"/>
    </row>
    <row r="245" hidden="1" outlineLevel="1">
      <c r="A245" s="191"/>
      <c r="B245" s="10"/>
      <c r="C245" s="179" t="s">
        <v>118</v>
      </c>
      <c r="D245" s="129" t="s">
        <v>1756</v>
      </c>
      <c r="E245" s="129" t="s">
        <v>469</v>
      </c>
      <c r="F245" s="130">
        <v>150.0</v>
      </c>
      <c r="G245" s="127"/>
      <c r="H245" s="44" t="b">
        <v>1</v>
      </c>
      <c r="I245" s="51"/>
      <c r="J245" s="51"/>
      <c r="K245" s="566"/>
      <c r="L245" s="51"/>
      <c r="M245" s="51"/>
      <c r="O245" s="554"/>
      <c r="P245" s="554"/>
    </row>
    <row r="246" hidden="1" outlineLevel="1">
      <c r="A246" s="190">
        <v>45399.0</v>
      </c>
      <c r="B246" s="126">
        <f t="shared" ref="B246:B248" si="99">A246</f>
        <v>45399</v>
      </c>
      <c r="C246" s="179" t="s">
        <v>118</v>
      </c>
      <c r="D246" s="129" t="s">
        <v>1756</v>
      </c>
      <c r="E246" s="129" t="s">
        <v>1758</v>
      </c>
      <c r="F246" s="130">
        <v>150.0</v>
      </c>
      <c r="G246" s="127"/>
      <c r="H246" s="44" t="b">
        <v>1</v>
      </c>
      <c r="I246" s="51"/>
      <c r="J246" s="51"/>
      <c r="K246" s="452"/>
      <c r="L246" s="51"/>
      <c r="M246" s="51"/>
      <c r="N246" s="51"/>
      <c r="O246" s="554"/>
      <c r="P246" s="554"/>
      <c r="Q246" s="554"/>
    </row>
    <row r="247" hidden="1" outlineLevel="1">
      <c r="A247" s="190">
        <v>45400.0</v>
      </c>
      <c r="B247" s="126">
        <f t="shared" si="99"/>
        <v>45400</v>
      </c>
      <c r="C247" s="179" t="s">
        <v>118</v>
      </c>
      <c r="D247" s="129" t="s">
        <v>1756</v>
      </c>
      <c r="E247" s="129" t="s">
        <v>1758</v>
      </c>
      <c r="F247" s="130">
        <v>150.0</v>
      </c>
      <c r="G247" s="129"/>
      <c r="H247" s="44" t="b">
        <v>1</v>
      </c>
      <c r="I247" s="452"/>
      <c r="J247" s="452"/>
    </row>
    <row r="248" hidden="1" outlineLevel="1">
      <c r="A248" s="190">
        <v>45401.0</v>
      </c>
      <c r="B248" s="97">
        <f t="shared" si="99"/>
        <v>45401</v>
      </c>
      <c r="C248" s="179" t="s">
        <v>118</v>
      </c>
      <c r="D248" s="129" t="s">
        <v>1756</v>
      </c>
      <c r="E248" s="129" t="s">
        <v>1758</v>
      </c>
      <c r="F248" s="130">
        <v>150.0</v>
      </c>
      <c r="G248" s="129"/>
      <c r="H248" s="44" t="b">
        <v>1</v>
      </c>
      <c r="I248" s="452"/>
      <c r="J248" s="452"/>
    </row>
    <row r="249" hidden="1" outlineLevel="1">
      <c r="A249" s="191"/>
      <c r="B249" s="10"/>
      <c r="C249" s="179" t="s">
        <v>118</v>
      </c>
      <c r="D249" s="129" t="s">
        <v>183</v>
      </c>
      <c r="E249" s="129" t="s">
        <v>1758</v>
      </c>
      <c r="F249" s="130">
        <v>0.0</v>
      </c>
      <c r="G249" s="129"/>
      <c r="H249" s="44" t="b">
        <v>1</v>
      </c>
      <c r="I249" s="452"/>
      <c r="J249" s="452"/>
    </row>
    <row r="250" hidden="1" outlineLevel="1">
      <c r="A250" s="190">
        <v>45402.0</v>
      </c>
      <c r="B250" s="126">
        <f t="shared" ref="B250:B251" si="100">A250</f>
        <v>45402</v>
      </c>
      <c r="C250" s="179" t="s">
        <v>118</v>
      </c>
      <c r="D250" s="129" t="s">
        <v>1756</v>
      </c>
      <c r="E250" s="129" t="s">
        <v>1758</v>
      </c>
      <c r="F250" s="130">
        <v>150.0</v>
      </c>
      <c r="G250" s="129"/>
      <c r="H250" s="44" t="b">
        <v>1</v>
      </c>
      <c r="I250" s="452"/>
      <c r="J250" s="452"/>
    </row>
    <row r="251" hidden="1" outlineLevel="1">
      <c r="A251" s="190">
        <v>45403.0</v>
      </c>
      <c r="B251" s="97">
        <f t="shared" si="100"/>
        <v>45403</v>
      </c>
      <c r="C251" s="179" t="s">
        <v>118</v>
      </c>
      <c r="D251" s="129" t="s">
        <v>1828</v>
      </c>
      <c r="E251" s="129" t="s">
        <v>1758</v>
      </c>
      <c r="F251" s="130">
        <v>200.0</v>
      </c>
      <c r="G251" s="522"/>
      <c r="H251" s="44" t="b">
        <v>1</v>
      </c>
      <c r="I251" s="452"/>
      <c r="J251" s="452"/>
    </row>
    <row r="252" hidden="1" outlineLevel="1">
      <c r="A252" s="191"/>
      <c r="B252" s="10"/>
      <c r="C252" s="179" t="s">
        <v>136</v>
      </c>
      <c r="D252" s="129" t="s">
        <v>183</v>
      </c>
      <c r="E252" s="129" t="s">
        <v>1758</v>
      </c>
      <c r="F252" s="130">
        <v>200.0</v>
      </c>
      <c r="G252" s="522"/>
      <c r="H252" s="44" t="b">
        <v>1</v>
      </c>
    </row>
    <row r="253" hidden="1" outlineLevel="1">
      <c r="A253" s="190">
        <v>45404.0</v>
      </c>
      <c r="B253" s="126">
        <f t="shared" ref="B253:B254" si="101">A253</f>
        <v>45404</v>
      </c>
      <c r="C253" s="179" t="s">
        <v>118</v>
      </c>
      <c r="D253" s="129" t="s">
        <v>1820</v>
      </c>
      <c r="E253" s="129" t="s">
        <v>1758</v>
      </c>
      <c r="F253" s="130">
        <v>150.0</v>
      </c>
      <c r="G253" s="522"/>
      <c r="H253" s="44" t="b">
        <v>1</v>
      </c>
    </row>
    <row r="254" hidden="1" outlineLevel="1">
      <c r="A254" s="190">
        <v>45405.0</v>
      </c>
      <c r="B254" s="97">
        <f t="shared" si="101"/>
        <v>45405</v>
      </c>
      <c r="C254" s="179" t="s">
        <v>118</v>
      </c>
      <c r="D254" s="129" t="s">
        <v>1756</v>
      </c>
      <c r="E254" s="129" t="s">
        <v>469</v>
      </c>
      <c r="F254" s="130">
        <v>150.0</v>
      </c>
      <c r="G254" s="127"/>
      <c r="H254" s="44" t="b">
        <v>1</v>
      </c>
    </row>
    <row r="255" hidden="1" outlineLevel="1">
      <c r="A255" s="191"/>
      <c r="B255" s="10"/>
      <c r="C255" s="179" t="s">
        <v>118</v>
      </c>
      <c r="D255" s="129" t="s">
        <v>183</v>
      </c>
      <c r="E255" s="129" t="s">
        <v>1758</v>
      </c>
      <c r="F255" s="130">
        <v>150.0</v>
      </c>
      <c r="G255" s="127"/>
      <c r="H255" s="44" t="b">
        <v>1</v>
      </c>
    </row>
    <row r="256" hidden="1" outlineLevel="1">
      <c r="A256" s="190">
        <v>45406.0</v>
      </c>
      <c r="B256" s="126">
        <f t="shared" ref="B256:B258" si="102">A256</f>
        <v>45406</v>
      </c>
      <c r="C256" s="179" t="s">
        <v>118</v>
      </c>
      <c r="D256" s="129" t="s">
        <v>1756</v>
      </c>
      <c r="E256" s="129" t="s">
        <v>1758</v>
      </c>
      <c r="F256" s="130">
        <v>150.0</v>
      </c>
      <c r="G256" s="127"/>
      <c r="H256" s="44" t="b">
        <v>1</v>
      </c>
    </row>
    <row r="257" hidden="1" outlineLevel="1">
      <c r="A257" s="190">
        <v>45407.0</v>
      </c>
      <c r="B257" s="126">
        <f t="shared" si="102"/>
        <v>45407</v>
      </c>
      <c r="C257" s="179" t="s">
        <v>118</v>
      </c>
      <c r="D257" s="129" t="s">
        <v>1756</v>
      </c>
      <c r="E257" s="129" t="s">
        <v>1758</v>
      </c>
      <c r="F257" s="130">
        <v>150.0</v>
      </c>
      <c r="G257" s="127"/>
      <c r="H257" s="44" t="b">
        <v>1</v>
      </c>
    </row>
    <row r="258" hidden="1" outlineLevel="1">
      <c r="A258" s="190">
        <v>45408.0</v>
      </c>
      <c r="B258" s="97">
        <f t="shared" si="102"/>
        <v>45408</v>
      </c>
      <c r="C258" s="179" t="s">
        <v>118</v>
      </c>
      <c r="D258" s="129" t="s">
        <v>1756</v>
      </c>
      <c r="E258" s="129" t="s">
        <v>469</v>
      </c>
      <c r="F258" s="130">
        <v>150.0</v>
      </c>
      <c r="G258" s="127"/>
      <c r="H258" s="44" t="b">
        <v>1</v>
      </c>
    </row>
    <row r="259" hidden="1" outlineLevel="1">
      <c r="A259" s="191"/>
      <c r="B259" s="10"/>
      <c r="C259" s="179" t="s">
        <v>118</v>
      </c>
      <c r="D259" s="129" t="s">
        <v>183</v>
      </c>
      <c r="E259" s="129" t="s">
        <v>1758</v>
      </c>
      <c r="F259" s="130">
        <v>150.0</v>
      </c>
      <c r="G259" s="127"/>
      <c r="H259" s="44" t="b">
        <v>1</v>
      </c>
    </row>
    <row r="260" hidden="1" outlineLevel="1">
      <c r="A260" s="190">
        <v>45409.0</v>
      </c>
      <c r="B260" s="126">
        <f t="shared" ref="B260:B261" si="103">A260</f>
        <v>45409</v>
      </c>
      <c r="C260" s="179" t="s">
        <v>118</v>
      </c>
      <c r="D260" s="129" t="s">
        <v>1756</v>
      </c>
      <c r="E260" s="129" t="s">
        <v>1758</v>
      </c>
      <c r="F260" s="130">
        <v>150.0</v>
      </c>
      <c r="G260" s="127"/>
      <c r="H260" s="44" t="b">
        <v>1</v>
      </c>
      <c r="K260" s="553"/>
      <c r="L260" s="51"/>
      <c r="M260" s="51"/>
      <c r="O260" s="554"/>
      <c r="P260" s="554"/>
    </row>
    <row r="261" hidden="1" outlineLevel="1">
      <c r="A261" s="190">
        <v>45410.0</v>
      </c>
      <c r="B261" s="97">
        <f t="shared" si="103"/>
        <v>45410</v>
      </c>
      <c r="C261" s="179" t="s">
        <v>118</v>
      </c>
      <c r="D261" s="129" t="s">
        <v>562</v>
      </c>
      <c r="E261" s="129" t="s">
        <v>1758</v>
      </c>
      <c r="F261" s="130">
        <v>200.0</v>
      </c>
      <c r="G261" s="127"/>
      <c r="H261" s="44" t="b">
        <v>1</v>
      </c>
      <c r="K261" s="51"/>
      <c r="L261" s="51"/>
      <c r="M261" s="51"/>
    </row>
    <row r="262" hidden="1" outlineLevel="1">
      <c r="A262" s="191"/>
      <c r="B262" s="58"/>
      <c r="C262" s="179" t="s">
        <v>136</v>
      </c>
      <c r="D262" s="129" t="s">
        <v>1756</v>
      </c>
      <c r="E262" s="129" t="s">
        <v>1758</v>
      </c>
      <c r="F262" s="130">
        <v>200.0</v>
      </c>
      <c r="G262" s="127"/>
      <c r="H262" s="44" t="b">
        <v>1</v>
      </c>
      <c r="K262" s="51"/>
      <c r="L262" s="51"/>
      <c r="M262" s="51"/>
    </row>
    <row r="263" hidden="1" outlineLevel="1">
      <c r="A263" s="191"/>
      <c r="B263" s="10"/>
      <c r="C263" s="179" t="s">
        <v>136</v>
      </c>
      <c r="D263" s="129" t="s">
        <v>1818</v>
      </c>
      <c r="E263" s="129" t="s">
        <v>1758</v>
      </c>
      <c r="F263" s="130">
        <v>200.0</v>
      </c>
      <c r="G263" s="129" t="s">
        <v>567</v>
      </c>
      <c r="H263" s="44" t="b">
        <v>1</v>
      </c>
      <c r="K263" s="51"/>
      <c r="L263" s="51"/>
      <c r="M263" s="51"/>
    </row>
    <row r="264" hidden="1" outlineLevel="1">
      <c r="A264" s="190">
        <v>45411.0</v>
      </c>
      <c r="B264" s="126">
        <f t="shared" ref="B264:B265" si="104">A264</f>
        <v>45411</v>
      </c>
      <c r="C264" s="179" t="s">
        <v>118</v>
      </c>
      <c r="D264" s="129" t="s">
        <v>1845</v>
      </c>
      <c r="E264" s="129" t="s">
        <v>1758</v>
      </c>
      <c r="F264" s="130">
        <v>150.0</v>
      </c>
      <c r="G264" s="127"/>
      <c r="H264" s="44" t="b">
        <v>1</v>
      </c>
      <c r="K264" s="51"/>
      <c r="L264" s="51"/>
      <c r="M264" s="51"/>
    </row>
    <row r="265" hidden="1" outlineLevel="1">
      <c r="A265" s="190">
        <v>45412.0</v>
      </c>
      <c r="B265" s="97">
        <f t="shared" si="104"/>
        <v>45412</v>
      </c>
      <c r="C265" s="179" t="s">
        <v>118</v>
      </c>
      <c r="D265" s="129" t="s">
        <v>1756</v>
      </c>
      <c r="E265" s="129" t="s">
        <v>469</v>
      </c>
      <c r="F265" s="130">
        <v>150.0</v>
      </c>
      <c r="G265" s="127"/>
      <c r="H265" s="44" t="b">
        <v>1</v>
      </c>
      <c r="K265" s="51"/>
      <c r="L265" s="51"/>
      <c r="M265" s="51"/>
    </row>
    <row r="266" hidden="1" outlineLevel="1">
      <c r="A266" s="191"/>
      <c r="B266" s="10"/>
      <c r="C266" s="179" t="s">
        <v>118</v>
      </c>
      <c r="D266" s="129" t="s">
        <v>183</v>
      </c>
      <c r="E266" s="129" t="s">
        <v>1758</v>
      </c>
      <c r="F266" s="130">
        <v>150.0</v>
      </c>
      <c r="G266" s="127"/>
      <c r="H266" s="44" t="b">
        <v>1</v>
      </c>
      <c r="K266" s="51"/>
      <c r="L266" s="51"/>
      <c r="M266" s="51"/>
    </row>
    <row r="267">
      <c r="A267" s="484" t="s">
        <v>195</v>
      </c>
      <c r="B267" s="27"/>
      <c r="C267" s="27"/>
      <c r="D267" s="27"/>
      <c r="E267" s="28"/>
      <c r="F267" s="485">
        <f>SUM(F222:F266)</f>
        <v>7050</v>
      </c>
      <c r="G267" s="486"/>
      <c r="H267" s="28"/>
    </row>
    <row r="268" collapsed="1">
      <c r="A268" s="339" t="s">
        <v>564</v>
      </c>
      <c r="B268" s="246"/>
      <c r="C268" s="246"/>
      <c r="D268" s="246"/>
      <c r="E268" s="246"/>
      <c r="F268" s="246"/>
      <c r="G268" s="246"/>
      <c r="H268" s="247"/>
    </row>
    <row r="269" hidden="1" outlineLevel="1">
      <c r="A269" s="190">
        <v>45413.0</v>
      </c>
      <c r="B269" s="97">
        <f t="shared" ref="B269:B271" si="105">A269</f>
        <v>45413</v>
      </c>
      <c r="C269" s="179" t="s">
        <v>118</v>
      </c>
      <c r="D269" s="129" t="s">
        <v>1756</v>
      </c>
      <c r="E269" s="129" t="s">
        <v>1758</v>
      </c>
      <c r="F269" s="130">
        <v>150.0</v>
      </c>
      <c r="G269" s="127"/>
      <c r="H269" s="44" t="b">
        <v>1</v>
      </c>
      <c r="K269" s="440" t="s">
        <v>2043</v>
      </c>
      <c r="L269" s="27"/>
      <c r="M269" s="27"/>
      <c r="N269" s="27"/>
      <c r="O269" s="27"/>
      <c r="P269" s="27"/>
      <c r="Q269" s="28"/>
    </row>
    <row r="270" hidden="1" outlineLevel="1">
      <c r="A270" s="190">
        <v>45414.0</v>
      </c>
      <c r="B270" s="97">
        <f t="shared" si="105"/>
        <v>45414</v>
      </c>
      <c r="C270" s="179" t="s">
        <v>118</v>
      </c>
      <c r="D270" s="129" t="s">
        <v>1756</v>
      </c>
      <c r="E270" s="129" t="s">
        <v>1758</v>
      </c>
      <c r="F270" s="130">
        <v>150.0</v>
      </c>
      <c r="G270" s="127"/>
      <c r="H270" s="44" t="b">
        <v>1</v>
      </c>
      <c r="K270" s="441" t="s">
        <v>1749</v>
      </c>
      <c r="L270" s="441" t="s">
        <v>1758</v>
      </c>
      <c r="M270" s="441" t="s">
        <v>469</v>
      </c>
      <c r="N270" s="441" t="s">
        <v>195</v>
      </c>
      <c r="O270" s="441" t="s">
        <v>1764</v>
      </c>
      <c r="P270" s="441" t="s">
        <v>1765</v>
      </c>
      <c r="Q270" s="441" t="s">
        <v>1766</v>
      </c>
    </row>
    <row r="271" hidden="1" outlineLevel="1">
      <c r="A271" s="190">
        <v>45415.0</v>
      </c>
      <c r="B271" s="97">
        <f t="shared" si="105"/>
        <v>45415</v>
      </c>
      <c r="C271" s="179" t="s">
        <v>118</v>
      </c>
      <c r="D271" s="129" t="s">
        <v>183</v>
      </c>
      <c r="E271" s="129" t="s">
        <v>1758</v>
      </c>
      <c r="F271" s="130">
        <v>150.0</v>
      </c>
      <c r="G271" s="127"/>
      <c r="H271" s="44" t="b">
        <v>1</v>
      </c>
      <c r="K271" s="91" t="s">
        <v>1756</v>
      </c>
      <c r="L271" s="90">
        <f t="shared" ref="L271:L284" si="106">COUNTIFS($D$269:$D$314, $K271,$E$269:$E$314,$L$270)</f>
        <v>18</v>
      </c>
      <c r="M271" s="90">
        <f t="shared" ref="M271:M284" si="107">COUNTIFS($D$269:$D$314, $K271,$E$269:$E$314,$M$270)</f>
        <v>9</v>
      </c>
      <c r="N271" s="90">
        <f t="shared" ref="N271:N284" si="108">L271+M271</f>
        <v>27</v>
      </c>
      <c r="O271" s="92">
        <f t="shared" ref="O271:O284" si="109">SUMIFS($F$269:$F$314,$D$269:$D$314,$K271)</f>
        <v>4100</v>
      </c>
      <c r="P271" s="92">
        <f t="shared" ref="P271:P284" si="110">SUMIFS($F$269:$F$314,$D$269:$D$314,$K271,$H$269:$H$314,TRUE)</f>
        <v>4100</v>
      </c>
      <c r="Q271" s="92">
        <f t="shared" ref="Q271:Q284" si="111">O271-P271</f>
        <v>0</v>
      </c>
    </row>
    <row r="272" hidden="1" outlineLevel="1">
      <c r="A272" s="191"/>
      <c r="B272" s="58"/>
      <c r="C272" s="179" t="s">
        <v>118</v>
      </c>
      <c r="D272" s="129" t="s">
        <v>1756</v>
      </c>
      <c r="E272" s="129" t="s">
        <v>469</v>
      </c>
      <c r="F272" s="130">
        <v>150.0</v>
      </c>
      <c r="G272" s="127"/>
      <c r="H272" s="44" t="b">
        <v>1</v>
      </c>
      <c r="K272" s="91" t="s">
        <v>183</v>
      </c>
      <c r="L272" s="90">
        <f t="shared" si="106"/>
        <v>8</v>
      </c>
      <c r="M272" s="90">
        <f t="shared" si="107"/>
        <v>0</v>
      </c>
      <c r="N272" s="90">
        <f t="shared" si="108"/>
        <v>8</v>
      </c>
      <c r="O272" s="92">
        <f t="shared" si="109"/>
        <v>1200</v>
      </c>
      <c r="P272" s="92">
        <f t="shared" si="110"/>
        <v>1200</v>
      </c>
      <c r="Q272" s="92">
        <f t="shared" si="111"/>
        <v>0</v>
      </c>
    </row>
    <row r="273" hidden="1" outlineLevel="1">
      <c r="A273" s="191"/>
      <c r="B273" s="58"/>
      <c r="C273" s="179" t="s">
        <v>136</v>
      </c>
      <c r="D273" s="129" t="s">
        <v>1828</v>
      </c>
      <c r="E273" s="129" t="s">
        <v>1758</v>
      </c>
      <c r="F273" s="130">
        <v>150.0</v>
      </c>
      <c r="G273" s="129" t="s">
        <v>139</v>
      </c>
      <c r="H273" s="44" t="b">
        <v>1</v>
      </c>
      <c r="K273" s="91" t="s">
        <v>1805</v>
      </c>
      <c r="L273" s="90">
        <f t="shared" si="106"/>
        <v>1</v>
      </c>
      <c r="M273" s="90">
        <f t="shared" si="107"/>
        <v>0</v>
      </c>
      <c r="N273" s="90">
        <f t="shared" si="108"/>
        <v>1</v>
      </c>
      <c r="O273" s="92">
        <f t="shared" si="109"/>
        <v>200</v>
      </c>
      <c r="P273" s="92">
        <f t="shared" si="110"/>
        <v>200</v>
      </c>
      <c r="Q273" s="92">
        <f t="shared" si="111"/>
        <v>0</v>
      </c>
    </row>
    <row r="274" hidden="1" outlineLevel="1">
      <c r="A274" s="190">
        <v>45416.0</v>
      </c>
      <c r="B274" s="97">
        <f t="shared" ref="B274:B275" si="112">A274</f>
        <v>45416</v>
      </c>
      <c r="C274" s="179" t="s">
        <v>118</v>
      </c>
      <c r="D274" s="129" t="s">
        <v>1756</v>
      </c>
      <c r="E274" s="129" t="s">
        <v>1758</v>
      </c>
      <c r="F274" s="130">
        <v>150.0</v>
      </c>
      <c r="G274" s="129"/>
      <c r="H274" s="44" t="b">
        <v>1</v>
      </c>
      <c r="K274" s="91" t="s">
        <v>1845</v>
      </c>
      <c r="L274" s="90">
        <f t="shared" si="106"/>
        <v>1</v>
      </c>
      <c r="M274" s="90">
        <f t="shared" si="107"/>
        <v>0</v>
      </c>
      <c r="N274" s="90">
        <f t="shared" si="108"/>
        <v>1</v>
      </c>
      <c r="O274" s="92">
        <f t="shared" si="109"/>
        <v>200</v>
      </c>
      <c r="P274" s="92">
        <f t="shared" si="110"/>
        <v>200</v>
      </c>
      <c r="Q274" s="92">
        <f t="shared" si="111"/>
        <v>0</v>
      </c>
    </row>
    <row r="275" hidden="1" outlineLevel="1">
      <c r="A275" s="190">
        <v>45417.0</v>
      </c>
      <c r="B275" s="97">
        <f t="shared" si="112"/>
        <v>45417</v>
      </c>
      <c r="C275" s="179" t="s">
        <v>118</v>
      </c>
      <c r="D275" s="129" t="s">
        <v>1828</v>
      </c>
      <c r="E275" s="129" t="s">
        <v>1758</v>
      </c>
      <c r="F275" s="130">
        <v>200.0</v>
      </c>
      <c r="G275" s="129"/>
      <c r="H275" s="44" t="b">
        <v>1</v>
      </c>
      <c r="K275" s="91" t="s">
        <v>363</v>
      </c>
      <c r="L275" s="90">
        <f t="shared" si="106"/>
        <v>3</v>
      </c>
      <c r="M275" s="90">
        <f t="shared" si="107"/>
        <v>0</v>
      </c>
      <c r="N275" s="90">
        <f t="shared" si="108"/>
        <v>3</v>
      </c>
      <c r="O275" s="92">
        <f t="shared" si="109"/>
        <v>600</v>
      </c>
      <c r="P275" s="92">
        <f t="shared" si="110"/>
        <v>600</v>
      </c>
      <c r="Q275" s="92">
        <f t="shared" si="111"/>
        <v>0</v>
      </c>
    </row>
    <row r="276" hidden="1" outlineLevel="1">
      <c r="A276" s="191"/>
      <c r="B276" s="58"/>
      <c r="C276" s="179" t="s">
        <v>136</v>
      </c>
      <c r="D276" s="129" t="s">
        <v>1845</v>
      </c>
      <c r="E276" s="129" t="s">
        <v>1758</v>
      </c>
      <c r="F276" s="130">
        <v>200.0</v>
      </c>
      <c r="G276" s="129"/>
      <c r="H276" s="44" t="b">
        <v>1</v>
      </c>
      <c r="K276" s="91" t="s">
        <v>1822</v>
      </c>
      <c r="L276" s="90">
        <f t="shared" si="106"/>
        <v>0</v>
      </c>
      <c r="M276" s="90">
        <f t="shared" si="107"/>
        <v>0</v>
      </c>
      <c r="N276" s="90">
        <f t="shared" si="108"/>
        <v>0</v>
      </c>
      <c r="O276" s="92">
        <f t="shared" si="109"/>
        <v>0</v>
      </c>
      <c r="P276" s="92">
        <f t="shared" si="110"/>
        <v>0</v>
      </c>
      <c r="Q276" s="92">
        <f t="shared" si="111"/>
        <v>0</v>
      </c>
    </row>
    <row r="277" hidden="1" outlineLevel="1">
      <c r="A277" s="190">
        <v>45418.0</v>
      </c>
      <c r="B277" s="97">
        <f t="shared" ref="B277:B278" si="113">A277</f>
        <v>45418</v>
      </c>
      <c r="C277" s="179" t="s">
        <v>118</v>
      </c>
      <c r="D277" s="129" t="s">
        <v>1756</v>
      </c>
      <c r="E277" s="129" t="s">
        <v>1758</v>
      </c>
      <c r="F277" s="130">
        <v>150.0</v>
      </c>
      <c r="G277" s="127"/>
      <c r="H277" s="44" t="b">
        <v>1</v>
      </c>
      <c r="K277" s="91" t="s">
        <v>1842</v>
      </c>
      <c r="L277" s="90">
        <f t="shared" si="106"/>
        <v>0</v>
      </c>
      <c r="M277" s="90">
        <f t="shared" si="107"/>
        <v>0</v>
      </c>
      <c r="N277" s="90">
        <f t="shared" si="108"/>
        <v>0</v>
      </c>
      <c r="O277" s="92">
        <f t="shared" si="109"/>
        <v>0</v>
      </c>
      <c r="P277" s="92">
        <f t="shared" si="110"/>
        <v>0</v>
      </c>
      <c r="Q277" s="92">
        <f t="shared" si="111"/>
        <v>0</v>
      </c>
    </row>
    <row r="278" hidden="1" outlineLevel="1">
      <c r="A278" s="190">
        <v>45419.0</v>
      </c>
      <c r="B278" s="97">
        <f t="shared" si="113"/>
        <v>45419</v>
      </c>
      <c r="C278" s="179" t="s">
        <v>118</v>
      </c>
      <c r="D278" s="129" t="s">
        <v>183</v>
      </c>
      <c r="E278" s="129" t="s">
        <v>1758</v>
      </c>
      <c r="F278" s="130">
        <v>150.0</v>
      </c>
      <c r="G278" s="127"/>
      <c r="H278" s="44" t="b">
        <v>1</v>
      </c>
      <c r="K278" s="91" t="s">
        <v>1818</v>
      </c>
      <c r="L278" s="90">
        <f t="shared" si="106"/>
        <v>1</v>
      </c>
      <c r="M278" s="90">
        <f t="shared" si="107"/>
        <v>0</v>
      </c>
      <c r="N278" s="90">
        <f t="shared" si="108"/>
        <v>1</v>
      </c>
      <c r="O278" s="92">
        <f t="shared" si="109"/>
        <v>200</v>
      </c>
      <c r="P278" s="92">
        <f t="shared" si="110"/>
        <v>200</v>
      </c>
      <c r="Q278" s="92">
        <f t="shared" si="111"/>
        <v>0</v>
      </c>
    </row>
    <row r="279" hidden="1" outlineLevel="1">
      <c r="A279" s="191"/>
      <c r="B279" s="58"/>
      <c r="C279" s="179" t="s">
        <v>118</v>
      </c>
      <c r="D279" s="129" t="s">
        <v>1756</v>
      </c>
      <c r="E279" s="129" t="s">
        <v>469</v>
      </c>
      <c r="F279" s="130">
        <v>150.0</v>
      </c>
      <c r="G279" s="127"/>
      <c r="H279" s="44" t="b">
        <v>1</v>
      </c>
      <c r="K279" s="91" t="s">
        <v>1828</v>
      </c>
      <c r="L279" s="90">
        <f t="shared" si="106"/>
        <v>4</v>
      </c>
      <c r="M279" s="90">
        <f t="shared" si="107"/>
        <v>0</v>
      </c>
      <c r="N279" s="90">
        <f t="shared" si="108"/>
        <v>4</v>
      </c>
      <c r="O279" s="92">
        <f t="shared" si="109"/>
        <v>750</v>
      </c>
      <c r="P279" s="92">
        <f t="shared" si="110"/>
        <v>750</v>
      </c>
      <c r="Q279" s="92">
        <f t="shared" si="111"/>
        <v>0</v>
      </c>
    </row>
    <row r="280" hidden="1" outlineLevel="1">
      <c r="A280" s="190">
        <v>45420.0</v>
      </c>
      <c r="B280" s="97">
        <f t="shared" ref="B280:B282" si="114">A280</f>
        <v>45420</v>
      </c>
      <c r="C280" s="179" t="s">
        <v>136</v>
      </c>
      <c r="D280" s="129" t="s">
        <v>1756</v>
      </c>
      <c r="E280" s="129" t="s">
        <v>1758</v>
      </c>
      <c r="F280" s="130">
        <v>150.0</v>
      </c>
      <c r="G280" s="129"/>
      <c r="H280" s="44" t="b">
        <v>1</v>
      </c>
      <c r="K280" s="91" t="s">
        <v>1844</v>
      </c>
      <c r="L280" s="90">
        <f t="shared" si="106"/>
        <v>0</v>
      </c>
      <c r="M280" s="90">
        <f t="shared" si="107"/>
        <v>0</v>
      </c>
      <c r="N280" s="90">
        <f t="shared" si="108"/>
        <v>0</v>
      </c>
      <c r="O280" s="92">
        <f t="shared" si="109"/>
        <v>0</v>
      </c>
      <c r="P280" s="92">
        <f t="shared" si="110"/>
        <v>0</v>
      </c>
      <c r="Q280" s="92">
        <f t="shared" si="111"/>
        <v>0</v>
      </c>
    </row>
    <row r="281" hidden="1" outlineLevel="1">
      <c r="A281" s="190">
        <v>45421.0</v>
      </c>
      <c r="B281" s="97">
        <f t="shared" si="114"/>
        <v>45421</v>
      </c>
      <c r="C281" s="179" t="s">
        <v>118</v>
      </c>
      <c r="D281" s="129" t="s">
        <v>1756</v>
      </c>
      <c r="E281" s="129" t="s">
        <v>1758</v>
      </c>
      <c r="F281" s="130">
        <v>150.0</v>
      </c>
      <c r="G281" s="127"/>
      <c r="H281" s="44" t="b">
        <v>1</v>
      </c>
      <c r="K281" s="91" t="s">
        <v>1840</v>
      </c>
      <c r="L281" s="90">
        <f t="shared" si="106"/>
        <v>0</v>
      </c>
      <c r="M281" s="90">
        <f t="shared" si="107"/>
        <v>0</v>
      </c>
      <c r="N281" s="90">
        <f t="shared" si="108"/>
        <v>0</v>
      </c>
      <c r="O281" s="92">
        <f t="shared" si="109"/>
        <v>0</v>
      </c>
      <c r="P281" s="92">
        <f t="shared" si="110"/>
        <v>0</v>
      </c>
      <c r="Q281" s="92">
        <f t="shared" si="111"/>
        <v>0</v>
      </c>
    </row>
    <row r="282" hidden="1" outlineLevel="1">
      <c r="A282" s="190">
        <v>45422.0</v>
      </c>
      <c r="B282" s="97">
        <f t="shared" si="114"/>
        <v>45422</v>
      </c>
      <c r="C282" s="179" t="s">
        <v>118</v>
      </c>
      <c r="D282" s="129" t="s">
        <v>1761</v>
      </c>
      <c r="E282" s="129" t="s">
        <v>1758</v>
      </c>
      <c r="F282" s="130">
        <v>150.0</v>
      </c>
      <c r="G282" s="127"/>
      <c r="H282" s="44" t="b">
        <v>1</v>
      </c>
      <c r="K282" s="91" t="s">
        <v>1761</v>
      </c>
      <c r="L282" s="90">
        <f t="shared" si="106"/>
        <v>1</v>
      </c>
      <c r="M282" s="90">
        <f t="shared" si="107"/>
        <v>0</v>
      </c>
      <c r="N282" s="90">
        <f t="shared" si="108"/>
        <v>1</v>
      </c>
      <c r="O282" s="92">
        <f t="shared" si="109"/>
        <v>150</v>
      </c>
      <c r="P282" s="92">
        <f t="shared" si="110"/>
        <v>150</v>
      </c>
      <c r="Q282" s="92">
        <f t="shared" si="111"/>
        <v>0</v>
      </c>
    </row>
    <row r="283" hidden="1" outlineLevel="1">
      <c r="A283" s="191"/>
      <c r="B283" s="58"/>
      <c r="C283" s="179" t="s">
        <v>118</v>
      </c>
      <c r="D283" s="129" t="s">
        <v>1756</v>
      </c>
      <c r="E283" s="129" t="s">
        <v>469</v>
      </c>
      <c r="F283" s="130">
        <v>150.0</v>
      </c>
      <c r="G283" s="127"/>
      <c r="H283" s="44" t="b">
        <v>1</v>
      </c>
      <c r="K283" s="91" t="s">
        <v>1849</v>
      </c>
      <c r="L283" s="90">
        <f t="shared" si="106"/>
        <v>0</v>
      </c>
      <c r="M283" s="90">
        <f t="shared" si="107"/>
        <v>0</v>
      </c>
      <c r="N283" s="90">
        <f t="shared" si="108"/>
        <v>0</v>
      </c>
      <c r="O283" s="92">
        <f t="shared" si="109"/>
        <v>0</v>
      </c>
      <c r="P283" s="92">
        <f t="shared" si="110"/>
        <v>0</v>
      </c>
      <c r="Q283" s="92">
        <f t="shared" si="111"/>
        <v>0</v>
      </c>
    </row>
    <row r="284" hidden="1" outlineLevel="1">
      <c r="A284" s="190">
        <v>45423.0</v>
      </c>
      <c r="B284" s="97">
        <f t="shared" ref="B284:B285" si="115">A284</f>
        <v>45423</v>
      </c>
      <c r="C284" s="179" t="s">
        <v>136</v>
      </c>
      <c r="D284" s="129" t="s">
        <v>1756</v>
      </c>
      <c r="E284" s="129" t="s">
        <v>1758</v>
      </c>
      <c r="F284" s="130">
        <v>150.0</v>
      </c>
      <c r="G284" s="127"/>
      <c r="H284" s="44" t="b">
        <v>1</v>
      </c>
      <c r="K284" s="91" t="s">
        <v>1792</v>
      </c>
      <c r="L284" s="90">
        <f t="shared" si="106"/>
        <v>0</v>
      </c>
      <c r="M284" s="90">
        <f t="shared" si="107"/>
        <v>0</v>
      </c>
      <c r="N284" s="90">
        <f t="shared" si="108"/>
        <v>0</v>
      </c>
      <c r="O284" s="92">
        <f t="shared" si="109"/>
        <v>0</v>
      </c>
      <c r="P284" s="92">
        <f t="shared" si="110"/>
        <v>0</v>
      </c>
      <c r="Q284" s="92">
        <f t="shared" si="111"/>
        <v>0</v>
      </c>
    </row>
    <row r="285" hidden="1" outlineLevel="1">
      <c r="A285" s="190">
        <v>45424.0</v>
      </c>
      <c r="B285" s="97">
        <f t="shared" si="115"/>
        <v>45424</v>
      </c>
      <c r="C285" s="179" t="s">
        <v>118</v>
      </c>
      <c r="D285" s="129" t="s">
        <v>1828</v>
      </c>
      <c r="E285" s="129" t="s">
        <v>1758</v>
      </c>
      <c r="F285" s="130">
        <v>200.0</v>
      </c>
      <c r="G285" s="127"/>
      <c r="H285" s="44" t="b">
        <v>1</v>
      </c>
      <c r="K285" s="276"/>
      <c r="L285" s="276"/>
      <c r="M285" s="276"/>
      <c r="N285" s="276"/>
      <c r="O285" s="276"/>
      <c r="P285" s="276"/>
      <c r="Q285" s="276"/>
    </row>
    <row r="286" hidden="1" outlineLevel="1">
      <c r="A286" s="191"/>
      <c r="B286" s="58"/>
      <c r="C286" s="179" t="s">
        <v>136</v>
      </c>
      <c r="D286" s="129" t="s">
        <v>363</v>
      </c>
      <c r="E286" s="129" t="s">
        <v>1758</v>
      </c>
      <c r="F286" s="130">
        <v>200.0</v>
      </c>
      <c r="G286" s="127"/>
      <c r="H286" s="44" t="b">
        <v>1</v>
      </c>
      <c r="K286" s="91"/>
      <c r="L286" s="90"/>
      <c r="M286" s="90"/>
      <c r="N286" s="90"/>
      <c r="O286" s="92"/>
      <c r="P286" s="92"/>
      <c r="Q286" s="90"/>
    </row>
    <row r="287" hidden="1" outlineLevel="1">
      <c r="A287" s="190">
        <v>45425.0</v>
      </c>
      <c r="B287" s="97">
        <f t="shared" ref="B287:B288" si="117">A287</f>
        <v>45425</v>
      </c>
      <c r="C287" s="179" t="s">
        <v>118</v>
      </c>
      <c r="D287" s="129" t="s">
        <v>1756</v>
      </c>
      <c r="E287" s="129" t="s">
        <v>1758</v>
      </c>
      <c r="F287" s="130">
        <v>150.0</v>
      </c>
      <c r="G287" s="129"/>
      <c r="H287" s="44" t="b">
        <v>1</v>
      </c>
      <c r="K287" s="477" t="s">
        <v>195</v>
      </c>
      <c r="L287" s="478">
        <f t="shared" ref="L287:Q287" si="116">SUM(L271:L286)</f>
        <v>37</v>
      </c>
      <c r="M287" s="478">
        <f t="shared" si="116"/>
        <v>9</v>
      </c>
      <c r="N287" s="478">
        <f t="shared" si="116"/>
        <v>46</v>
      </c>
      <c r="O287" s="479">
        <f t="shared" si="116"/>
        <v>7400</v>
      </c>
      <c r="P287" s="479">
        <f t="shared" si="116"/>
        <v>7400</v>
      </c>
      <c r="Q287" s="479">
        <f t="shared" si="116"/>
        <v>0</v>
      </c>
    </row>
    <row r="288" hidden="1" outlineLevel="1">
      <c r="A288" s="190">
        <v>45426.0</v>
      </c>
      <c r="B288" s="97">
        <f t="shared" si="117"/>
        <v>45426</v>
      </c>
      <c r="C288" s="179" t="s">
        <v>118</v>
      </c>
      <c r="D288" s="129" t="s">
        <v>183</v>
      </c>
      <c r="E288" s="129" t="s">
        <v>1758</v>
      </c>
      <c r="F288" s="130">
        <v>150.0</v>
      </c>
      <c r="G288" s="127"/>
      <c r="H288" s="44" t="b">
        <v>1</v>
      </c>
    </row>
    <row r="289" hidden="1" outlineLevel="1">
      <c r="A289" s="191"/>
      <c r="B289" s="58"/>
      <c r="C289" s="179" t="s">
        <v>118</v>
      </c>
      <c r="D289" s="129" t="s">
        <v>1756</v>
      </c>
      <c r="E289" s="129" t="s">
        <v>469</v>
      </c>
      <c r="F289" s="130">
        <v>150.0</v>
      </c>
      <c r="G289" s="127"/>
      <c r="H289" s="44" t="b">
        <v>1</v>
      </c>
    </row>
    <row r="290" hidden="1" outlineLevel="1">
      <c r="A290" s="190">
        <v>45427.0</v>
      </c>
      <c r="B290" s="97">
        <f t="shared" ref="B290:B292" si="118">A290</f>
        <v>45427</v>
      </c>
      <c r="C290" s="179" t="s">
        <v>118</v>
      </c>
      <c r="D290" s="129" t="s">
        <v>1756</v>
      </c>
      <c r="E290" s="129" t="s">
        <v>1758</v>
      </c>
      <c r="F290" s="130">
        <v>150.0</v>
      </c>
      <c r="G290" s="127"/>
      <c r="H290" s="44" t="b">
        <v>1</v>
      </c>
    </row>
    <row r="291" hidden="1" outlineLevel="1">
      <c r="A291" s="190">
        <v>45428.0</v>
      </c>
      <c r="B291" s="97">
        <f t="shared" si="118"/>
        <v>45428</v>
      </c>
      <c r="C291" s="179" t="s">
        <v>118</v>
      </c>
      <c r="D291" s="129" t="s">
        <v>1756</v>
      </c>
      <c r="E291" s="129" t="s">
        <v>1758</v>
      </c>
      <c r="F291" s="130">
        <v>150.0</v>
      </c>
      <c r="G291" s="127"/>
      <c r="H291" s="44" t="b">
        <v>1</v>
      </c>
    </row>
    <row r="292" hidden="1" outlineLevel="1">
      <c r="A292" s="190">
        <v>45429.0</v>
      </c>
      <c r="B292" s="97">
        <f t="shared" si="118"/>
        <v>45429</v>
      </c>
      <c r="C292" s="179" t="s">
        <v>118</v>
      </c>
      <c r="D292" s="129" t="s">
        <v>183</v>
      </c>
      <c r="E292" s="129" t="s">
        <v>1758</v>
      </c>
      <c r="F292" s="130">
        <v>150.0</v>
      </c>
      <c r="G292" s="127"/>
      <c r="H292" s="44" t="b">
        <v>1</v>
      </c>
    </row>
    <row r="293" hidden="1" outlineLevel="1">
      <c r="A293" s="191"/>
      <c r="B293" s="58"/>
      <c r="C293" s="179" t="s">
        <v>118</v>
      </c>
      <c r="D293" s="129" t="s">
        <v>1756</v>
      </c>
      <c r="E293" s="129" t="s">
        <v>469</v>
      </c>
      <c r="F293" s="130">
        <v>150.0</v>
      </c>
      <c r="G293" s="127"/>
      <c r="H293" s="44" t="b">
        <v>1</v>
      </c>
    </row>
    <row r="294" hidden="1" outlineLevel="1">
      <c r="A294" s="190">
        <v>45430.0</v>
      </c>
      <c r="B294" s="97">
        <f>A294</f>
        <v>45430</v>
      </c>
      <c r="C294" s="179" t="s">
        <v>118</v>
      </c>
      <c r="D294" s="129" t="s">
        <v>1756</v>
      </c>
      <c r="E294" s="129" t="s">
        <v>1758</v>
      </c>
      <c r="F294" s="130">
        <v>150.0</v>
      </c>
      <c r="G294" s="127"/>
      <c r="H294" s="44" t="b">
        <v>1</v>
      </c>
    </row>
    <row r="295" hidden="1" outlineLevel="1">
      <c r="A295" s="191"/>
      <c r="B295" s="58"/>
      <c r="C295" s="179" t="s">
        <v>136</v>
      </c>
      <c r="D295" s="129" t="s">
        <v>363</v>
      </c>
      <c r="E295" s="129" t="s">
        <v>1758</v>
      </c>
      <c r="F295" s="130">
        <v>200.0</v>
      </c>
      <c r="G295" s="127"/>
      <c r="H295" s="44" t="b">
        <v>1</v>
      </c>
    </row>
    <row r="296" hidden="1" outlineLevel="1">
      <c r="A296" s="190">
        <v>45431.0</v>
      </c>
      <c r="B296" s="97">
        <f>A296</f>
        <v>45431</v>
      </c>
      <c r="C296" s="179" t="s">
        <v>118</v>
      </c>
      <c r="D296" s="129" t="s">
        <v>1828</v>
      </c>
      <c r="E296" s="129" t="s">
        <v>1758</v>
      </c>
      <c r="F296" s="130">
        <v>200.0</v>
      </c>
      <c r="G296" s="127"/>
      <c r="H296" s="44" t="b">
        <v>1</v>
      </c>
    </row>
    <row r="297" hidden="1" outlineLevel="1">
      <c r="A297" s="191"/>
      <c r="B297" s="58"/>
      <c r="C297" s="179" t="s">
        <v>136</v>
      </c>
      <c r="D297" s="129" t="s">
        <v>363</v>
      </c>
      <c r="E297" s="129" t="s">
        <v>1758</v>
      </c>
      <c r="F297" s="130">
        <v>200.0</v>
      </c>
      <c r="G297" s="127"/>
      <c r="H297" s="44" t="b">
        <v>1</v>
      </c>
    </row>
    <row r="298" hidden="1" outlineLevel="1">
      <c r="A298" s="190">
        <v>45432.0</v>
      </c>
      <c r="B298" s="97">
        <f t="shared" ref="B298:B299" si="119">A298</f>
        <v>45432</v>
      </c>
      <c r="C298" s="179" t="s">
        <v>118</v>
      </c>
      <c r="D298" s="129" t="s">
        <v>1756</v>
      </c>
      <c r="E298" s="129" t="s">
        <v>1758</v>
      </c>
      <c r="F298" s="130">
        <v>150.0</v>
      </c>
      <c r="G298" s="127"/>
      <c r="H298" s="44" t="b">
        <v>1</v>
      </c>
    </row>
    <row r="299" hidden="1" outlineLevel="1">
      <c r="A299" s="190">
        <v>45433.0</v>
      </c>
      <c r="B299" s="97">
        <f t="shared" si="119"/>
        <v>45433</v>
      </c>
      <c r="C299" s="179" t="s">
        <v>118</v>
      </c>
      <c r="D299" s="129" t="s">
        <v>183</v>
      </c>
      <c r="E299" s="129" t="s">
        <v>1758</v>
      </c>
      <c r="F299" s="130">
        <v>150.0</v>
      </c>
      <c r="G299" s="127"/>
      <c r="H299" s="44" t="b">
        <v>1</v>
      </c>
    </row>
    <row r="300" hidden="1" outlineLevel="1">
      <c r="A300" s="191"/>
      <c r="B300" s="58"/>
      <c r="C300" s="179" t="s">
        <v>118</v>
      </c>
      <c r="D300" s="129" t="s">
        <v>1756</v>
      </c>
      <c r="E300" s="129" t="s">
        <v>469</v>
      </c>
      <c r="F300" s="130">
        <v>150.0</v>
      </c>
      <c r="G300" s="127"/>
      <c r="H300" s="44" t="b">
        <v>1</v>
      </c>
    </row>
    <row r="301" hidden="1" outlineLevel="1">
      <c r="A301" s="190">
        <v>45434.0</v>
      </c>
      <c r="B301" s="97">
        <f t="shared" ref="B301:B303" si="120">A301</f>
        <v>45434</v>
      </c>
      <c r="C301" s="179" t="s">
        <v>118</v>
      </c>
      <c r="D301" s="129" t="s">
        <v>1756</v>
      </c>
      <c r="E301" s="129" t="s">
        <v>1758</v>
      </c>
      <c r="F301" s="130">
        <v>150.0</v>
      </c>
      <c r="G301" s="127"/>
      <c r="H301" s="44" t="b">
        <v>1</v>
      </c>
    </row>
    <row r="302" hidden="1" outlineLevel="1">
      <c r="A302" s="190">
        <v>45435.0</v>
      </c>
      <c r="B302" s="97">
        <f t="shared" si="120"/>
        <v>45435</v>
      </c>
      <c r="C302" s="179" t="s">
        <v>118</v>
      </c>
      <c r="D302" s="129" t="s">
        <v>1756</v>
      </c>
      <c r="E302" s="129" t="s">
        <v>1758</v>
      </c>
      <c r="F302" s="130">
        <v>150.0</v>
      </c>
      <c r="G302" s="127"/>
      <c r="H302" s="44" t="b">
        <v>1</v>
      </c>
    </row>
    <row r="303" hidden="1" outlineLevel="1">
      <c r="A303" s="190">
        <v>45436.0</v>
      </c>
      <c r="B303" s="97">
        <f t="shared" si="120"/>
        <v>45436</v>
      </c>
      <c r="C303" s="179" t="s">
        <v>118</v>
      </c>
      <c r="D303" s="129" t="s">
        <v>183</v>
      </c>
      <c r="E303" s="129" t="s">
        <v>1758</v>
      </c>
      <c r="F303" s="130">
        <v>150.0</v>
      </c>
      <c r="G303" s="127"/>
      <c r="H303" s="44" t="b">
        <v>1</v>
      </c>
    </row>
    <row r="304" hidden="1" outlineLevel="1">
      <c r="A304" s="191"/>
      <c r="B304" s="58"/>
      <c r="C304" s="179" t="s">
        <v>118</v>
      </c>
      <c r="D304" s="129" t="s">
        <v>1756</v>
      </c>
      <c r="E304" s="129" t="s">
        <v>469</v>
      </c>
      <c r="F304" s="130">
        <v>150.0</v>
      </c>
      <c r="G304" s="127"/>
      <c r="H304" s="44" t="b">
        <v>1</v>
      </c>
    </row>
    <row r="305" hidden="1" outlineLevel="1">
      <c r="A305" s="190">
        <v>45437.0</v>
      </c>
      <c r="B305" s="97">
        <f t="shared" ref="B305:B306" si="121">A305</f>
        <v>45437</v>
      </c>
      <c r="C305" s="179" t="s">
        <v>118</v>
      </c>
      <c r="D305" s="129" t="s">
        <v>1756</v>
      </c>
      <c r="E305" s="129" t="s">
        <v>1758</v>
      </c>
      <c r="F305" s="130">
        <v>150.0</v>
      </c>
      <c r="G305" s="127"/>
      <c r="H305" s="44" t="b">
        <v>1</v>
      </c>
    </row>
    <row r="306" hidden="1" outlineLevel="1">
      <c r="A306" s="190">
        <v>45438.0</v>
      </c>
      <c r="B306" s="97">
        <f t="shared" si="121"/>
        <v>45438</v>
      </c>
      <c r="C306" s="179" t="s">
        <v>118</v>
      </c>
      <c r="D306" s="129" t="s">
        <v>1818</v>
      </c>
      <c r="E306" s="129" t="s">
        <v>1758</v>
      </c>
      <c r="F306" s="130">
        <v>200.0</v>
      </c>
      <c r="G306" s="129"/>
      <c r="H306" s="44" t="b">
        <v>1</v>
      </c>
    </row>
    <row r="307" hidden="1" outlineLevel="1">
      <c r="A307" s="191"/>
      <c r="B307" s="58"/>
      <c r="C307" s="179" t="s">
        <v>136</v>
      </c>
      <c r="D307" s="129" t="s">
        <v>1756</v>
      </c>
      <c r="E307" s="129" t="s">
        <v>1758</v>
      </c>
      <c r="F307" s="130">
        <v>200.0</v>
      </c>
      <c r="G307" s="129"/>
      <c r="H307" s="44" t="b">
        <v>1</v>
      </c>
    </row>
    <row r="308" hidden="1" outlineLevel="1">
      <c r="A308" s="190">
        <v>45439.0</v>
      </c>
      <c r="B308" s="97">
        <f t="shared" ref="B308:B309" si="122">A308</f>
        <v>45439</v>
      </c>
      <c r="C308" s="179" t="s">
        <v>118</v>
      </c>
      <c r="D308" s="129" t="s">
        <v>1756</v>
      </c>
      <c r="E308" s="129" t="s">
        <v>1758</v>
      </c>
      <c r="F308" s="130">
        <v>150.0</v>
      </c>
      <c r="G308" s="129"/>
      <c r="H308" s="44" t="b">
        <v>1</v>
      </c>
    </row>
    <row r="309" hidden="1" outlineLevel="1">
      <c r="A309" s="190">
        <v>45440.0</v>
      </c>
      <c r="B309" s="97">
        <f t="shared" si="122"/>
        <v>45440</v>
      </c>
      <c r="C309" s="179" t="s">
        <v>118</v>
      </c>
      <c r="D309" s="129" t="s">
        <v>183</v>
      </c>
      <c r="E309" s="129" t="s">
        <v>1758</v>
      </c>
      <c r="F309" s="130">
        <v>150.0</v>
      </c>
      <c r="G309" s="129"/>
      <c r="H309" s="44" t="b">
        <v>1</v>
      </c>
    </row>
    <row r="310" hidden="1" outlineLevel="1">
      <c r="A310" s="191"/>
      <c r="B310" s="58"/>
      <c r="C310" s="179" t="s">
        <v>118</v>
      </c>
      <c r="D310" s="129" t="s">
        <v>1756</v>
      </c>
      <c r="E310" s="129" t="s">
        <v>469</v>
      </c>
      <c r="F310" s="130">
        <v>150.0</v>
      </c>
      <c r="G310" s="129"/>
      <c r="H310" s="44" t="b">
        <v>1</v>
      </c>
    </row>
    <row r="311" hidden="1" outlineLevel="1">
      <c r="A311" s="190">
        <v>45441.0</v>
      </c>
      <c r="B311" s="97">
        <f t="shared" ref="B311:B313" si="123">A311</f>
        <v>45441</v>
      </c>
      <c r="C311" s="179" t="s">
        <v>118</v>
      </c>
      <c r="D311" s="129" t="s">
        <v>1756</v>
      </c>
      <c r="E311" s="129" t="s">
        <v>1758</v>
      </c>
      <c r="F311" s="130">
        <v>150.0</v>
      </c>
      <c r="G311" s="129"/>
      <c r="H311" s="44" t="b">
        <v>1</v>
      </c>
    </row>
    <row r="312" hidden="1" outlineLevel="1">
      <c r="A312" s="190">
        <v>45442.0</v>
      </c>
      <c r="B312" s="97">
        <f t="shared" si="123"/>
        <v>45442</v>
      </c>
      <c r="C312" s="179" t="s">
        <v>118</v>
      </c>
      <c r="D312" s="129" t="s">
        <v>1805</v>
      </c>
      <c r="E312" s="129" t="s">
        <v>1758</v>
      </c>
      <c r="F312" s="130">
        <v>200.0</v>
      </c>
      <c r="G312" s="522"/>
      <c r="H312" s="44" t="b">
        <v>1</v>
      </c>
    </row>
    <row r="313" hidden="1" outlineLevel="1">
      <c r="A313" s="190">
        <v>45443.0</v>
      </c>
      <c r="B313" s="97">
        <f t="shared" si="123"/>
        <v>45443</v>
      </c>
      <c r="C313" s="179" t="s">
        <v>118</v>
      </c>
      <c r="D313" s="129" t="s">
        <v>183</v>
      </c>
      <c r="E313" s="129" t="s">
        <v>1758</v>
      </c>
      <c r="F313" s="130">
        <v>150.0</v>
      </c>
      <c r="G313" s="522"/>
      <c r="H313" s="44" t="b">
        <v>1</v>
      </c>
    </row>
    <row r="314" hidden="1" outlineLevel="1">
      <c r="A314" s="191"/>
      <c r="B314" s="58"/>
      <c r="C314" s="179" t="s">
        <v>118</v>
      </c>
      <c r="D314" s="129" t="s">
        <v>1756</v>
      </c>
      <c r="E314" s="129" t="s">
        <v>469</v>
      </c>
      <c r="F314" s="130">
        <v>150.0</v>
      </c>
      <c r="G314" s="522"/>
      <c r="H314" s="44" t="b">
        <v>1</v>
      </c>
    </row>
    <row r="315">
      <c r="A315" s="484" t="s">
        <v>195</v>
      </c>
      <c r="B315" s="27"/>
      <c r="C315" s="27"/>
      <c r="D315" s="27"/>
      <c r="E315" s="28"/>
      <c r="F315" s="485">
        <f>SUM(F269:F314)</f>
        <v>7400</v>
      </c>
      <c r="G315" s="486"/>
      <c r="H315" s="28"/>
    </row>
    <row r="316" collapsed="1">
      <c r="A316" s="339" t="s">
        <v>637</v>
      </c>
      <c r="B316" s="246"/>
      <c r="C316" s="246"/>
      <c r="D316" s="246"/>
      <c r="E316" s="246"/>
      <c r="F316" s="246"/>
      <c r="G316" s="246"/>
      <c r="H316" s="247"/>
    </row>
    <row r="317" hidden="1" outlineLevel="1">
      <c r="A317" s="190">
        <v>45444.0</v>
      </c>
      <c r="B317" s="97">
        <f t="shared" ref="B317:B318" si="124">A317</f>
        <v>45444</v>
      </c>
      <c r="C317" s="179" t="s">
        <v>118</v>
      </c>
      <c r="D317" s="129" t="s">
        <v>1756</v>
      </c>
      <c r="E317" s="129" t="s">
        <v>1758</v>
      </c>
      <c r="F317" s="130">
        <v>150.0</v>
      </c>
      <c r="G317" s="127"/>
      <c r="H317" s="44" t="b">
        <v>1</v>
      </c>
      <c r="K317" s="440" t="s">
        <v>2044</v>
      </c>
      <c r="L317" s="27"/>
      <c r="M317" s="27"/>
      <c r="N317" s="27"/>
      <c r="O317" s="27"/>
      <c r="P317" s="27"/>
      <c r="Q317" s="28"/>
    </row>
    <row r="318" hidden="1" outlineLevel="1">
      <c r="A318" s="190">
        <v>45445.0</v>
      </c>
      <c r="B318" s="97">
        <f t="shared" si="124"/>
        <v>45445</v>
      </c>
      <c r="C318" s="179" t="s">
        <v>118</v>
      </c>
      <c r="D318" s="129" t="s">
        <v>1828</v>
      </c>
      <c r="E318" s="129" t="s">
        <v>1758</v>
      </c>
      <c r="F318" s="130">
        <v>200.0</v>
      </c>
      <c r="G318" s="127"/>
      <c r="H318" s="44" t="b">
        <v>1</v>
      </c>
      <c r="K318" s="441" t="s">
        <v>1749</v>
      </c>
      <c r="L318" s="441" t="s">
        <v>1758</v>
      </c>
      <c r="M318" s="441" t="s">
        <v>469</v>
      </c>
      <c r="N318" s="441" t="s">
        <v>195</v>
      </c>
      <c r="O318" s="441" t="s">
        <v>1764</v>
      </c>
      <c r="P318" s="441" t="s">
        <v>1765</v>
      </c>
      <c r="Q318" s="441" t="s">
        <v>1766</v>
      </c>
    </row>
    <row r="319" hidden="1" outlineLevel="1">
      <c r="A319" s="191"/>
      <c r="B319" s="58"/>
      <c r="C319" s="179" t="s">
        <v>136</v>
      </c>
      <c r="D319" s="129" t="s">
        <v>1845</v>
      </c>
      <c r="E319" s="129" t="s">
        <v>1758</v>
      </c>
      <c r="F319" s="130">
        <v>200.0</v>
      </c>
      <c r="G319" s="127"/>
      <c r="H319" s="44" t="b">
        <v>1</v>
      </c>
      <c r="K319" s="91" t="s">
        <v>1756</v>
      </c>
      <c r="L319" s="90">
        <f t="shared" ref="L319:L332" si="125">COUNTIFS($D$317:$D$360, $K319,$E$317:$E$360,$L$318)</f>
        <v>16</v>
      </c>
      <c r="M319" s="90">
        <f t="shared" ref="M319:M332" si="126">COUNTIFS($D$317:$D$360, $K319,$E$317:$E$360,$M$318)</f>
        <v>8</v>
      </c>
      <c r="N319" s="90">
        <f t="shared" ref="N319:N332" si="127">L319+M319</f>
        <v>24</v>
      </c>
      <c r="O319" s="92">
        <f t="shared" ref="O319:O332" si="128">SUMIFS($F$317:$F$360,$D$317:$D$360,$K319)</f>
        <v>3800</v>
      </c>
      <c r="P319" s="92">
        <f t="shared" ref="P319:P332" si="129">SUMIFS($F$317:$F$360,$D$317:$D$360,$K319,$H$317:$H$360,TRUE)</f>
        <v>3800</v>
      </c>
      <c r="Q319" s="92">
        <f t="shared" ref="Q319:Q332" si="130">O319-P319</f>
        <v>0</v>
      </c>
    </row>
    <row r="320" hidden="1" outlineLevel="1">
      <c r="A320" s="190">
        <v>45446.0</v>
      </c>
      <c r="B320" s="97">
        <f t="shared" ref="B320:B321" si="131">A320</f>
        <v>45446</v>
      </c>
      <c r="C320" s="179" t="s">
        <v>118</v>
      </c>
      <c r="D320" s="129" t="s">
        <v>1756</v>
      </c>
      <c r="E320" s="129" t="s">
        <v>1758</v>
      </c>
      <c r="F320" s="130">
        <v>150.0</v>
      </c>
      <c r="G320" s="127"/>
      <c r="H320" s="44" t="b">
        <v>1</v>
      </c>
      <c r="K320" s="91" t="s">
        <v>183</v>
      </c>
      <c r="L320" s="90">
        <f t="shared" si="125"/>
        <v>8</v>
      </c>
      <c r="M320" s="90">
        <f t="shared" si="126"/>
        <v>0</v>
      </c>
      <c r="N320" s="90">
        <f t="shared" si="127"/>
        <v>8</v>
      </c>
      <c r="O320" s="92">
        <f t="shared" si="128"/>
        <v>1200</v>
      </c>
      <c r="P320" s="92">
        <f t="shared" si="129"/>
        <v>1200</v>
      </c>
      <c r="Q320" s="92">
        <f t="shared" si="130"/>
        <v>0</v>
      </c>
    </row>
    <row r="321" hidden="1" outlineLevel="1">
      <c r="A321" s="190">
        <v>45447.0</v>
      </c>
      <c r="B321" s="97">
        <f t="shared" si="131"/>
        <v>45447</v>
      </c>
      <c r="C321" s="179" t="s">
        <v>118</v>
      </c>
      <c r="D321" s="129" t="s">
        <v>183</v>
      </c>
      <c r="E321" s="129" t="s">
        <v>1758</v>
      </c>
      <c r="F321" s="130">
        <v>150.0</v>
      </c>
      <c r="G321" s="127"/>
      <c r="H321" s="44" t="b">
        <v>1</v>
      </c>
      <c r="K321" s="91" t="s">
        <v>1805</v>
      </c>
      <c r="L321" s="90">
        <f t="shared" si="125"/>
        <v>0</v>
      </c>
      <c r="M321" s="90">
        <f t="shared" si="126"/>
        <v>0</v>
      </c>
      <c r="N321" s="90">
        <f t="shared" si="127"/>
        <v>0</v>
      </c>
      <c r="O321" s="92">
        <f t="shared" si="128"/>
        <v>0</v>
      </c>
      <c r="P321" s="92">
        <f t="shared" si="129"/>
        <v>0</v>
      </c>
      <c r="Q321" s="92">
        <f t="shared" si="130"/>
        <v>0</v>
      </c>
    </row>
    <row r="322" hidden="1" outlineLevel="1">
      <c r="A322" s="191"/>
      <c r="B322" s="58"/>
      <c r="C322" s="179" t="s">
        <v>118</v>
      </c>
      <c r="D322" s="129" t="s">
        <v>1756</v>
      </c>
      <c r="E322" s="129" t="s">
        <v>469</v>
      </c>
      <c r="F322" s="130">
        <v>150.0</v>
      </c>
      <c r="G322" s="127"/>
      <c r="H322" s="44" t="b">
        <v>1</v>
      </c>
      <c r="K322" s="91" t="s">
        <v>1845</v>
      </c>
      <c r="L322" s="90">
        <f t="shared" si="125"/>
        <v>2</v>
      </c>
      <c r="M322" s="90">
        <f t="shared" si="126"/>
        <v>0</v>
      </c>
      <c r="N322" s="90">
        <f t="shared" si="127"/>
        <v>2</v>
      </c>
      <c r="O322" s="92">
        <f t="shared" si="128"/>
        <v>400</v>
      </c>
      <c r="P322" s="92">
        <f t="shared" si="129"/>
        <v>400</v>
      </c>
      <c r="Q322" s="92">
        <f t="shared" si="130"/>
        <v>0</v>
      </c>
    </row>
    <row r="323" hidden="1" outlineLevel="1">
      <c r="A323" s="190">
        <v>45448.0</v>
      </c>
      <c r="B323" s="97">
        <f t="shared" ref="B323:B325" si="132">A323</f>
        <v>45448</v>
      </c>
      <c r="C323" s="179" t="s">
        <v>118</v>
      </c>
      <c r="D323" s="129" t="s">
        <v>1756</v>
      </c>
      <c r="E323" s="129" t="s">
        <v>1758</v>
      </c>
      <c r="F323" s="130">
        <v>150.0</v>
      </c>
      <c r="G323" s="129"/>
      <c r="H323" s="44" t="b">
        <v>1</v>
      </c>
      <c r="K323" s="91" t="s">
        <v>363</v>
      </c>
      <c r="L323" s="90">
        <f t="shared" si="125"/>
        <v>3</v>
      </c>
      <c r="M323" s="90">
        <f t="shared" si="126"/>
        <v>0</v>
      </c>
      <c r="N323" s="90">
        <f t="shared" si="127"/>
        <v>3</v>
      </c>
      <c r="O323" s="92">
        <f t="shared" si="128"/>
        <v>600</v>
      </c>
      <c r="P323" s="92">
        <f t="shared" si="129"/>
        <v>600</v>
      </c>
      <c r="Q323" s="92">
        <f t="shared" si="130"/>
        <v>0</v>
      </c>
    </row>
    <row r="324" hidden="1" outlineLevel="1">
      <c r="A324" s="190">
        <v>45449.0</v>
      </c>
      <c r="B324" s="97">
        <f t="shared" si="132"/>
        <v>45449</v>
      </c>
      <c r="C324" s="179" t="s">
        <v>118</v>
      </c>
      <c r="D324" s="129" t="s">
        <v>1756</v>
      </c>
      <c r="E324" s="129" t="s">
        <v>1758</v>
      </c>
      <c r="F324" s="130">
        <v>350.0</v>
      </c>
      <c r="G324" s="129"/>
      <c r="H324" s="44" t="b">
        <v>1</v>
      </c>
      <c r="K324" s="91" t="s">
        <v>1822</v>
      </c>
      <c r="L324" s="90">
        <f t="shared" si="125"/>
        <v>0</v>
      </c>
      <c r="M324" s="90">
        <f t="shared" si="126"/>
        <v>0</v>
      </c>
      <c r="N324" s="90">
        <f t="shared" si="127"/>
        <v>0</v>
      </c>
      <c r="O324" s="92">
        <f t="shared" si="128"/>
        <v>0</v>
      </c>
      <c r="P324" s="92">
        <f t="shared" si="129"/>
        <v>0</v>
      </c>
      <c r="Q324" s="92">
        <f t="shared" si="130"/>
        <v>0</v>
      </c>
    </row>
    <row r="325" hidden="1" outlineLevel="1">
      <c r="A325" s="190">
        <v>45450.0</v>
      </c>
      <c r="B325" s="97">
        <f t="shared" si="132"/>
        <v>45450</v>
      </c>
      <c r="C325" s="179" t="s">
        <v>118</v>
      </c>
      <c r="D325" s="129" t="s">
        <v>1756</v>
      </c>
      <c r="E325" s="129" t="s">
        <v>469</v>
      </c>
      <c r="F325" s="130">
        <v>150.0</v>
      </c>
      <c r="G325" s="129"/>
      <c r="H325" s="44" t="b">
        <v>1</v>
      </c>
      <c r="K325" s="91" t="s">
        <v>1842</v>
      </c>
      <c r="L325" s="90">
        <f t="shared" si="125"/>
        <v>0</v>
      </c>
      <c r="M325" s="90">
        <f t="shared" si="126"/>
        <v>0</v>
      </c>
      <c r="N325" s="90">
        <f t="shared" si="127"/>
        <v>0</v>
      </c>
      <c r="O325" s="92">
        <f t="shared" si="128"/>
        <v>0</v>
      </c>
      <c r="P325" s="92">
        <f t="shared" si="129"/>
        <v>0</v>
      </c>
      <c r="Q325" s="92">
        <f t="shared" si="130"/>
        <v>0</v>
      </c>
    </row>
    <row r="326" hidden="1" outlineLevel="1">
      <c r="A326" s="191"/>
      <c r="B326" s="58"/>
      <c r="C326" s="179" t="s">
        <v>118</v>
      </c>
      <c r="D326" s="129" t="s">
        <v>183</v>
      </c>
      <c r="E326" s="129" t="s">
        <v>1758</v>
      </c>
      <c r="F326" s="130">
        <v>150.0</v>
      </c>
      <c r="G326" s="129"/>
      <c r="H326" s="44" t="b">
        <v>1</v>
      </c>
      <c r="K326" s="91" t="s">
        <v>1818</v>
      </c>
      <c r="L326" s="90">
        <f t="shared" si="125"/>
        <v>0</v>
      </c>
      <c r="M326" s="90">
        <f t="shared" si="126"/>
        <v>0</v>
      </c>
      <c r="N326" s="90">
        <f t="shared" si="127"/>
        <v>0</v>
      </c>
      <c r="O326" s="92">
        <f t="shared" si="128"/>
        <v>0</v>
      </c>
      <c r="P326" s="92">
        <f t="shared" si="129"/>
        <v>0</v>
      </c>
      <c r="Q326" s="92">
        <f t="shared" si="130"/>
        <v>0</v>
      </c>
    </row>
    <row r="327" hidden="1" outlineLevel="1">
      <c r="A327" s="191"/>
      <c r="B327" s="58"/>
      <c r="C327" s="179" t="s">
        <v>136</v>
      </c>
      <c r="D327" s="129" t="s">
        <v>1841</v>
      </c>
      <c r="E327" s="129" t="s">
        <v>1758</v>
      </c>
      <c r="F327" s="130">
        <v>200.0</v>
      </c>
      <c r="G327" s="129" t="s">
        <v>139</v>
      </c>
      <c r="H327" s="44" t="b">
        <v>1</v>
      </c>
      <c r="K327" s="91" t="s">
        <v>1828</v>
      </c>
      <c r="L327" s="90">
        <f t="shared" si="125"/>
        <v>4</v>
      </c>
      <c r="M327" s="90">
        <f t="shared" si="126"/>
        <v>0</v>
      </c>
      <c r="N327" s="90">
        <f t="shared" si="127"/>
        <v>4</v>
      </c>
      <c r="O327" s="92">
        <f t="shared" si="128"/>
        <v>800</v>
      </c>
      <c r="P327" s="92">
        <f t="shared" si="129"/>
        <v>800</v>
      </c>
      <c r="Q327" s="92">
        <f t="shared" si="130"/>
        <v>0</v>
      </c>
    </row>
    <row r="328" hidden="1" outlineLevel="1">
      <c r="A328" s="190">
        <v>45451.0</v>
      </c>
      <c r="B328" s="97">
        <f t="shared" ref="B328:B329" si="133">A328</f>
        <v>45451</v>
      </c>
      <c r="C328" s="179" t="s">
        <v>118</v>
      </c>
      <c r="D328" s="129" t="s">
        <v>1841</v>
      </c>
      <c r="E328" s="129" t="s">
        <v>1758</v>
      </c>
      <c r="F328" s="130">
        <v>150.0</v>
      </c>
      <c r="G328" s="129"/>
      <c r="H328" s="44" t="b">
        <v>1</v>
      </c>
      <c r="K328" s="91" t="s">
        <v>1844</v>
      </c>
      <c r="L328" s="90">
        <f t="shared" si="125"/>
        <v>0</v>
      </c>
      <c r="M328" s="90">
        <f t="shared" si="126"/>
        <v>0</v>
      </c>
      <c r="N328" s="90">
        <f t="shared" si="127"/>
        <v>0</v>
      </c>
      <c r="O328" s="92">
        <f t="shared" si="128"/>
        <v>0</v>
      </c>
      <c r="P328" s="92">
        <f t="shared" si="129"/>
        <v>0</v>
      </c>
      <c r="Q328" s="92">
        <f t="shared" si="130"/>
        <v>0</v>
      </c>
    </row>
    <row r="329" hidden="1" outlineLevel="1">
      <c r="A329" s="190">
        <v>45452.0</v>
      </c>
      <c r="B329" s="97">
        <f t="shared" si="133"/>
        <v>45452</v>
      </c>
      <c r="C329" s="179" t="s">
        <v>118</v>
      </c>
      <c r="D329" s="129" t="s">
        <v>1841</v>
      </c>
      <c r="E329" s="129" t="s">
        <v>1758</v>
      </c>
      <c r="F329" s="130">
        <v>200.0</v>
      </c>
      <c r="G329" s="127"/>
      <c r="H329" s="44" t="b">
        <v>1</v>
      </c>
      <c r="K329" s="91" t="s">
        <v>1840</v>
      </c>
      <c r="L329" s="90">
        <f t="shared" si="125"/>
        <v>0</v>
      </c>
      <c r="M329" s="90">
        <f t="shared" si="126"/>
        <v>0</v>
      </c>
      <c r="N329" s="90">
        <f t="shared" si="127"/>
        <v>0</v>
      </c>
      <c r="O329" s="92">
        <f t="shared" si="128"/>
        <v>0</v>
      </c>
      <c r="P329" s="92">
        <f t="shared" si="129"/>
        <v>0</v>
      </c>
      <c r="Q329" s="92">
        <f t="shared" si="130"/>
        <v>0</v>
      </c>
    </row>
    <row r="330" hidden="1" outlineLevel="1">
      <c r="A330" s="191"/>
      <c r="B330" s="58"/>
      <c r="C330" s="179" t="s">
        <v>136</v>
      </c>
      <c r="D330" s="129" t="s">
        <v>363</v>
      </c>
      <c r="E330" s="129" t="s">
        <v>1758</v>
      </c>
      <c r="F330" s="130">
        <v>200.0</v>
      </c>
      <c r="G330" s="127"/>
      <c r="H330" s="44" t="b">
        <v>1</v>
      </c>
      <c r="K330" s="91" t="s">
        <v>1761</v>
      </c>
      <c r="L330" s="90">
        <f t="shared" si="125"/>
        <v>0</v>
      </c>
      <c r="M330" s="90">
        <f t="shared" si="126"/>
        <v>0</v>
      </c>
      <c r="N330" s="90">
        <f t="shared" si="127"/>
        <v>0</v>
      </c>
      <c r="O330" s="92">
        <f t="shared" si="128"/>
        <v>0</v>
      </c>
      <c r="P330" s="92">
        <f t="shared" si="129"/>
        <v>0</v>
      </c>
      <c r="Q330" s="92">
        <f t="shared" si="130"/>
        <v>0</v>
      </c>
    </row>
    <row r="331" hidden="1" outlineLevel="1">
      <c r="A331" s="190">
        <v>45453.0</v>
      </c>
      <c r="B331" s="97">
        <f t="shared" ref="B331:B332" si="134">A331</f>
        <v>45453</v>
      </c>
      <c r="C331" s="179" t="s">
        <v>118</v>
      </c>
      <c r="D331" s="129" t="s">
        <v>1756</v>
      </c>
      <c r="E331" s="129" t="s">
        <v>1758</v>
      </c>
      <c r="F331" s="130">
        <v>150.0</v>
      </c>
      <c r="G331" s="127"/>
      <c r="H331" s="44" t="b">
        <v>1</v>
      </c>
      <c r="K331" s="91" t="s">
        <v>1849</v>
      </c>
      <c r="L331" s="90">
        <f t="shared" si="125"/>
        <v>0</v>
      </c>
      <c r="M331" s="90">
        <f t="shared" si="126"/>
        <v>0</v>
      </c>
      <c r="N331" s="90">
        <f t="shared" si="127"/>
        <v>0</v>
      </c>
      <c r="O331" s="92">
        <f t="shared" si="128"/>
        <v>0</v>
      </c>
      <c r="P331" s="92">
        <f t="shared" si="129"/>
        <v>0</v>
      </c>
      <c r="Q331" s="92">
        <f t="shared" si="130"/>
        <v>0</v>
      </c>
    </row>
    <row r="332" hidden="1" outlineLevel="1">
      <c r="A332" s="190">
        <v>45454.0</v>
      </c>
      <c r="B332" s="97">
        <f t="shared" si="134"/>
        <v>45454</v>
      </c>
      <c r="C332" s="179" t="s">
        <v>118</v>
      </c>
      <c r="D332" s="129" t="s">
        <v>1756</v>
      </c>
      <c r="E332" s="129" t="s">
        <v>469</v>
      </c>
      <c r="F332" s="130">
        <v>150.0</v>
      </c>
      <c r="G332" s="127"/>
      <c r="H332" s="44" t="b">
        <v>1</v>
      </c>
      <c r="K332" s="91" t="s">
        <v>1841</v>
      </c>
      <c r="L332" s="90">
        <f t="shared" si="125"/>
        <v>3</v>
      </c>
      <c r="M332" s="90">
        <f t="shared" si="126"/>
        <v>0</v>
      </c>
      <c r="N332" s="90">
        <f t="shared" si="127"/>
        <v>3</v>
      </c>
      <c r="O332" s="92">
        <f t="shared" si="128"/>
        <v>550</v>
      </c>
      <c r="P332" s="92">
        <f t="shared" si="129"/>
        <v>550</v>
      </c>
      <c r="Q332" s="92">
        <f t="shared" si="130"/>
        <v>0</v>
      </c>
    </row>
    <row r="333" hidden="1" outlineLevel="1">
      <c r="A333" s="191"/>
      <c r="B333" s="58"/>
      <c r="C333" s="179" t="s">
        <v>118</v>
      </c>
      <c r="D333" s="129" t="s">
        <v>183</v>
      </c>
      <c r="E333" s="129" t="s">
        <v>1758</v>
      </c>
      <c r="F333" s="130">
        <v>150.0</v>
      </c>
      <c r="G333" s="127"/>
      <c r="H333" s="44" t="b">
        <v>1</v>
      </c>
      <c r="K333" s="276"/>
      <c r="L333" s="276"/>
      <c r="M333" s="276"/>
      <c r="N333" s="276"/>
      <c r="O333" s="276"/>
      <c r="P333" s="276"/>
      <c r="Q333" s="276"/>
    </row>
    <row r="334" hidden="1" outlineLevel="1">
      <c r="A334" s="190">
        <v>45455.0</v>
      </c>
      <c r="B334" s="97">
        <f t="shared" ref="B334:B336" si="135">A334</f>
        <v>45455</v>
      </c>
      <c r="C334" s="179" t="s">
        <v>118</v>
      </c>
      <c r="D334" s="129" t="s">
        <v>1756</v>
      </c>
      <c r="E334" s="129" t="s">
        <v>1758</v>
      </c>
      <c r="F334" s="130">
        <v>150.0</v>
      </c>
      <c r="G334" s="129"/>
      <c r="H334" s="44" t="b">
        <v>1</v>
      </c>
      <c r="K334" s="91"/>
      <c r="L334" s="90"/>
      <c r="M334" s="90"/>
      <c r="N334" s="90"/>
      <c r="O334" s="92"/>
      <c r="P334" s="92"/>
      <c r="Q334" s="90"/>
    </row>
    <row r="335" hidden="1" outlineLevel="1">
      <c r="A335" s="190">
        <v>45456.0</v>
      </c>
      <c r="B335" s="97">
        <f t="shared" si="135"/>
        <v>45456</v>
      </c>
      <c r="C335" s="179" t="s">
        <v>118</v>
      </c>
      <c r="D335" s="129" t="s">
        <v>1756</v>
      </c>
      <c r="E335" s="129" t="s">
        <v>1758</v>
      </c>
      <c r="F335" s="130">
        <v>150.0</v>
      </c>
      <c r="G335" s="127"/>
      <c r="H335" s="44" t="b">
        <v>1</v>
      </c>
      <c r="K335" s="477" t="s">
        <v>195</v>
      </c>
      <c r="L335" s="478">
        <f t="shared" ref="L335:Q335" si="136">SUM(L319:L334)</f>
        <v>36</v>
      </c>
      <c r="M335" s="478">
        <f t="shared" si="136"/>
        <v>8</v>
      </c>
      <c r="N335" s="478">
        <f t="shared" si="136"/>
        <v>44</v>
      </c>
      <c r="O335" s="479">
        <f t="shared" si="136"/>
        <v>7350</v>
      </c>
      <c r="P335" s="479">
        <f t="shared" si="136"/>
        <v>7350</v>
      </c>
      <c r="Q335" s="479">
        <f t="shared" si="136"/>
        <v>0</v>
      </c>
    </row>
    <row r="336" hidden="1" outlineLevel="1">
      <c r="A336" s="190">
        <v>45457.0</v>
      </c>
      <c r="B336" s="97">
        <f t="shared" si="135"/>
        <v>45457</v>
      </c>
      <c r="C336" s="179" t="s">
        <v>118</v>
      </c>
      <c r="D336" s="129" t="s">
        <v>1756</v>
      </c>
      <c r="E336" s="129" t="s">
        <v>469</v>
      </c>
      <c r="F336" s="130">
        <v>150.0</v>
      </c>
      <c r="G336" s="127"/>
      <c r="H336" s="44" t="b">
        <v>1</v>
      </c>
    </row>
    <row r="337" hidden="1" outlineLevel="1">
      <c r="A337" s="191"/>
      <c r="B337" s="58"/>
      <c r="C337" s="179" t="s">
        <v>118</v>
      </c>
      <c r="D337" s="129" t="s">
        <v>183</v>
      </c>
      <c r="E337" s="129" t="s">
        <v>1758</v>
      </c>
      <c r="F337" s="130">
        <v>150.0</v>
      </c>
      <c r="G337" s="127"/>
      <c r="H337" s="44" t="b">
        <v>1</v>
      </c>
    </row>
    <row r="338" hidden="1" outlineLevel="1">
      <c r="A338" s="190">
        <v>45458.0</v>
      </c>
      <c r="B338" s="97">
        <f t="shared" ref="B338:B339" si="137">A338</f>
        <v>45458</v>
      </c>
      <c r="C338" s="179" t="s">
        <v>118</v>
      </c>
      <c r="D338" s="129" t="s">
        <v>1756</v>
      </c>
      <c r="E338" s="129" t="s">
        <v>1758</v>
      </c>
      <c r="F338" s="130">
        <v>150.0</v>
      </c>
      <c r="G338" s="127"/>
      <c r="H338" s="44" t="b">
        <v>1</v>
      </c>
    </row>
    <row r="339" hidden="1" outlineLevel="1">
      <c r="A339" s="190">
        <v>45459.0</v>
      </c>
      <c r="B339" s="97">
        <f t="shared" si="137"/>
        <v>45459</v>
      </c>
      <c r="C339" s="179" t="s">
        <v>118</v>
      </c>
      <c r="D339" s="129" t="s">
        <v>1828</v>
      </c>
      <c r="E339" s="129" t="s">
        <v>1758</v>
      </c>
      <c r="F339" s="130">
        <v>200.0</v>
      </c>
      <c r="G339" s="127"/>
      <c r="H339" s="44" t="b">
        <v>1</v>
      </c>
    </row>
    <row r="340" hidden="1" outlineLevel="1">
      <c r="A340" s="191"/>
      <c r="B340" s="58"/>
      <c r="C340" s="179" t="s">
        <v>136</v>
      </c>
      <c r="D340" s="129" t="s">
        <v>363</v>
      </c>
      <c r="E340" s="129" t="s">
        <v>1758</v>
      </c>
      <c r="F340" s="130">
        <v>200.0</v>
      </c>
      <c r="G340" s="127"/>
      <c r="H340" s="44" t="b">
        <v>1</v>
      </c>
    </row>
    <row r="341" hidden="1" outlineLevel="1">
      <c r="A341" s="190">
        <v>45460.0</v>
      </c>
      <c r="B341" s="97">
        <f t="shared" ref="B341:B342" si="138">A341</f>
        <v>45460</v>
      </c>
      <c r="C341" s="179" t="s">
        <v>118</v>
      </c>
      <c r="D341" s="129" t="s">
        <v>1756</v>
      </c>
      <c r="E341" s="129" t="s">
        <v>1758</v>
      </c>
      <c r="F341" s="130">
        <v>150.0</v>
      </c>
      <c r="G341" s="127"/>
      <c r="H341" s="44" t="b">
        <v>1</v>
      </c>
    </row>
    <row r="342" hidden="1" outlineLevel="1">
      <c r="A342" s="190">
        <v>45461.0</v>
      </c>
      <c r="B342" s="97">
        <f t="shared" si="138"/>
        <v>45461</v>
      </c>
      <c r="C342" s="179" t="s">
        <v>118</v>
      </c>
      <c r="D342" s="129" t="s">
        <v>1756</v>
      </c>
      <c r="E342" s="129" t="s">
        <v>469</v>
      </c>
      <c r="F342" s="130">
        <v>150.0</v>
      </c>
      <c r="G342" s="127"/>
      <c r="H342" s="44" t="b">
        <v>1</v>
      </c>
    </row>
    <row r="343" hidden="1" outlineLevel="1">
      <c r="A343" s="191"/>
      <c r="B343" s="58"/>
      <c r="C343" s="179" t="s">
        <v>118</v>
      </c>
      <c r="D343" s="129" t="s">
        <v>183</v>
      </c>
      <c r="E343" s="129" t="s">
        <v>1758</v>
      </c>
      <c r="F343" s="130">
        <v>150.0</v>
      </c>
      <c r="G343" s="127"/>
      <c r="H343" s="44" t="b">
        <v>1</v>
      </c>
    </row>
    <row r="344" hidden="1" outlineLevel="1">
      <c r="A344" s="190">
        <v>45462.0</v>
      </c>
      <c r="B344" s="97">
        <f t="shared" ref="B344:B346" si="139">A344</f>
        <v>45462</v>
      </c>
      <c r="C344" s="179" t="s">
        <v>118</v>
      </c>
      <c r="D344" s="129" t="s">
        <v>1756</v>
      </c>
      <c r="E344" s="129" t="s">
        <v>1758</v>
      </c>
      <c r="F344" s="130">
        <v>150.0</v>
      </c>
      <c r="G344" s="129"/>
      <c r="H344" s="44" t="b">
        <v>1</v>
      </c>
    </row>
    <row r="345" hidden="1" outlineLevel="1">
      <c r="A345" s="190">
        <v>45463.0</v>
      </c>
      <c r="B345" s="97">
        <f t="shared" si="139"/>
        <v>45463</v>
      </c>
      <c r="C345" s="179" t="s">
        <v>118</v>
      </c>
      <c r="D345" s="129" t="s">
        <v>1756</v>
      </c>
      <c r="E345" s="129" t="s">
        <v>1758</v>
      </c>
      <c r="F345" s="130">
        <v>150.0</v>
      </c>
      <c r="G345" s="127"/>
      <c r="H345" s="44" t="b">
        <v>1</v>
      </c>
    </row>
    <row r="346" hidden="1" outlineLevel="1">
      <c r="A346" s="190">
        <v>45464.0</v>
      </c>
      <c r="B346" s="97">
        <f t="shared" si="139"/>
        <v>45464</v>
      </c>
      <c r="C346" s="179" t="s">
        <v>118</v>
      </c>
      <c r="D346" s="129" t="s">
        <v>1756</v>
      </c>
      <c r="E346" s="129" t="s">
        <v>469</v>
      </c>
      <c r="F346" s="130">
        <v>150.0</v>
      </c>
      <c r="G346" s="127"/>
      <c r="H346" s="44" t="b">
        <v>1</v>
      </c>
    </row>
    <row r="347" hidden="1" outlineLevel="1">
      <c r="A347" s="191"/>
      <c r="B347" s="58"/>
      <c r="C347" s="179" t="s">
        <v>118</v>
      </c>
      <c r="D347" s="129" t="s">
        <v>183</v>
      </c>
      <c r="E347" s="129" t="s">
        <v>1758</v>
      </c>
      <c r="F347" s="130">
        <v>150.0</v>
      </c>
      <c r="G347" s="127"/>
      <c r="H347" s="44" t="b">
        <v>1</v>
      </c>
    </row>
    <row r="348" hidden="1" outlineLevel="1">
      <c r="A348" s="190">
        <v>45465.0</v>
      </c>
      <c r="B348" s="97">
        <f t="shared" ref="B348:B349" si="140">A348</f>
        <v>45465</v>
      </c>
      <c r="C348" s="179" t="s">
        <v>118</v>
      </c>
      <c r="D348" s="129" t="s">
        <v>1756</v>
      </c>
      <c r="E348" s="129" t="s">
        <v>1758</v>
      </c>
      <c r="F348" s="130">
        <v>150.0</v>
      </c>
      <c r="G348" s="127"/>
      <c r="H348" s="44" t="b">
        <v>1</v>
      </c>
    </row>
    <row r="349" hidden="1" outlineLevel="1">
      <c r="A349" s="190">
        <v>45466.0</v>
      </c>
      <c r="B349" s="97">
        <f t="shared" si="140"/>
        <v>45466</v>
      </c>
      <c r="C349" s="179" t="s">
        <v>118</v>
      </c>
      <c r="D349" s="129" t="s">
        <v>1828</v>
      </c>
      <c r="E349" s="129" t="s">
        <v>1758</v>
      </c>
      <c r="F349" s="130">
        <v>200.0</v>
      </c>
      <c r="G349" s="127"/>
      <c r="H349" s="44" t="b">
        <v>1</v>
      </c>
    </row>
    <row r="350" hidden="1" outlineLevel="1">
      <c r="A350" s="191"/>
      <c r="B350" s="58"/>
      <c r="C350" s="179" t="s">
        <v>136</v>
      </c>
      <c r="D350" s="129" t="s">
        <v>363</v>
      </c>
      <c r="E350" s="129" t="s">
        <v>1758</v>
      </c>
      <c r="F350" s="130">
        <v>200.0</v>
      </c>
      <c r="G350" s="127"/>
      <c r="H350" s="44" t="b">
        <v>1</v>
      </c>
    </row>
    <row r="351" hidden="1" outlineLevel="1">
      <c r="A351" s="190">
        <v>45467.0</v>
      </c>
      <c r="B351" s="97">
        <f t="shared" ref="B351:B352" si="141">A351</f>
        <v>45467</v>
      </c>
      <c r="C351" s="179" t="s">
        <v>118</v>
      </c>
      <c r="D351" s="129" t="s">
        <v>1756</v>
      </c>
      <c r="E351" s="129" t="s">
        <v>1758</v>
      </c>
      <c r="F351" s="130">
        <v>150.0</v>
      </c>
      <c r="G351" s="127"/>
      <c r="H351" s="44" t="b">
        <v>1</v>
      </c>
    </row>
    <row r="352" hidden="1" outlineLevel="1">
      <c r="A352" s="190">
        <v>45468.0</v>
      </c>
      <c r="B352" s="97">
        <f t="shared" si="141"/>
        <v>45468</v>
      </c>
      <c r="C352" s="179" t="s">
        <v>118</v>
      </c>
      <c r="D352" s="129" t="s">
        <v>1756</v>
      </c>
      <c r="E352" s="129" t="s">
        <v>469</v>
      </c>
      <c r="F352" s="130">
        <v>150.0</v>
      </c>
      <c r="G352" s="127"/>
      <c r="H352" s="44" t="b">
        <v>1</v>
      </c>
    </row>
    <row r="353" hidden="1" outlineLevel="1">
      <c r="A353" s="191"/>
      <c r="B353" s="58"/>
      <c r="C353" s="179" t="s">
        <v>118</v>
      </c>
      <c r="D353" s="129" t="s">
        <v>183</v>
      </c>
      <c r="E353" s="129" t="s">
        <v>1758</v>
      </c>
      <c r="F353" s="130">
        <v>150.0</v>
      </c>
      <c r="G353" s="127"/>
      <c r="H353" s="44" t="b">
        <v>1</v>
      </c>
    </row>
    <row r="354" hidden="1" outlineLevel="1">
      <c r="A354" s="190">
        <v>45469.0</v>
      </c>
      <c r="B354" s="97">
        <f t="shared" ref="B354:B356" si="142">A354</f>
        <v>45469</v>
      </c>
      <c r="C354" s="179" t="s">
        <v>118</v>
      </c>
      <c r="D354" s="129" t="s">
        <v>1756</v>
      </c>
      <c r="E354" s="129" t="s">
        <v>1758</v>
      </c>
      <c r="F354" s="130">
        <v>150.0</v>
      </c>
      <c r="G354" s="127"/>
      <c r="H354" s="44" t="b">
        <v>1</v>
      </c>
    </row>
    <row r="355" hidden="1" outlineLevel="1">
      <c r="A355" s="190">
        <v>45470.0</v>
      </c>
      <c r="B355" s="97">
        <f t="shared" si="142"/>
        <v>45470</v>
      </c>
      <c r="C355" s="179" t="s">
        <v>118</v>
      </c>
      <c r="D355" s="129" t="s">
        <v>1756</v>
      </c>
      <c r="E355" s="129" t="s">
        <v>1758</v>
      </c>
      <c r="F355" s="130">
        <v>150.0</v>
      </c>
      <c r="G355" s="127"/>
      <c r="H355" s="44" t="b">
        <v>1</v>
      </c>
    </row>
    <row r="356" hidden="1" outlineLevel="1">
      <c r="A356" s="190">
        <v>45471.0</v>
      </c>
      <c r="B356" s="97">
        <f t="shared" si="142"/>
        <v>45471</v>
      </c>
      <c r="C356" s="179" t="s">
        <v>118</v>
      </c>
      <c r="D356" s="129" t="s">
        <v>1756</v>
      </c>
      <c r="E356" s="129" t="s">
        <v>469</v>
      </c>
      <c r="F356" s="130">
        <v>150.0</v>
      </c>
      <c r="G356" s="127"/>
      <c r="H356" s="44" t="b">
        <v>1</v>
      </c>
    </row>
    <row r="357" hidden="1" outlineLevel="1">
      <c r="A357" s="191"/>
      <c r="B357" s="58"/>
      <c r="C357" s="179" t="s">
        <v>118</v>
      </c>
      <c r="D357" s="129" t="s">
        <v>183</v>
      </c>
      <c r="E357" s="129" t="s">
        <v>1758</v>
      </c>
      <c r="F357" s="130">
        <v>150.0</v>
      </c>
      <c r="G357" s="127"/>
      <c r="H357" s="44" t="b">
        <v>1</v>
      </c>
    </row>
    <row r="358" hidden="1" outlineLevel="1">
      <c r="A358" s="190">
        <v>45472.0</v>
      </c>
      <c r="B358" s="97">
        <f t="shared" ref="B358:B359" si="143">A358</f>
        <v>45472</v>
      </c>
      <c r="C358" s="179" t="s">
        <v>118</v>
      </c>
      <c r="D358" s="129" t="s">
        <v>1756</v>
      </c>
      <c r="E358" s="129" t="s">
        <v>1758</v>
      </c>
      <c r="F358" s="130">
        <v>150.0</v>
      </c>
      <c r="G358" s="127"/>
      <c r="H358" s="44" t="b">
        <v>1</v>
      </c>
    </row>
    <row r="359" hidden="1" outlineLevel="1">
      <c r="A359" s="190">
        <v>45473.0</v>
      </c>
      <c r="B359" s="97">
        <f t="shared" si="143"/>
        <v>45473</v>
      </c>
      <c r="C359" s="179" t="s">
        <v>118</v>
      </c>
      <c r="D359" s="129" t="s">
        <v>1828</v>
      </c>
      <c r="E359" s="129" t="s">
        <v>1758</v>
      </c>
      <c r="F359" s="130">
        <v>200.0</v>
      </c>
      <c r="G359" s="127"/>
      <c r="H359" s="44" t="b">
        <v>1</v>
      </c>
    </row>
    <row r="360" hidden="1" outlineLevel="1">
      <c r="A360" s="191"/>
      <c r="B360" s="58"/>
      <c r="C360" s="179" t="s">
        <v>136</v>
      </c>
      <c r="D360" s="129" t="s">
        <v>1845</v>
      </c>
      <c r="E360" s="129" t="s">
        <v>1758</v>
      </c>
      <c r="F360" s="130">
        <v>200.0</v>
      </c>
      <c r="G360" s="127"/>
      <c r="H360" s="44" t="b">
        <v>1</v>
      </c>
    </row>
    <row r="361">
      <c r="A361" s="484" t="s">
        <v>195</v>
      </c>
      <c r="B361" s="27"/>
      <c r="C361" s="27"/>
      <c r="D361" s="27"/>
      <c r="E361" s="28"/>
      <c r="F361" s="485">
        <f>SUM(F317:F360)</f>
        <v>7350</v>
      </c>
      <c r="G361" s="486"/>
      <c r="H361" s="28"/>
    </row>
    <row r="362" collapsed="1">
      <c r="A362" s="339" t="s">
        <v>675</v>
      </c>
      <c r="B362" s="246"/>
      <c r="C362" s="246"/>
      <c r="D362" s="246"/>
      <c r="E362" s="246"/>
      <c r="F362" s="246"/>
      <c r="G362" s="246"/>
      <c r="H362" s="247"/>
    </row>
    <row r="363" hidden="1" outlineLevel="1">
      <c r="A363" s="190">
        <v>45474.0</v>
      </c>
      <c r="B363" s="97">
        <f t="shared" ref="B363:B364" si="144">A363</f>
        <v>45474</v>
      </c>
      <c r="C363" s="179" t="s">
        <v>118</v>
      </c>
      <c r="D363" s="129" t="s">
        <v>1756</v>
      </c>
      <c r="E363" s="129" t="s">
        <v>1758</v>
      </c>
      <c r="F363" s="130">
        <v>150.0</v>
      </c>
      <c r="G363" s="127"/>
      <c r="H363" s="44" t="b">
        <v>1</v>
      </c>
      <c r="K363" s="440" t="s">
        <v>2045</v>
      </c>
      <c r="L363" s="27"/>
      <c r="M363" s="27"/>
      <c r="N363" s="27"/>
      <c r="O363" s="27"/>
      <c r="P363" s="27"/>
      <c r="Q363" s="28"/>
    </row>
    <row r="364" hidden="1" outlineLevel="1">
      <c r="A364" s="190">
        <v>45475.0</v>
      </c>
      <c r="B364" s="97">
        <f t="shared" si="144"/>
        <v>45475</v>
      </c>
      <c r="C364" s="179" t="s">
        <v>118</v>
      </c>
      <c r="D364" s="129" t="s">
        <v>183</v>
      </c>
      <c r="E364" s="129" t="s">
        <v>1758</v>
      </c>
      <c r="F364" s="130">
        <v>150.0</v>
      </c>
      <c r="G364" s="127"/>
      <c r="H364" s="44" t="b">
        <v>1</v>
      </c>
      <c r="K364" s="441" t="s">
        <v>1749</v>
      </c>
      <c r="L364" s="441" t="s">
        <v>1758</v>
      </c>
      <c r="M364" s="441" t="s">
        <v>469</v>
      </c>
      <c r="N364" s="441" t="s">
        <v>195</v>
      </c>
      <c r="O364" s="441" t="s">
        <v>1764</v>
      </c>
      <c r="P364" s="441" t="s">
        <v>1765</v>
      </c>
      <c r="Q364" s="441" t="s">
        <v>1766</v>
      </c>
    </row>
    <row r="365" hidden="1" outlineLevel="1">
      <c r="A365" s="191"/>
      <c r="B365" s="58"/>
      <c r="C365" s="179" t="s">
        <v>118</v>
      </c>
      <c r="D365" s="129" t="s">
        <v>1756</v>
      </c>
      <c r="E365" s="129" t="s">
        <v>469</v>
      </c>
      <c r="F365" s="130">
        <v>150.0</v>
      </c>
      <c r="G365" s="127"/>
      <c r="H365" s="44" t="b">
        <v>1</v>
      </c>
      <c r="K365" s="91" t="s">
        <v>1756</v>
      </c>
      <c r="L365" s="90">
        <f t="shared" ref="L365:L378" si="145">COUNTIFS($D$363:$D$407, $K365,$E$363:$E$407,$L$364)</f>
        <v>19</v>
      </c>
      <c r="M365" s="90">
        <f t="shared" ref="M365:M378" si="146">COUNTIFS($D$363:$D$407, $K365,$E$363:$E$407,$M$364)</f>
        <v>9</v>
      </c>
      <c r="N365" s="90">
        <f t="shared" ref="N365:N378" si="147">L365+M365</f>
        <v>28</v>
      </c>
      <c r="O365" s="92">
        <f t="shared" ref="O365:O378" si="148">SUMIFS($F$363:$F$407,$D$363:$D$407,$K365)</f>
        <v>4250</v>
      </c>
      <c r="P365" s="92">
        <f t="shared" ref="P365:P378" si="149">SUMIFS($F$363:$F$407,$D$363:$D$407,$K365,$H$363:$H$407,TRUE)</f>
        <v>4250</v>
      </c>
      <c r="Q365" s="92">
        <f t="shared" ref="Q365:Q378" si="150">O365-P365</f>
        <v>0</v>
      </c>
    </row>
    <row r="366" hidden="1" outlineLevel="1">
      <c r="A366" s="190">
        <v>45476.0</v>
      </c>
      <c r="B366" s="97">
        <f t="shared" ref="B366:B368" si="151">A366</f>
        <v>45476</v>
      </c>
      <c r="C366" s="179" t="s">
        <v>118</v>
      </c>
      <c r="D366" s="129" t="s">
        <v>1756</v>
      </c>
      <c r="E366" s="129" t="s">
        <v>1758</v>
      </c>
      <c r="F366" s="130">
        <v>150.0</v>
      </c>
      <c r="G366" s="129"/>
      <c r="H366" s="44" t="b">
        <v>1</v>
      </c>
      <c r="K366" s="91" t="s">
        <v>183</v>
      </c>
      <c r="L366" s="90">
        <f t="shared" si="145"/>
        <v>8</v>
      </c>
      <c r="M366" s="90">
        <f t="shared" si="146"/>
        <v>0</v>
      </c>
      <c r="N366" s="90">
        <f t="shared" si="147"/>
        <v>8</v>
      </c>
      <c r="O366" s="92">
        <f t="shared" si="148"/>
        <v>1200</v>
      </c>
      <c r="P366" s="92">
        <f t="shared" si="149"/>
        <v>1200</v>
      </c>
      <c r="Q366" s="92">
        <f t="shared" si="150"/>
        <v>0</v>
      </c>
    </row>
    <row r="367" hidden="1" outlineLevel="1">
      <c r="A367" s="190">
        <v>45477.0</v>
      </c>
      <c r="B367" s="97">
        <f t="shared" si="151"/>
        <v>45477</v>
      </c>
      <c r="C367" s="179" t="s">
        <v>118</v>
      </c>
      <c r="D367" s="129" t="s">
        <v>1756</v>
      </c>
      <c r="E367" s="129" t="s">
        <v>1758</v>
      </c>
      <c r="F367" s="130">
        <v>150.0</v>
      </c>
      <c r="G367" s="129"/>
      <c r="H367" s="44" t="b">
        <v>1</v>
      </c>
      <c r="K367" s="91" t="s">
        <v>1805</v>
      </c>
      <c r="L367" s="90">
        <f t="shared" si="145"/>
        <v>0</v>
      </c>
      <c r="M367" s="90">
        <f t="shared" si="146"/>
        <v>0</v>
      </c>
      <c r="N367" s="90">
        <f t="shared" si="147"/>
        <v>0</v>
      </c>
      <c r="O367" s="92">
        <f t="shared" si="148"/>
        <v>0</v>
      </c>
      <c r="P367" s="92">
        <f t="shared" si="149"/>
        <v>0</v>
      </c>
      <c r="Q367" s="92">
        <f t="shared" si="150"/>
        <v>0</v>
      </c>
    </row>
    <row r="368" hidden="1" outlineLevel="1">
      <c r="A368" s="190">
        <v>45478.0</v>
      </c>
      <c r="B368" s="97">
        <f t="shared" si="151"/>
        <v>45478</v>
      </c>
      <c r="C368" s="179" t="s">
        <v>118</v>
      </c>
      <c r="D368" s="129" t="s">
        <v>1756</v>
      </c>
      <c r="E368" s="129" t="s">
        <v>469</v>
      </c>
      <c r="F368" s="130">
        <v>150.0</v>
      </c>
      <c r="G368" s="129"/>
      <c r="H368" s="44" t="b">
        <v>1</v>
      </c>
      <c r="K368" s="91" t="s">
        <v>1845</v>
      </c>
      <c r="L368" s="90">
        <f t="shared" si="145"/>
        <v>1</v>
      </c>
      <c r="M368" s="90">
        <f t="shared" si="146"/>
        <v>0</v>
      </c>
      <c r="N368" s="90">
        <f t="shared" si="147"/>
        <v>1</v>
      </c>
      <c r="O368" s="92">
        <f t="shared" si="148"/>
        <v>200</v>
      </c>
      <c r="P368" s="92">
        <f t="shared" si="149"/>
        <v>200</v>
      </c>
      <c r="Q368" s="92">
        <f t="shared" si="150"/>
        <v>0</v>
      </c>
    </row>
    <row r="369" hidden="1" outlineLevel="1">
      <c r="A369" s="191"/>
      <c r="B369" s="58"/>
      <c r="C369" s="179" t="s">
        <v>118</v>
      </c>
      <c r="D369" s="129" t="s">
        <v>183</v>
      </c>
      <c r="E369" s="129" t="s">
        <v>1758</v>
      </c>
      <c r="F369" s="130">
        <v>150.0</v>
      </c>
      <c r="G369" s="129"/>
      <c r="H369" s="44" t="b">
        <v>1</v>
      </c>
      <c r="K369" s="91" t="s">
        <v>363</v>
      </c>
      <c r="L369" s="90">
        <f t="shared" si="145"/>
        <v>3</v>
      </c>
      <c r="M369" s="90">
        <f t="shared" si="146"/>
        <v>0</v>
      </c>
      <c r="N369" s="90">
        <f t="shared" si="147"/>
        <v>3</v>
      </c>
      <c r="O369" s="92">
        <f t="shared" si="148"/>
        <v>600</v>
      </c>
      <c r="P369" s="92">
        <f t="shared" si="149"/>
        <v>600</v>
      </c>
      <c r="Q369" s="92">
        <f t="shared" si="150"/>
        <v>0</v>
      </c>
    </row>
    <row r="370" hidden="1" outlineLevel="1">
      <c r="A370" s="191"/>
      <c r="B370" s="58"/>
      <c r="C370" s="179" t="s">
        <v>136</v>
      </c>
      <c r="D370" s="129" t="s">
        <v>1828</v>
      </c>
      <c r="E370" s="129" t="s">
        <v>1758</v>
      </c>
      <c r="F370" s="130">
        <v>150.0</v>
      </c>
      <c r="G370" s="129"/>
      <c r="H370" s="44" t="b">
        <v>1</v>
      </c>
      <c r="K370" s="91" t="s">
        <v>1822</v>
      </c>
      <c r="L370" s="90">
        <f t="shared" si="145"/>
        <v>0</v>
      </c>
      <c r="M370" s="90">
        <f t="shared" si="146"/>
        <v>0</v>
      </c>
      <c r="N370" s="90">
        <f t="shared" si="147"/>
        <v>0</v>
      </c>
      <c r="O370" s="92">
        <f t="shared" si="148"/>
        <v>0</v>
      </c>
      <c r="P370" s="92">
        <f t="shared" si="149"/>
        <v>0</v>
      </c>
      <c r="Q370" s="92">
        <f t="shared" si="150"/>
        <v>0</v>
      </c>
    </row>
    <row r="371" hidden="1" outlineLevel="1">
      <c r="A371" s="190">
        <v>45479.0</v>
      </c>
      <c r="B371" s="97">
        <f t="shared" ref="B371:B372" si="152">A371</f>
        <v>45479</v>
      </c>
      <c r="C371" s="179" t="s">
        <v>118</v>
      </c>
      <c r="D371" s="129" t="s">
        <v>1756</v>
      </c>
      <c r="E371" s="129" t="s">
        <v>1758</v>
      </c>
      <c r="F371" s="130">
        <v>150.0</v>
      </c>
      <c r="G371" s="129"/>
      <c r="H371" s="44" t="b">
        <v>1</v>
      </c>
      <c r="K371" s="91" t="s">
        <v>1842</v>
      </c>
      <c r="L371" s="90">
        <f t="shared" si="145"/>
        <v>0</v>
      </c>
      <c r="M371" s="90">
        <f t="shared" si="146"/>
        <v>0</v>
      </c>
      <c r="N371" s="90">
        <f t="shared" si="147"/>
        <v>0</v>
      </c>
      <c r="O371" s="92">
        <f t="shared" si="148"/>
        <v>0</v>
      </c>
      <c r="P371" s="92">
        <f t="shared" si="149"/>
        <v>0</v>
      </c>
      <c r="Q371" s="92">
        <f t="shared" si="150"/>
        <v>0</v>
      </c>
    </row>
    <row r="372" hidden="1" outlineLevel="1">
      <c r="A372" s="190">
        <v>45480.0</v>
      </c>
      <c r="B372" s="97">
        <f t="shared" si="152"/>
        <v>45480</v>
      </c>
      <c r="C372" s="179" t="s">
        <v>118</v>
      </c>
      <c r="D372" s="129" t="s">
        <v>363</v>
      </c>
      <c r="E372" s="129" t="s">
        <v>1758</v>
      </c>
      <c r="F372" s="130">
        <v>200.0</v>
      </c>
      <c r="G372" s="127"/>
      <c r="H372" s="44" t="b">
        <v>1</v>
      </c>
      <c r="K372" s="91" t="s">
        <v>1818</v>
      </c>
      <c r="L372" s="90">
        <f t="shared" si="145"/>
        <v>1</v>
      </c>
      <c r="M372" s="90">
        <f t="shared" si="146"/>
        <v>0</v>
      </c>
      <c r="N372" s="90">
        <f t="shared" si="147"/>
        <v>1</v>
      </c>
      <c r="O372" s="92">
        <f t="shared" si="148"/>
        <v>200</v>
      </c>
      <c r="P372" s="92">
        <f t="shared" si="149"/>
        <v>200</v>
      </c>
      <c r="Q372" s="92">
        <f t="shared" si="150"/>
        <v>0</v>
      </c>
    </row>
    <row r="373" hidden="1" outlineLevel="1">
      <c r="A373" s="191"/>
      <c r="B373" s="58"/>
      <c r="C373" s="179" t="s">
        <v>136</v>
      </c>
      <c r="D373" s="129" t="s">
        <v>363</v>
      </c>
      <c r="E373" s="129" t="s">
        <v>1758</v>
      </c>
      <c r="F373" s="130">
        <v>200.0</v>
      </c>
      <c r="G373" s="127"/>
      <c r="H373" s="44" t="b">
        <v>1</v>
      </c>
      <c r="K373" s="91" t="s">
        <v>1828</v>
      </c>
      <c r="L373" s="90">
        <f t="shared" si="145"/>
        <v>1</v>
      </c>
      <c r="M373" s="90">
        <f t="shared" si="146"/>
        <v>0</v>
      </c>
      <c r="N373" s="90">
        <f t="shared" si="147"/>
        <v>1</v>
      </c>
      <c r="O373" s="92">
        <f t="shared" si="148"/>
        <v>150</v>
      </c>
      <c r="P373" s="92">
        <f t="shared" si="149"/>
        <v>150</v>
      </c>
      <c r="Q373" s="92">
        <f t="shared" si="150"/>
        <v>0</v>
      </c>
    </row>
    <row r="374" hidden="1" outlineLevel="1">
      <c r="A374" s="190">
        <v>45481.0</v>
      </c>
      <c r="B374" s="97">
        <f t="shared" ref="B374:B375" si="153">A374</f>
        <v>45481</v>
      </c>
      <c r="C374" s="179" t="s">
        <v>118</v>
      </c>
      <c r="D374" s="129" t="s">
        <v>1756</v>
      </c>
      <c r="E374" s="129" t="s">
        <v>1758</v>
      </c>
      <c r="F374" s="130">
        <v>150.0</v>
      </c>
      <c r="G374" s="127"/>
      <c r="H374" s="44" t="b">
        <v>1</v>
      </c>
      <c r="K374" s="91" t="s">
        <v>1844</v>
      </c>
      <c r="L374" s="90">
        <f t="shared" si="145"/>
        <v>1</v>
      </c>
      <c r="M374" s="90">
        <f t="shared" si="146"/>
        <v>0</v>
      </c>
      <c r="N374" s="90">
        <f t="shared" si="147"/>
        <v>1</v>
      </c>
      <c r="O374" s="92">
        <f t="shared" si="148"/>
        <v>200</v>
      </c>
      <c r="P374" s="92">
        <f t="shared" si="149"/>
        <v>200</v>
      </c>
      <c r="Q374" s="92">
        <f t="shared" si="150"/>
        <v>0</v>
      </c>
    </row>
    <row r="375" hidden="1" outlineLevel="1">
      <c r="A375" s="190">
        <v>45482.0</v>
      </c>
      <c r="B375" s="97">
        <f t="shared" si="153"/>
        <v>45482</v>
      </c>
      <c r="C375" s="179" t="s">
        <v>118</v>
      </c>
      <c r="D375" s="129" t="s">
        <v>1756</v>
      </c>
      <c r="E375" s="129" t="s">
        <v>469</v>
      </c>
      <c r="F375" s="130">
        <v>150.0</v>
      </c>
      <c r="G375" s="127"/>
      <c r="H375" s="44" t="b">
        <v>1</v>
      </c>
      <c r="K375" s="91" t="s">
        <v>1840</v>
      </c>
      <c r="L375" s="90">
        <f t="shared" si="145"/>
        <v>0</v>
      </c>
      <c r="M375" s="90">
        <f t="shared" si="146"/>
        <v>0</v>
      </c>
      <c r="N375" s="90">
        <f t="shared" si="147"/>
        <v>0</v>
      </c>
      <c r="O375" s="92">
        <f t="shared" si="148"/>
        <v>0</v>
      </c>
      <c r="P375" s="92">
        <f t="shared" si="149"/>
        <v>0</v>
      </c>
      <c r="Q375" s="92">
        <f t="shared" si="150"/>
        <v>0</v>
      </c>
    </row>
    <row r="376" hidden="1" outlineLevel="1">
      <c r="A376" s="191"/>
      <c r="B376" s="58"/>
      <c r="C376" s="179" t="s">
        <v>118</v>
      </c>
      <c r="D376" s="129" t="s">
        <v>183</v>
      </c>
      <c r="E376" s="129" t="s">
        <v>1758</v>
      </c>
      <c r="F376" s="130">
        <v>150.0</v>
      </c>
      <c r="G376" s="127"/>
      <c r="H376" s="44" t="b">
        <v>1</v>
      </c>
      <c r="K376" s="91" t="s">
        <v>1761</v>
      </c>
      <c r="L376" s="90">
        <f t="shared" si="145"/>
        <v>1</v>
      </c>
      <c r="M376" s="90">
        <f t="shared" si="146"/>
        <v>0</v>
      </c>
      <c r="N376" s="90">
        <f t="shared" si="147"/>
        <v>1</v>
      </c>
      <c r="O376" s="92">
        <f t="shared" si="148"/>
        <v>150</v>
      </c>
      <c r="P376" s="92">
        <f t="shared" si="149"/>
        <v>150</v>
      </c>
      <c r="Q376" s="92">
        <f t="shared" si="150"/>
        <v>0</v>
      </c>
    </row>
    <row r="377" hidden="1" outlineLevel="1">
      <c r="A377" s="190">
        <v>45483.0</v>
      </c>
      <c r="B377" s="97">
        <f t="shared" ref="B377:B379" si="154">A377</f>
        <v>45483</v>
      </c>
      <c r="C377" s="179" t="s">
        <v>118</v>
      </c>
      <c r="D377" s="129" t="s">
        <v>1756</v>
      </c>
      <c r="E377" s="129" t="s">
        <v>1758</v>
      </c>
      <c r="F377" s="130">
        <v>150.0</v>
      </c>
      <c r="G377" s="129"/>
      <c r="H377" s="44" t="b">
        <v>1</v>
      </c>
      <c r="K377" s="91" t="s">
        <v>1849</v>
      </c>
      <c r="L377" s="90">
        <f t="shared" si="145"/>
        <v>1</v>
      </c>
      <c r="M377" s="90">
        <f t="shared" si="146"/>
        <v>0</v>
      </c>
      <c r="N377" s="90">
        <f t="shared" si="147"/>
        <v>1</v>
      </c>
      <c r="O377" s="92">
        <f t="shared" si="148"/>
        <v>200</v>
      </c>
      <c r="P377" s="92">
        <f t="shared" si="149"/>
        <v>200</v>
      </c>
      <c r="Q377" s="92">
        <f t="shared" si="150"/>
        <v>0</v>
      </c>
    </row>
    <row r="378" hidden="1" outlineLevel="1">
      <c r="A378" s="190">
        <v>45484.0</v>
      </c>
      <c r="B378" s="97">
        <f t="shared" si="154"/>
        <v>45484</v>
      </c>
      <c r="C378" s="179" t="s">
        <v>118</v>
      </c>
      <c r="D378" s="129" t="s">
        <v>1756</v>
      </c>
      <c r="E378" s="129" t="s">
        <v>1758</v>
      </c>
      <c r="F378" s="130">
        <v>150.0</v>
      </c>
      <c r="G378" s="127"/>
      <c r="H378" s="44" t="b">
        <v>1</v>
      </c>
      <c r="K378" s="91" t="s">
        <v>1841</v>
      </c>
      <c r="L378" s="90">
        <f t="shared" si="145"/>
        <v>0</v>
      </c>
      <c r="M378" s="90">
        <f t="shared" si="146"/>
        <v>0</v>
      </c>
      <c r="N378" s="90">
        <f t="shared" si="147"/>
        <v>0</v>
      </c>
      <c r="O378" s="92">
        <f t="shared" si="148"/>
        <v>0</v>
      </c>
      <c r="P378" s="92">
        <f t="shared" si="149"/>
        <v>0</v>
      </c>
      <c r="Q378" s="92">
        <f t="shared" si="150"/>
        <v>0</v>
      </c>
    </row>
    <row r="379" hidden="1" outlineLevel="1">
      <c r="A379" s="190">
        <v>45485.0</v>
      </c>
      <c r="B379" s="97">
        <f t="shared" si="154"/>
        <v>45485</v>
      </c>
      <c r="C379" s="179" t="s">
        <v>118</v>
      </c>
      <c r="D379" s="129" t="s">
        <v>1756</v>
      </c>
      <c r="E379" s="129" t="s">
        <v>469</v>
      </c>
      <c r="F379" s="130">
        <v>150.0</v>
      </c>
      <c r="G379" s="127"/>
      <c r="H379" s="44" t="b">
        <v>1</v>
      </c>
      <c r="K379" s="276"/>
      <c r="L379" s="276"/>
      <c r="M379" s="276"/>
      <c r="N379" s="276"/>
      <c r="O379" s="276"/>
      <c r="P379" s="276"/>
      <c r="Q379" s="276"/>
    </row>
    <row r="380" hidden="1" outlineLevel="1">
      <c r="A380" s="191"/>
      <c r="B380" s="58"/>
      <c r="C380" s="179" t="s">
        <v>118</v>
      </c>
      <c r="D380" s="129" t="s">
        <v>183</v>
      </c>
      <c r="E380" s="129" t="s">
        <v>1758</v>
      </c>
      <c r="F380" s="130">
        <v>150.0</v>
      </c>
      <c r="G380" s="127"/>
      <c r="H380" s="44" t="b">
        <v>1</v>
      </c>
      <c r="K380" s="91"/>
      <c r="L380" s="90"/>
      <c r="M380" s="90"/>
      <c r="N380" s="90"/>
      <c r="O380" s="92"/>
      <c r="P380" s="92"/>
      <c r="Q380" s="90"/>
    </row>
    <row r="381" hidden="1" outlineLevel="1">
      <c r="A381" s="190">
        <v>45486.0</v>
      </c>
      <c r="B381" s="97">
        <f t="shared" ref="B381:B382" si="156">A381</f>
        <v>45486</v>
      </c>
      <c r="C381" s="179" t="s">
        <v>118</v>
      </c>
      <c r="D381" s="129" t="s">
        <v>1756</v>
      </c>
      <c r="E381" s="129" t="s">
        <v>1758</v>
      </c>
      <c r="F381" s="130">
        <v>150.0</v>
      </c>
      <c r="G381" s="127"/>
      <c r="H381" s="44" t="b">
        <v>1</v>
      </c>
      <c r="K381" s="477" t="s">
        <v>195</v>
      </c>
      <c r="L381" s="478">
        <f t="shared" ref="L381:Q381" si="155">SUM(L365:L380)</f>
        <v>36</v>
      </c>
      <c r="M381" s="478">
        <f t="shared" si="155"/>
        <v>9</v>
      </c>
      <c r="N381" s="478">
        <f t="shared" si="155"/>
        <v>45</v>
      </c>
      <c r="O381" s="479">
        <f t="shared" si="155"/>
        <v>7150</v>
      </c>
      <c r="P381" s="479">
        <f t="shared" si="155"/>
        <v>7150</v>
      </c>
      <c r="Q381" s="479">
        <f t="shared" si="155"/>
        <v>0</v>
      </c>
    </row>
    <row r="382" hidden="1" outlineLevel="1">
      <c r="A382" s="190">
        <v>45487.0</v>
      </c>
      <c r="B382" s="97">
        <f t="shared" si="156"/>
        <v>45487</v>
      </c>
      <c r="C382" s="179" t="s">
        <v>118</v>
      </c>
      <c r="D382" s="129" t="s">
        <v>1844</v>
      </c>
      <c r="E382" s="129" t="s">
        <v>1758</v>
      </c>
      <c r="F382" s="130">
        <v>200.0</v>
      </c>
      <c r="G382" s="127"/>
      <c r="H382" s="44" t="b">
        <v>1</v>
      </c>
    </row>
    <row r="383" hidden="1" outlineLevel="1">
      <c r="A383" s="191"/>
      <c r="B383" s="58"/>
      <c r="C383" s="179" t="s">
        <v>136</v>
      </c>
      <c r="D383" s="129" t="s">
        <v>1845</v>
      </c>
      <c r="E383" s="129" t="s">
        <v>1758</v>
      </c>
      <c r="F383" s="130">
        <v>200.0</v>
      </c>
      <c r="G383" s="127"/>
      <c r="H383" s="44" t="b">
        <v>1</v>
      </c>
    </row>
    <row r="384" hidden="1" outlineLevel="1">
      <c r="A384" s="190">
        <v>45488.0</v>
      </c>
      <c r="B384" s="97">
        <f t="shared" ref="B384:B385" si="157">A384</f>
        <v>45488</v>
      </c>
      <c r="C384" s="179" t="s">
        <v>118</v>
      </c>
      <c r="D384" s="129" t="s">
        <v>1756</v>
      </c>
      <c r="E384" s="129" t="s">
        <v>1758</v>
      </c>
      <c r="F384" s="130">
        <v>150.0</v>
      </c>
      <c r="G384" s="127"/>
      <c r="H384" s="44" t="b">
        <v>1</v>
      </c>
    </row>
    <row r="385" hidden="1" outlineLevel="1">
      <c r="A385" s="190">
        <v>45489.0</v>
      </c>
      <c r="B385" s="97">
        <f t="shared" si="157"/>
        <v>45489</v>
      </c>
      <c r="C385" s="179" t="s">
        <v>118</v>
      </c>
      <c r="D385" s="129" t="s">
        <v>1756</v>
      </c>
      <c r="E385" s="129" t="s">
        <v>469</v>
      </c>
      <c r="F385" s="130">
        <v>150.0</v>
      </c>
      <c r="G385" s="127"/>
      <c r="H385" s="44" t="b">
        <v>1</v>
      </c>
    </row>
    <row r="386" hidden="1" outlineLevel="1">
      <c r="A386" s="191"/>
      <c r="B386" s="58"/>
      <c r="C386" s="179" t="s">
        <v>118</v>
      </c>
      <c r="D386" s="129" t="s">
        <v>183</v>
      </c>
      <c r="E386" s="129" t="s">
        <v>1758</v>
      </c>
      <c r="F386" s="130">
        <v>150.0</v>
      </c>
      <c r="G386" s="127"/>
      <c r="H386" s="44" t="b">
        <v>1</v>
      </c>
    </row>
    <row r="387" hidden="1" outlineLevel="1">
      <c r="A387" s="190">
        <v>45490.0</v>
      </c>
      <c r="B387" s="97">
        <f t="shared" ref="B387:B389" si="158">A387</f>
        <v>45490</v>
      </c>
      <c r="C387" s="179" t="s">
        <v>118</v>
      </c>
      <c r="D387" s="129" t="s">
        <v>1756</v>
      </c>
      <c r="E387" s="129" t="s">
        <v>1758</v>
      </c>
      <c r="F387" s="130">
        <v>150.0</v>
      </c>
      <c r="G387" s="129"/>
      <c r="H387" s="44" t="b">
        <v>1</v>
      </c>
    </row>
    <row r="388" hidden="1" outlineLevel="1">
      <c r="A388" s="190">
        <v>45491.0</v>
      </c>
      <c r="B388" s="97">
        <f t="shared" si="158"/>
        <v>45491</v>
      </c>
      <c r="C388" s="179" t="s">
        <v>118</v>
      </c>
      <c r="D388" s="129" t="s">
        <v>1756</v>
      </c>
      <c r="E388" s="129" t="s">
        <v>1758</v>
      </c>
      <c r="F388" s="130">
        <v>150.0</v>
      </c>
      <c r="G388" s="127"/>
      <c r="H388" s="44" t="b">
        <v>1</v>
      </c>
    </row>
    <row r="389" hidden="1" outlineLevel="1">
      <c r="A389" s="190">
        <v>45492.0</v>
      </c>
      <c r="B389" s="97">
        <f t="shared" si="158"/>
        <v>45492</v>
      </c>
      <c r="C389" s="179" t="s">
        <v>118</v>
      </c>
      <c r="D389" s="129" t="s">
        <v>1756</v>
      </c>
      <c r="E389" s="129" t="s">
        <v>469</v>
      </c>
      <c r="F389" s="130">
        <v>150.0</v>
      </c>
      <c r="G389" s="127"/>
      <c r="H389" s="44" t="b">
        <v>1</v>
      </c>
    </row>
    <row r="390" hidden="1" outlineLevel="1">
      <c r="A390" s="191"/>
      <c r="B390" s="58"/>
      <c r="C390" s="179" t="s">
        <v>118</v>
      </c>
      <c r="D390" s="129" t="s">
        <v>183</v>
      </c>
      <c r="E390" s="129" t="s">
        <v>1758</v>
      </c>
      <c r="F390" s="130">
        <v>150.0</v>
      </c>
      <c r="G390" s="127"/>
      <c r="H390" s="44" t="b">
        <v>1</v>
      </c>
    </row>
    <row r="391" hidden="1" outlineLevel="1">
      <c r="A391" s="190">
        <v>45493.0</v>
      </c>
      <c r="B391" s="97">
        <f t="shared" ref="B391:B392" si="159">A391</f>
        <v>45493</v>
      </c>
      <c r="C391" s="179" t="s">
        <v>118</v>
      </c>
      <c r="D391" s="129" t="s">
        <v>1756</v>
      </c>
      <c r="E391" s="129" t="s">
        <v>1758</v>
      </c>
      <c r="F391" s="130">
        <v>150.0</v>
      </c>
      <c r="G391" s="127"/>
      <c r="H391" s="44" t="b">
        <v>1</v>
      </c>
    </row>
    <row r="392" hidden="1" outlineLevel="1">
      <c r="A392" s="190">
        <v>45494.0</v>
      </c>
      <c r="B392" s="97">
        <f t="shared" si="159"/>
        <v>45494</v>
      </c>
      <c r="C392" s="179" t="s">
        <v>118</v>
      </c>
      <c r="D392" s="129" t="s">
        <v>1849</v>
      </c>
      <c r="E392" s="129" t="s">
        <v>1758</v>
      </c>
      <c r="F392" s="130">
        <v>200.0</v>
      </c>
      <c r="G392" s="127"/>
      <c r="H392" s="44" t="b">
        <v>1</v>
      </c>
    </row>
    <row r="393" hidden="1" outlineLevel="1">
      <c r="A393" s="191"/>
      <c r="B393" s="58"/>
      <c r="C393" s="179" t="s">
        <v>136</v>
      </c>
      <c r="D393" s="129" t="s">
        <v>363</v>
      </c>
      <c r="E393" s="129" t="s">
        <v>1758</v>
      </c>
      <c r="F393" s="130">
        <v>200.0</v>
      </c>
      <c r="G393" s="127"/>
      <c r="H393" s="44" t="b">
        <v>1</v>
      </c>
    </row>
    <row r="394" hidden="1" outlineLevel="1">
      <c r="A394" s="190">
        <v>45495.0</v>
      </c>
      <c r="B394" s="97">
        <f t="shared" ref="B394:B395" si="160">A394</f>
        <v>45495</v>
      </c>
      <c r="C394" s="179" t="s">
        <v>118</v>
      </c>
      <c r="D394" s="129" t="s">
        <v>1756</v>
      </c>
      <c r="E394" s="129" t="s">
        <v>1758</v>
      </c>
      <c r="F394" s="130">
        <v>150.0</v>
      </c>
      <c r="G394" s="127"/>
      <c r="H394" s="44" t="b">
        <v>1</v>
      </c>
    </row>
    <row r="395" hidden="1" outlineLevel="1">
      <c r="A395" s="190">
        <v>45496.0</v>
      </c>
      <c r="B395" s="97">
        <f t="shared" si="160"/>
        <v>45496</v>
      </c>
      <c r="C395" s="179" t="s">
        <v>118</v>
      </c>
      <c r="D395" s="129" t="s">
        <v>1756</v>
      </c>
      <c r="E395" s="129" t="s">
        <v>469</v>
      </c>
      <c r="F395" s="130">
        <v>150.0</v>
      </c>
      <c r="G395" s="127"/>
      <c r="H395" s="44" t="b">
        <v>1</v>
      </c>
    </row>
    <row r="396" hidden="1" outlineLevel="1">
      <c r="A396" s="191"/>
      <c r="B396" s="58"/>
      <c r="C396" s="179" t="s">
        <v>118</v>
      </c>
      <c r="D396" s="129" t="s">
        <v>183</v>
      </c>
      <c r="E396" s="129" t="s">
        <v>1758</v>
      </c>
      <c r="F396" s="130">
        <v>150.0</v>
      </c>
      <c r="G396" s="127"/>
      <c r="H396" s="44" t="b">
        <v>1</v>
      </c>
    </row>
    <row r="397" hidden="1" outlineLevel="1">
      <c r="A397" s="190">
        <v>45497.0</v>
      </c>
      <c r="B397" s="97">
        <f t="shared" ref="B397:B399" si="161">A397</f>
        <v>45497</v>
      </c>
      <c r="C397" s="179" t="s">
        <v>118</v>
      </c>
      <c r="D397" s="129" t="s">
        <v>1756</v>
      </c>
      <c r="E397" s="129" t="s">
        <v>1758</v>
      </c>
      <c r="F397" s="130">
        <v>150.0</v>
      </c>
      <c r="G397" s="127"/>
      <c r="H397" s="44" t="b">
        <v>1</v>
      </c>
    </row>
    <row r="398" hidden="1" outlineLevel="1">
      <c r="A398" s="190">
        <v>45498.0</v>
      </c>
      <c r="B398" s="97">
        <f t="shared" si="161"/>
        <v>45498</v>
      </c>
      <c r="C398" s="179" t="s">
        <v>118</v>
      </c>
      <c r="D398" s="129" t="s">
        <v>1756</v>
      </c>
      <c r="E398" s="129" t="s">
        <v>1758</v>
      </c>
      <c r="F398" s="130">
        <v>150.0</v>
      </c>
      <c r="G398" s="127"/>
      <c r="H398" s="44" t="b">
        <v>1</v>
      </c>
    </row>
    <row r="399" hidden="1" outlineLevel="1">
      <c r="A399" s="190">
        <v>45499.0</v>
      </c>
      <c r="B399" s="97">
        <f t="shared" si="161"/>
        <v>45499</v>
      </c>
      <c r="C399" s="179" t="s">
        <v>118</v>
      </c>
      <c r="D399" s="129" t="s">
        <v>1756</v>
      </c>
      <c r="E399" s="129" t="s">
        <v>469</v>
      </c>
      <c r="F399" s="130">
        <v>150.0</v>
      </c>
      <c r="G399" s="127"/>
      <c r="H399" s="44" t="b">
        <v>1</v>
      </c>
    </row>
    <row r="400" hidden="1" outlineLevel="1">
      <c r="A400" s="191"/>
      <c r="B400" s="58"/>
      <c r="C400" s="179" t="s">
        <v>118</v>
      </c>
      <c r="D400" s="129" t="s">
        <v>183</v>
      </c>
      <c r="E400" s="129" t="s">
        <v>1758</v>
      </c>
      <c r="F400" s="130">
        <v>150.0</v>
      </c>
      <c r="G400" s="127"/>
      <c r="H400" s="44" t="b">
        <v>1</v>
      </c>
    </row>
    <row r="401" hidden="1" outlineLevel="1">
      <c r="A401" s="190">
        <v>45500.0</v>
      </c>
      <c r="B401" s="97">
        <f t="shared" ref="B401:B402" si="162">A401</f>
        <v>45500</v>
      </c>
      <c r="C401" s="179" t="s">
        <v>118</v>
      </c>
      <c r="D401" s="129" t="s">
        <v>1756</v>
      </c>
      <c r="E401" s="129" t="s">
        <v>1758</v>
      </c>
      <c r="F401" s="130">
        <v>150.0</v>
      </c>
      <c r="G401" s="127"/>
      <c r="H401" s="44" t="b">
        <v>1</v>
      </c>
    </row>
    <row r="402" hidden="1" outlineLevel="1">
      <c r="A402" s="190">
        <v>45501.0</v>
      </c>
      <c r="B402" s="97">
        <f t="shared" si="162"/>
        <v>45501</v>
      </c>
      <c r="C402" s="179" t="s">
        <v>118</v>
      </c>
      <c r="D402" s="129" t="s">
        <v>1818</v>
      </c>
      <c r="E402" s="129" t="s">
        <v>1758</v>
      </c>
      <c r="F402" s="130">
        <v>200.0</v>
      </c>
      <c r="G402" s="127"/>
      <c r="H402" s="44" t="b">
        <v>1</v>
      </c>
    </row>
    <row r="403" hidden="1" outlineLevel="1">
      <c r="A403" s="191"/>
      <c r="B403" s="58"/>
      <c r="C403" s="179" t="s">
        <v>136</v>
      </c>
      <c r="D403" s="129" t="s">
        <v>1756</v>
      </c>
      <c r="E403" s="129" t="s">
        <v>1758</v>
      </c>
      <c r="F403" s="130">
        <v>200.0</v>
      </c>
      <c r="G403" s="127"/>
      <c r="H403" s="44" t="b">
        <v>1</v>
      </c>
    </row>
    <row r="404" hidden="1" outlineLevel="1">
      <c r="A404" s="190">
        <v>45502.0</v>
      </c>
      <c r="B404" s="97">
        <f t="shared" ref="B404:B405" si="163">A404</f>
        <v>45502</v>
      </c>
      <c r="C404" s="179" t="s">
        <v>118</v>
      </c>
      <c r="D404" s="129" t="s">
        <v>1756</v>
      </c>
      <c r="E404" s="129" t="s">
        <v>1758</v>
      </c>
      <c r="F404" s="130">
        <v>150.0</v>
      </c>
      <c r="G404" s="127"/>
      <c r="H404" s="44" t="b">
        <v>1</v>
      </c>
    </row>
    <row r="405" hidden="1" outlineLevel="1">
      <c r="A405" s="190">
        <v>45503.0</v>
      </c>
      <c r="B405" s="97">
        <f t="shared" si="163"/>
        <v>45503</v>
      </c>
      <c r="C405" s="179" t="s">
        <v>118</v>
      </c>
      <c r="D405" s="129" t="s">
        <v>1756</v>
      </c>
      <c r="E405" s="129" t="s">
        <v>469</v>
      </c>
      <c r="F405" s="130">
        <v>150.0</v>
      </c>
      <c r="G405" s="127"/>
      <c r="H405" s="44" t="b">
        <v>1</v>
      </c>
    </row>
    <row r="406" hidden="1" outlineLevel="1">
      <c r="A406" s="191"/>
      <c r="B406" s="58"/>
      <c r="C406" s="179" t="s">
        <v>118</v>
      </c>
      <c r="D406" s="129" t="s">
        <v>1761</v>
      </c>
      <c r="E406" s="129" t="s">
        <v>1758</v>
      </c>
      <c r="F406" s="130">
        <v>150.0</v>
      </c>
      <c r="G406" s="127"/>
      <c r="H406" s="44" t="b">
        <v>1</v>
      </c>
    </row>
    <row r="407" hidden="1" outlineLevel="1">
      <c r="A407" s="190">
        <v>45504.0</v>
      </c>
      <c r="B407" s="97">
        <f>A407</f>
        <v>45504</v>
      </c>
      <c r="C407" s="179" t="s">
        <v>118</v>
      </c>
      <c r="D407" s="129" t="s">
        <v>1756</v>
      </c>
      <c r="E407" s="129" t="s">
        <v>1758</v>
      </c>
      <c r="F407" s="130">
        <v>150.0</v>
      </c>
      <c r="G407" s="127"/>
      <c r="H407" s="44" t="b">
        <v>1</v>
      </c>
    </row>
    <row r="408">
      <c r="A408" s="484" t="s">
        <v>195</v>
      </c>
      <c r="B408" s="27"/>
      <c r="C408" s="27"/>
      <c r="D408" s="27"/>
      <c r="E408" s="28"/>
      <c r="F408" s="485">
        <f>SUM(F363:F407)</f>
        <v>7150</v>
      </c>
      <c r="G408" s="486"/>
      <c r="H408" s="28"/>
    </row>
    <row r="409" collapsed="1">
      <c r="A409" s="339" t="s">
        <v>711</v>
      </c>
      <c r="B409" s="246"/>
      <c r="C409" s="246"/>
      <c r="D409" s="246"/>
      <c r="E409" s="246"/>
      <c r="F409" s="246"/>
      <c r="G409" s="246"/>
      <c r="H409" s="247"/>
    </row>
    <row r="410" hidden="1" outlineLevel="1">
      <c r="A410" s="190">
        <v>45505.0</v>
      </c>
      <c r="B410" s="97">
        <f t="shared" ref="B410:B411" si="164">A410</f>
        <v>45505</v>
      </c>
      <c r="C410" s="179" t="s">
        <v>118</v>
      </c>
      <c r="D410" s="129" t="s">
        <v>1756</v>
      </c>
      <c r="E410" s="129" t="s">
        <v>1758</v>
      </c>
      <c r="F410" s="130">
        <v>150.0</v>
      </c>
      <c r="G410" s="129"/>
      <c r="H410" s="44" t="b">
        <v>1</v>
      </c>
      <c r="K410" s="440" t="s">
        <v>2046</v>
      </c>
      <c r="L410" s="27"/>
      <c r="M410" s="27"/>
      <c r="N410" s="27"/>
      <c r="O410" s="27"/>
      <c r="P410" s="27"/>
      <c r="Q410" s="28"/>
    </row>
    <row r="411" hidden="1" outlineLevel="1">
      <c r="A411" s="190">
        <v>45506.0</v>
      </c>
      <c r="B411" s="97">
        <f t="shared" si="164"/>
        <v>45506</v>
      </c>
      <c r="C411" s="179" t="s">
        <v>118</v>
      </c>
      <c r="D411" s="129" t="s">
        <v>1756</v>
      </c>
      <c r="E411" s="129" t="s">
        <v>469</v>
      </c>
      <c r="F411" s="130">
        <v>150.0</v>
      </c>
      <c r="G411" s="129"/>
      <c r="H411" s="44" t="b">
        <v>1</v>
      </c>
      <c r="K411" s="441" t="s">
        <v>1749</v>
      </c>
      <c r="L411" s="441" t="s">
        <v>1758</v>
      </c>
      <c r="M411" s="441" t="s">
        <v>469</v>
      </c>
      <c r="N411" s="441" t="s">
        <v>195</v>
      </c>
      <c r="O411" s="441" t="s">
        <v>1764</v>
      </c>
      <c r="P411" s="441" t="s">
        <v>1765</v>
      </c>
      <c r="Q411" s="441" t="s">
        <v>1766</v>
      </c>
    </row>
    <row r="412" hidden="1" outlineLevel="1">
      <c r="A412" s="191"/>
      <c r="B412" s="58"/>
      <c r="C412" s="179" t="s">
        <v>118</v>
      </c>
      <c r="D412" s="129" t="s">
        <v>1761</v>
      </c>
      <c r="E412" s="129" t="s">
        <v>1758</v>
      </c>
      <c r="F412" s="130">
        <v>150.0</v>
      </c>
      <c r="G412" s="129"/>
      <c r="H412" s="44" t="b">
        <v>1</v>
      </c>
      <c r="K412" s="91" t="s">
        <v>1756</v>
      </c>
      <c r="L412" s="90">
        <f t="shared" ref="L412:L425" si="165">COUNTIFS($D$410:$D$454, $K412,$E$410:$E$454,$L$411)</f>
        <v>19</v>
      </c>
      <c r="M412" s="90">
        <f t="shared" ref="M412:M425" si="166">COUNTIFS($D$410:$D$454, $K412,$E$410:$E$454,$M$411)</f>
        <v>9</v>
      </c>
      <c r="N412" s="90">
        <f t="shared" ref="N412:N425" si="167">L412+M412</f>
        <v>28</v>
      </c>
      <c r="O412" s="92">
        <f t="shared" ref="O412:O425" si="168">SUMIFS($F$410:$F$454,$D$410:$D$454,$K412)</f>
        <v>4250</v>
      </c>
      <c r="P412" s="92">
        <f t="shared" ref="P412:P425" si="169">SUMIFS($F$410:$F$454,$D$410:$D$454,$K412,$H$410:$H$454,TRUE)</f>
        <v>4250</v>
      </c>
      <c r="Q412" s="92">
        <f t="shared" ref="Q412:Q425" si="170">O412-P412</f>
        <v>0</v>
      </c>
    </row>
    <row r="413" hidden="1" outlineLevel="1">
      <c r="A413" s="191"/>
      <c r="B413" s="58"/>
      <c r="C413" s="179" t="s">
        <v>136</v>
      </c>
      <c r="D413" s="129" t="s">
        <v>562</v>
      </c>
      <c r="E413" s="129" t="s">
        <v>1758</v>
      </c>
      <c r="F413" s="130">
        <v>150.0</v>
      </c>
      <c r="G413" s="129"/>
      <c r="H413" s="44" t="b">
        <v>1</v>
      </c>
      <c r="K413" s="91" t="s">
        <v>1810</v>
      </c>
      <c r="L413" s="90">
        <f t="shared" si="165"/>
        <v>1</v>
      </c>
      <c r="M413" s="90">
        <f t="shared" si="166"/>
        <v>0</v>
      </c>
      <c r="N413" s="90">
        <f t="shared" si="167"/>
        <v>1</v>
      </c>
      <c r="O413" s="92">
        <f t="shared" si="168"/>
        <v>0</v>
      </c>
      <c r="P413" s="92">
        <f t="shared" si="169"/>
        <v>0</v>
      </c>
      <c r="Q413" s="92">
        <f t="shared" si="170"/>
        <v>0</v>
      </c>
    </row>
    <row r="414" hidden="1" outlineLevel="1">
      <c r="A414" s="190">
        <v>45507.0</v>
      </c>
      <c r="B414" s="97">
        <f t="shared" ref="B414:B415" si="171">A414</f>
        <v>45507</v>
      </c>
      <c r="C414" s="179" t="s">
        <v>118</v>
      </c>
      <c r="D414" s="129" t="s">
        <v>1756</v>
      </c>
      <c r="E414" s="129" t="s">
        <v>1758</v>
      </c>
      <c r="F414" s="130">
        <v>150.0</v>
      </c>
      <c r="G414" s="129"/>
      <c r="H414" s="44" t="b">
        <v>1</v>
      </c>
      <c r="K414" s="91" t="s">
        <v>1805</v>
      </c>
      <c r="L414" s="90">
        <f t="shared" si="165"/>
        <v>0</v>
      </c>
      <c r="M414" s="90">
        <f t="shared" si="166"/>
        <v>0</v>
      </c>
      <c r="N414" s="90">
        <f t="shared" si="167"/>
        <v>0</v>
      </c>
      <c r="O414" s="92">
        <f t="shared" si="168"/>
        <v>0</v>
      </c>
      <c r="P414" s="92">
        <f t="shared" si="169"/>
        <v>0</v>
      </c>
      <c r="Q414" s="92">
        <f t="shared" si="170"/>
        <v>0</v>
      </c>
    </row>
    <row r="415" hidden="1" outlineLevel="1">
      <c r="A415" s="190">
        <v>45508.0</v>
      </c>
      <c r="B415" s="97">
        <f t="shared" si="171"/>
        <v>45508</v>
      </c>
      <c r="C415" s="179" t="s">
        <v>118</v>
      </c>
      <c r="D415" s="129" t="s">
        <v>1828</v>
      </c>
      <c r="E415" s="129" t="s">
        <v>1758</v>
      </c>
      <c r="F415" s="130">
        <v>200.0</v>
      </c>
      <c r="G415" s="127"/>
      <c r="H415" s="44" t="b">
        <v>1</v>
      </c>
      <c r="K415" s="91" t="s">
        <v>1845</v>
      </c>
      <c r="L415" s="90">
        <f t="shared" si="165"/>
        <v>0</v>
      </c>
      <c r="M415" s="90">
        <f t="shared" si="166"/>
        <v>0</v>
      </c>
      <c r="N415" s="90">
        <f t="shared" si="167"/>
        <v>0</v>
      </c>
      <c r="O415" s="92">
        <f t="shared" si="168"/>
        <v>0</v>
      </c>
      <c r="P415" s="92">
        <f t="shared" si="169"/>
        <v>0</v>
      </c>
      <c r="Q415" s="92">
        <f t="shared" si="170"/>
        <v>0</v>
      </c>
    </row>
    <row r="416" hidden="1" outlineLevel="1">
      <c r="A416" s="191"/>
      <c r="B416" s="58"/>
      <c r="C416" s="179" t="s">
        <v>136</v>
      </c>
      <c r="D416" s="129" t="s">
        <v>1756</v>
      </c>
      <c r="E416" s="129" t="s">
        <v>1758</v>
      </c>
      <c r="F416" s="130">
        <v>200.0</v>
      </c>
      <c r="G416" s="127"/>
      <c r="H416" s="44" t="b">
        <v>1</v>
      </c>
      <c r="K416" s="91" t="s">
        <v>363</v>
      </c>
      <c r="L416" s="90">
        <f t="shared" si="165"/>
        <v>5</v>
      </c>
      <c r="M416" s="90">
        <f t="shared" si="166"/>
        <v>0</v>
      </c>
      <c r="N416" s="90">
        <f t="shared" si="167"/>
        <v>5</v>
      </c>
      <c r="O416" s="92">
        <f t="shared" si="168"/>
        <v>950</v>
      </c>
      <c r="P416" s="92">
        <f t="shared" si="169"/>
        <v>950</v>
      </c>
      <c r="Q416" s="92">
        <f t="shared" si="170"/>
        <v>0</v>
      </c>
    </row>
    <row r="417" hidden="1" outlineLevel="1">
      <c r="A417" s="190">
        <v>45509.0</v>
      </c>
      <c r="B417" s="97">
        <f t="shared" ref="B417:B418" si="172">A417</f>
        <v>45509</v>
      </c>
      <c r="C417" s="179" t="s">
        <v>118</v>
      </c>
      <c r="D417" s="129" t="s">
        <v>1756</v>
      </c>
      <c r="E417" s="129" t="s">
        <v>1758</v>
      </c>
      <c r="F417" s="130">
        <v>150.0</v>
      </c>
      <c r="G417" s="127"/>
      <c r="H417" s="44" t="b">
        <v>1</v>
      </c>
      <c r="K417" s="91" t="s">
        <v>1822</v>
      </c>
      <c r="L417" s="90">
        <f t="shared" si="165"/>
        <v>0</v>
      </c>
      <c r="M417" s="90">
        <f t="shared" si="166"/>
        <v>0</v>
      </c>
      <c r="N417" s="90">
        <f t="shared" si="167"/>
        <v>0</v>
      </c>
      <c r="O417" s="92">
        <f t="shared" si="168"/>
        <v>0</v>
      </c>
      <c r="P417" s="92">
        <f t="shared" si="169"/>
        <v>0</v>
      </c>
      <c r="Q417" s="92">
        <f t="shared" si="170"/>
        <v>0</v>
      </c>
    </row>
    <row r="418" hidden="1" outlineLevel="1">
      <c r="A418" s="190">
        <v>45510.0</v>
      </c>
      <c r="B418" s="97">
        <f t="shared" si="172"/>
        <v>45510</v>
      </c>
      <c r="C418" s="179" t="s">
        <v>118</v>
      </c>
      <c r="D418" s="129" t="s">
        <v>1756</v>
      </c>
      <c r="E418" s="129" t="s">
        <v>469</v>
      </c>
      <c r="F418" s="130">
        <v>150.0</v>
      </c>
      <c r="G418" s="127"/>
      <c r="H418" s="44" t="b">
        <v>1</v>
      </c>
      <c r="K418" s="91" t="s">
        <v>1842</v>
      </c>
      <c r="L418" s="90">
        <f t="shared" si="165"/>
        <v>0</v>
      </c>
      <c r="M418" s="90">
        <f t="shared" si="166"/>
        <v>0</v>
      </c>
      <c r="N418" s="90">
        <f t="shared" si="167"/>
        <v>0</v>
      </c>
      <c r="O418" s="92">
        <f t="shared" si="168"/>
        <v>0</v>
      </c>
      <c r="P418" s="92">
        <f t="shared" si="169"/>
        <v>0</v>
      </c>
      <c r="Q418" s="92">
        <f t="shared" si="170"/>
        <v>0</v>
      </c>
    </row>
    <row r="419" hidden="1" outlineLevel="1">
      <c r="A419" s="191"/>
      <c r="B419" s="58"/>
      <c r="C419" s="179" t="s">
        <v>118</v>
      </c>
      <c r="D419" s="129" t="s">
        <v>1761</v>
      </c>
      <c r="E419" s="129" t="s">
        <v>1758</v>
      </c>
      <c r="F419" s="130">
        <v>150.0</v>
      </c>
      <c r="G419" s="127"/>
      <c r="H419" s="44" t="b">
        <v>1</v>
      </c>
      <c r="K419" s="91" t="s">
        <v>1818</v>
      </c>
      <c r="L419" s="90">
        <f t="shared" si="165"/>
        <v>0</v>
      </c>
      <c r="M419" s="90">
        <f t="shared" si="166"/>
        <v>0</v>
      </c>
      <c r="N419" s="90">
        <f t="shared" si="167"/>
        <v>0</v>
      </c>
      <c r="O419" s="92">
        <f t="shared" si="168"/>
        <v>0</v>
      </c>
      <c r="P419" s="92">
        <f t="shared" si="169"/>
        <v>0</v>
      </c>
      <c r="Q419" s="92">
        <f t="shared" si="170"/>
        <v>0</v>
      </c>
    </row>
    <row r="420" hidden="1" outlineLevel="1">
      <c r="A420" s="190">
        <v>45511.0</v>
      </c>
      <c r="B420" s="97">
        <f t="shared" ref="B420:B422" si="173">A420</f>
        <v>45511</v>
      </c>
      <c r="C420" s="179" t="s">
        <v>118</v>
      </c>
      <c r="D420" s="129" t="s">
        <v>1756</v>
      </c>
      <c r="E420" s="129" t="s">
        <v>1758</v>
      </c>
      <c r="F420" s="130">
        <v>150.0</v>
      </c>
      <c r="G420" s="129"/>
      <c r="H420" s="44" t="b">
        <v>1</v>
      </c>
      <c r="K420" s="91" t="s">
        <v>1828</v>
      </c>
      <c r="L420" s="90">
        <f t="shared" si="165"/>
        <v>2</v>
      </c>
      <c r="M420" s="90">
        <f t="shared" si="166"/>
        <v>0</v>
      </c>
      <c r="N420" s="90">
        <f t="shared" si="167"/>
        <v>2</v>
      </c>
      <c r="O420" s="92">
        <f t="shared" si="168"/>
        <v>400</v>
      </c>
      <c r="P420" s="92">
        <f t="shared" si="169"/>
        <v>400</v>
      </c>
      <c r="Q420" s="92">
        <f t="shared" si="170"/>
        <v>0</v>
      </c>
    </row>
    <row r="421" hidden="1" outlineLevel="1">
      <c r="A421" s="190">
        <v>45512.0</v>
      </c>
      <c r="B421" s="97">
        <f t="shared" si="173"/>
        <v>45512</v>
      </c>
      <c r="C421" s="179" t="s">
        <v>118</v>
      </c>
      <c r="D421" s="129" t="s">
        <v>1756</v>
      </c>
      <c r="E421" s="129" t="s">
        <v>1758</v>
      </c>
      <c r="F421" s="130">
        <v>150.0</v>
      </c>
      <c r="G421" s="127"/>
      <c r="H421" s="44" t="b">
        <v>1</v>
      </c>
      <c r="K421" s="91" t="s">
        <v>1844</v>
      </c>
      <c r="L421" s="90">
        <f t="shared" si="165"/>
        <v>0</v>
      </c>
      <c r="M421" s="90">
        <f t="shared" si="166"/>
        <v>0</v>
      </c>
      <c r="N421" s="90">
        <f t="shared" si="167"/>
        <v>0</v>
      </c>
      <c r="O421" s="92">
        <f t="shared" si="168"/>
        <v>0</v>
      </c>
      <c r="P421" s="92">
        <f t="shared" si="169"/>
        <v>0</v>
      </c>
      <c r="Q421" s="92">
        <f t="shared" si="170"/>
        <v>0</v>
      </c>
    </row>
    <row r="422" hidden="1" outlineLevel="1">
      <c r="A422" s="190">
        <v>45513.0</v>
      </c>
      <c r="B422" s="97">
        <f t="shared" si="173"/>
        <v>45513</v>
      </c>
      <c r="C422" s="179" t="s">
        <v>118</v>
      </c>
      <c r="D422" s="129" t="s">
        <v>1756</v>
      </c>
      <c r="E422" s="129" t="s">
        <v>469</v>
      </c>
      <c r="F422" s="130">
        <v>150.0</v>
      </c>
      <c r="G422" s="127"/>
      <c r="H422" s="44" t="b">
        <v>1</v>
      </c>
      <c r="K422" s="91" t="s">
        <v>562</v>
      </c>
      <c r="L422" s="90">
        <f t="shared" si="165"/>
        <v>1</v>
      </c>
      <c r="M422" s="90">
        <f t="shared" si="166"/>
        <v>0</v>
      </c>
      <c r="N422" s="90">
        <f t="shared" si="167"/>
        <v>1</v>
      </c>
      <c r="O422" s="92">
        <f t="shared" si="168"/>
        <v>150</v>
      </c>
      <c r="P422" s="92">
        <f t="shared" si="169"/>
        <v>150</v>
      </c>
      <c r="Q422" s="92">
        <f t="shared" si="170"/>
        <v>0</v>
      </c>
    </row>
    <row r="423" hidden="1" outlineLevel="1">
      <c r="A423" s="191"/>
      <c r="B423" s="58"/>
      <c r="C423" s="179" t="s">
        <v>118</v>
      </c>
      <c r="D423" s="129" t="s">
        <v>1761</v>
      </c>
      <c r="E423" s="129" t="s">
        <v>1758</v>
      </c>
      <c r="F423" s="130">
        <v>150.0</v>
      </c>
      <c r="G423" s="127"/>
      <c r="H423" s="44" t="b">
        <v>1</v>
      </c>
      <c r="K423" s="91" t="s">
        <v>1761</v>
      </c>
      <c r="L423" s="90">
        <f t="shared" si="165"/>
        <v>8</v>
      </c>
      <c r="M423" s="90">
        <f t="shared" si="166"/>
        <v>0</v>
      </c>
      <c r="N423" s="90">
        <f t="shared" si="167"/>
        <v>8</v>
      </c>
      <c r="O423" s="92">
        <f t="shared" si="168"/>
        <v>1200</v>
      </c>
      <c r="P423" s="92">
        <f t="shared" si="169"/>
        <v>1200</v>
      </c>
      <c r="Q423" s="92">
        <f t="shared" si="170"/>
        <v>0</v>
      </c>
    </row>
    <row r="424" hidden="1" outlineLevel="1">
      <c r="A424" s="190">
        <v>45514.0</v>
      </c>
      <c r="B424" s="97">
        <f t="shared" ref="B424:B425" si="174">A424</f>
        <v>45514</v>
      </c>
      <c r="C424" s="179" t="s">
        <v>118</v>
      </c>
      <c r="D424" s="129" t="s">
        <v>1756</v>
      </c>
      <c r="E424" s="129" t="s">
        <v>1758</v>
      </c>
      <c r="F424" s="130">
        <v>150.0</v>
      </c>
      <c r="G424" s="127"/>
      <c r="H424" s="44" t="b">
        <v>1</v>
      </c>
      <c r="K424" s="91" t="s">
        <v>1849</v>
      </c>
      <c r="L424" s="90">
        <f t="shared" si="165"/>
        <v>0</v>
      </c>
      <c r="M424" s="90">
        <f t="shared" si="166"/>
        <v>0</v>
      </c>
      <c r="N424" s="90">
        <f t="shared" si="167"/>
        <v>0</v>
      </c>
      <c r="O424" s="92">
        <f t="shared" si="168"/>
        <v>0</v>
      </c>
      <c r="P424" s="92">
        <f t="shared" si="169"/>
        <v>0</v>
      </c>
      <c r="Q424" s="92">
        <f t="shared" si="170"/>
        <v>0</v>
      </c>
    </row>
    <row r="425" hidden="1" outlineLevel="1">
      <c r="A425" s="190">
        <v>45515.0</v>
      </c>
      <c r="B425" s="97">
        <f t="shared" si="174"/>
        <v>45515</v>
      </c>
      <c r="C425" s="179" t="s">
        <v>118</v>
      </c>
      <c r="D425" s="129" t="s">
        <v>1828</v>
      </c>
      <c r="E425" s="129" t="s">
        <v>1758</v>
      </c>
      <c r="F425" s="130">
        <v>200.0</v>
      </c>
      <c r="G425" s="127"/>
      <c r="H425" s="44" t="b">
        <v>1</v>
      </c>
      <c r="K425" s="91" t="s">
        <v>1841</v>
      </c>
      <c r="L425" s="90">
        <f t="shared" si="165"/>
        <v>0</v>
      </c>
      <c r="M425" s="90">
        <f t="shared" si="166"/>
        <v>0</v>
      </c>
      <c r="N425" s="90">
        <f t="shared" si="167"/>
        <v>0</v>
      </c>
      <c r="O425" s="92">
        <f t="shared" si="168"/>
        <v>0</v>
      </c>
      <c r="P425" s="92">
        <f t="shared" si="169"/>
        <v>0</v>
      </c>
      <c r="Q425" s="92">
        <f t="shared" si="170"/>
        <v>0</v>
      </c>
    </row>
    <row r="426" hidden="1" outlineLevel="1">
      <c r="A426" s="191"/>
      <c r="B426" s="58"/>
      <c r="C426" s="179" t="s">
        <v>136</v>
      </c>
      <c r="D426" s="129" t="s">
        <v>363</v>
      </c>
      <c r="E426" s="129" t="s">
        <v>1758</v>
      </c>
      <c r="F426" s="130">
        <v>200.0</v>
      </c>
      <c r="G426" s="127"/>
      <c r="H426" s="44" t="b">
        <v>1</v>
      </c>
      <c r="K426" s="276"/>
      <c r="L426" s="276"/>
      <c r="M426" s="276"/>
      <c r="N426" s="276"/>
      <c r="O426" s="276"/>
      <c r="P426" s="276"/>
      <c r="Q426" s="276"/>
    </row>
    <row r="427" hidden="1" outlineLevel="1">
      <c r="A427" s="190">
        <v>45516.0</v>
      </c>
      <c r="B427" s="97">
        <f t="shared" ref="B427:B428" si="175">A427</f>
        <v>45516</v>
      </c>
      <c r="C427" s="179" t="s">
        <v>118</v>
      </c>
      <c r="D427" s="129" t="s">
        <v>1756</v>
      </c>
      <c r="E427" s="129" t="s">
        <v>1758</v>
      </c>
      <c r="F427" s="130">
        <v>150.0</v>
      </c>
      <c r="G427" s="127"/>
      <c r="H427" s="44" t="b">
        <v>1</v>
      </c>
      <c r="K427" s="91"/>
      <c r="L427" s="90"/>
      <c r="M427" s="90"/>
      <c r="N427" s="90"/>
      <c r="O427" s="92"/>
      <c r="P427" s="92"/>
      <c r="Q427" s="90"/>
    </row>
    <row r="428" hidden="1" outlineLevel="1">
      <c r="A428" s="190">
        <v>45517.0</v>
      </c>
      <c r="B428" s="97">
        <f t="shared" si="175"/>
        <v>45517</v>
      </c>
      <c r="C428" s="179" t="s">
        <v>118</v>
      </c>
      <c r="D428" s="129" t="s">
        <v>1756</v>
      </c>
      <c r="E428" s="129" t="s">
        <v>469</v>
      </c>
      <c r="F428" s="130">
        <v>150.0</v>
      </c>
      <c r="G428" s="127"/>
      <c r="H428" s="44" t="b">
        <v>1</v>
      </c>
      <c r="K428" s="477" t="s">
        <v>195</v>
      </c>
      <c r="L428" s="478">
        <f t="shared" ref="L428:Q428" si="176">SUM(L412:L427)</f>
        <v>36</v>
      </c>
      <c r="M428" s="478">
        <f t="shared" si="176"/>
        <v>9</v>
      </c>
      <c r="N428" s="478">
        <f t="shared" si="176"/>
        <v>45</v>
      </c>
      <c r="O428" s="479">
        <f t="shared" si="176"/>
        <v>6950</v>
      </c>
      <c r="P428" s="479">
        <f t="shared" si="176"/>
        <v>6950</v>
      </c>
      <c r="Q428" s="479">
        <f t="shared" si="176"/>
        <v>0</v>
      </c>
    </row>
    <row r="429" hidden="1" outlineLevel="1">
      <c r="A429" s="191"/>
      <c r="B429" s="58"/>
      <c r="C429" s="179" t="s">
        <v>118</v>
      </c>
      <c r="D429" s="129" t="s">
        <v>1761</v>
      </c>
      <c r="E429" s="129" t="s">
        <v>1758</v>
      </c>
      <c r="F429" s="130">
        <v>150.0</v>
      </c>
      <c r="G429" s="127"/>
      <c r="H429" s="44" t="b">
        <v>1</v>
      </c>
    </row>
    <row r="430" hidden="1" outlineLevel="1">
      <c r="A430" s="190">
        <v>45518.0</v>
      </c>
      <c r="B430" s="97">
        <f t="shared" ref="B430:B432" si="177">A430</f>
        <v>45518</v>
      </c>
      <c r="C430" s="179" t="s">
        <v>118</v>
      </c>
      <c r="D430" s="129" t="s">
        <v>1756</v>
      </c>
      <c r="E430" s="129" t="s">
        <v>1758</v>
      </c>
      <c r="F430" s="130">
        <v>150.0</v>
      </c>
      <c r="G430" s="129"/>
      <c r="H430" s="44" t="b">
        <v>1</v>
      </c>
    </row>
    <row r="431" hidden="1" outlineLevel="1">
      <c r="A431" s="190">
        <v>45519.0</v>
      </c>
      <c r="B431" s="97">
        <f t="shared" si="177"/>
        <v>45519</v>
      </c>
      <c r="C431" s="179" t="s">
        <v>118</v>
      </c>
      <c r="D431" s="129" t="s">
        <v>1756</v>
      </c>
      <c r="E431" s="129" t="s">
        <v>1758</v>
      </c>
      <c r="F431" s="130">
        <v>150.0</v>
      </c>
      <c r="G431" s="127"/>
      <c r="H431" s="44" t="b">
        <v>1</v>
      </c>
    </row>
    <row r="432" hidden="1" outlineLevel="1">
      <c r="A432" s="190">
        <v>45520.0</v>
      </c>
      <c r="B432" s="97">
        <f t="shared" si="177"/>
        <v>45520</v>
      </c>
      <c r="C432" s="179" t="s">
        <v>118</v>
      </c>
      <c r="D432" s="129" t="s">
        <v>1756</v>
      </c>
      <c r="E432" s="129" t="s">
        <v>469</v>
      </c>
      <c r="F432" s="130">
        <v>150.0</v>
      </c>
      <c r="G432" s="127"/>
      <c r="H432" s="44" t="b">
        <v>1</v>
      </c>
    </row>
    <row r="433" hidden="1" outlineLevel="1">
      <c r="A433" s="191"/>
      <c r="B433" s="58"/>
      <c r="C433" s="179" t="s">
        <v>118</v>
      </c>
      <c r="D433" s="129" t="s">
        <v>1761</v>
      </c>
      <c r="E433" s="129" t="s">
        <v>1758</v>
      </c>
      <c r="F433" s="130">
        <v>150.0</v>
      </c>
      <c r="G433" s="127"/>
      <c r="H433" s="44" t="b">
        <v>1</v>
      </c>
    </row>
    <row r="434" hidden="1" outlineLevel="1">
      <c r="A434" s="190">
        <v>45521.0</v>
      </c>
      <c r="B434" s="97">
        <f t="shared" ref="B434:B435" si="178">A434</f>
        <v>45521</v>
      </c>
      <c r="C434" s="179" t="s">
        <v>118</v>
      </c>
      <c r="D434" s="129" t="s">
        <v>1756</v>
      </c>
      <c r="E434" s="129" t="s">
        <v>1758</v>
      </c>
      <c r="F434" s="130">
        <v>150.0</v>
      </c>
      <c r="G434" s="127"/>
      <c r="H434" s="44" t="b">
        <v>1</v>
      </c>
    </row>
    <row r="435" hidden="1" outlineLevel="1">
      <c r="A435" s="190">
        <v>45522.0</v>
      </c>
      <c r="B435" s="97">
        <f t="shared" si="178"/>
        <v>45522</v>
      </c>
      <c r="C435" s="179" t="s">
        <v>118</v>
      </c>
      <c r="D435" s="129" t="s">
        <v>1810</v>
      </c>
      <c r="E435" s="129" t="s">
        <v>1758</v>
      </c>
      <c r="F435" s="130">
        <v>0.0</v>
      </c>
      <c r="G435" s="129" t="s">
        <v>2047</v>
      </c>
      <c r="H435" s="44" t="b">
        <v>1</v>
      </c>
    </row>
    <row r="436" hidden="1" outlineLevel="1">
      <c r="A436" s="191"/>
      <c r="B436" s="58"/>
      <c r="C436" s="179" t="s">
        <v>136</v>
      </c>
      <c r="D436" s="129" t="s">
        <v>363</v>
      </c>
      <c r="E436" s="129" t="s">
        <v>1758</v>
      </c>
      <c r="F436" s="130">
        <v>200.0</v>
      </c>
      <c r="G436" s="127"/>
      <c r="H436" s="44" t="b">
        <v>1</v>
      </c>
    </row>
    <row r="437" hidden="1" outlineLevel="1">
      <c r="A437" s="190">
        <v>45523.0</v>
      </c>
      <c r="B437" s="97">
        <f t="shared" ref="B437:B438" si="179">A437</f>
        <v>45523</v>
      </c>
      <c r="C437" s="179" t="s">
        <v>118</v>
      </c>
      <c r="D437" s="129" t="s">
        <v>1756</v>
      </c>
      <c r="E437" s="129" t="s">
        <v>1758</v>
      </c>
      <c r="F437" s="130">
        <v>150.0</v>
      </c>
      <c r="G437" s="127"/>
      <c r="H437" s="44" t="b">
        <v>1</v>
      </c>
    </row>
    <row r="438" hidden="1" outlineLevel="1">
      <c r="A438" s="190">
        <v>45524.0</v>
      </c>
      <c r="B438" s="97">
        <f t="shared" si="179"/>
        <v>45524</v>
      </c>
      <c r="C438" s="179" t="s">
        <v>118</v>
      </c>
      <c r="D438" s="129" t="s">
        <v>1756</v>
      </c>
      <c r="E438" s="129" t="s">
        <v>469</v>
      </c>
      <c r="F438" s="130">
        <v>150.0</v>
      </c>
      <c r="G438" s="127"/>
      <c r="H438" s="44" t="b">
        <v>1</v>
      </c>
    </row>
    <row r="439" hidden="1" outlineLevel="1">
      <c r="A439" s="191"/>
      <c r="B439" s="58"/>
      <c r="C439" s="179" t="s">
        <v>118</v>
      </c>
      <c r="D439" s="129" t="s">
        <v>1761</v>
      </c>
      <c r="E439" s="129" t="s">
        <v>1758</v>
      </c>
      <c r="F439" s="130">
        <v>150.0</v>
      </c>
      <c r="G439" s="127"/>
      <c r="H439" s="44" t="b">
        <v>1</v>
      </c>
    </row>
    <row r="440" hidden="1" outlineLevel="1">
      <c r="A440" s="190">
        <v>45525.0</v>
      </c>
      <c r="B440" s="97">
        <f t="shared" ref="B440:B442" si="180">A440</f>
        <v>45525</v>
      </c>
      <c r="C440" s="179" t="s">
        <v>118</v>
      </c>
      <c r="D440" s="129" t="s">
        <v>1756</v>
      </c>
      <c r="E440" s="129" t="s">
        <v>1758</v>
      </c>
      <c r="F440" s="130">
        <v>150.0</v>
      </c>
      <c r="G440" s="127"/>
      <c r="H440" s="44" t="b">
        <v>1</v>
      </c>
    </row>
    <row r="441" hidden="1" outlineLevel="1">
      <c r="A441" s="190">
        <v>45526.0</v>
      </c>
      <c r="B441" s="97">
        <f t="shared" si="180"/>
        <v>45526</v>
      </c>
      <c r="C441" s="179" t="s">
        <v>118</v>
      </c>
      <c r="D441" s="129" t="s">
        <v>1756</v>
      </c>
      <c r="E441" s="129" t="s">
        <v>1758</v>
      </c>
      <c r="F441" s="130">
        <v>150.0</v>
      </c>
      <c r="G441" s="127"/>
      <c r="H441" s="44" t="b">
        <v>1</v>
      </c>
    </row>
    <row r="442" hidden="1" outlineLevel="1">
      <c r="A442" s="190">
        <v>45527.0</v>
      </c>
      <c r="B442" s="97">
        <f t="shared" si="180"/>
        <v>45527</v>
      </c>
      <c r="C442" s="179" t="s">
        <v>118</v>
      </c>
      <c r="D442" s="129" t="s">
        <v>1756</v>
      </c>
      <c r="E442" s="129" t="s">
        <v>469</v>
      </c>
      <c r="F442" s="130">
        <v>150.0</v>
      </c>
      <c r="G442" s="127"/>
      <c r="H442" s="44" t="b">
        <v>1</v>
      </c>
    </row>
    <row r="443" hidden="1" outlineLevel="1">
      <c r="A443" s="191"/>
      <c r="B443" s="58"/>
      <c r="C443" s="179" t="s">
        <v>118</v>
      </c>
      <c r="D443" s="129" t="s">
        <v>1761</v>
      </c>
      <c r="E443" s="129" t="s">
        <v>1758</v>
      </c>
      <c r="F443" s="130">
        <v>150.0</v>
      </c>
      <c r="G443" s="127"/>
      <c r="H443" s="44" t="b">
        <v>1</v>
      </c>
    </row>
    <row r="444" hidden="1" outlineLevel="1">
      <c r="A444" s="190">
        <v>45528.0</v>
      </c>
      <c r="B444" s="97">
        <f t="shared" ref="B444:B445" si="181">A444</f>
        <v>45528</v>
      </c>
      <c r="C444" s="179" t="s">
        <v>118</v>
      </c>
      <c r="D444" s="129" t="s">
        <v>1756</v>
      </c>
      <c r="E444" s="129" t="s">
        <v>1758</v>
      </c>
      <c r="F444" s="130">
        <v>150.0</v>
      </c>
      <c r="G444" s="127"/>
      <c r="H444" s="44" t="b">
        <v>1</v>
      </c>
    </row>
    <row r="445" hidden="1" outlineLevel="1">
      <c r="A445" s="190">
        <v>45529.0</v>
      </c>
      <c r="B445" s="97">
        <f t="shared" si="181"/>
        <v>45529</v>
      </c>
      <c r="C445" s="179" t="s">
        <v>118</v>
      </c>
      <c r="D445" s="129" t="s">
        <v>363</v>
      </c>
      <c r="E445" s="129" t="s">
        <v>1758</v>
      </c>
      <c r="F445" s="130">
        <v>200.0</v>
      </c>
      <c r="G445" s="127"/>
      <c r="H445" s="44" t="b">
        <v>1</v>
      </c>
    </row>
    <row r="446" hidden="1" outlineLevel="1">
      <c r="A446" s="191"/>
      <c r="B446" s="58"/>
      <c r="C446" s="179" t="s">
        <v>136</v>
      </c>
      <c r="D446" s="129" t="s">
        <v>363</v>
      </c>
      <c r="E446" s="129" t="s">
        <v>1758</v>
      </c>
      <c r="F446" s="130">
        <v>200.0</v>
      </c>
      <c r="G446" s="127"/>
      <c r="H446" s="44" t="b">
        <v>1</v>
      </c>
    </row>
    <row r="447" hidden="1" outlineLevel="1">
      <c r="A447" s="190">
        <v>45530.0</v>
      </c>
      <c r="B447" s="97">
        <f t="shared" ref="B447:B448" si="182">A447</f>
        <v>45530</v>
      </c>
      <c r="C447" s="179" t="s">
        <v>118</v>
      </c>
      <c r="D447" s="129" t="s">
        <v>1756</v>
      </c>
      <c r="E447" s="129" t="s">
        <v>1758</v>
      </c>
      <c r="F447" s="130">
        <v>150.0</v>
      </c>
      <c r="G447" s="127"/>
      <c r="H447" s="44" t="b">
        <v>1</v>
      </c>
    </row>
    <row r="448" hidden="1" outlineLevel="1">
      <c r="A448" s="190">
        <v>45531.0</v>
      </c>
      <c r="B448" s="97">
        <f t="shared" si="182"/>
        <v>45531</v>
      </c>
      <c r="C448" s="179" t="s">
        <v>118</v>
      </c>
      <c r="D448" s="129" t="s">
        <v>1756</v>
      </c>
      <c r="E448" s="129" t="s">
        <v>469</v>
      </c>
      <c r="F448" s="130">
        <v>150.0</v>
      </c>
      <c r="G448" s="127"/>
      <c r="H448" s="44" t="b">
        <v>1</v>
      </c>
    </row>
    <row r="449" hidden="1" outlineLevel="1">
      <c r="A449" s="191"/>
      <c r="B449" s="58"/>
      <c r="C449" s="179" t="s">
        <v>118</v>
      </c>
      <c r="D449" s="129" t="s">
        <v>363</v>
      </c>
      <c r="E449" s="129" t="s">
        <v>1758</v>
      </c>
      <c r="F449" s="130">
        <v>150.0</v>
      </c>
      <c r="G449" s="127"/>
      <c r="H449" s="44" t="b">
        <v>1</v>
      </c>
    </row>
    <row r="450" hidden="1" outlineLevel="1">
      <c r="A450" s="190">
        <v>45532.0</v>
      </c>
      <c r="B450" s="97">
        <f t="shared" ref="B450:B452" si="183">A450</f>
        <v>45532</v>
      </c>
      <c r="C450" s="179" t="s">
        <v>118</v>
      </c>
      <c r="D450" s="129" t="s">
        <v>1756</v>
      </c>
      <c r="E450" s="129" t="s">
        <v>1758</v>
      </c>
      <c r="F450" s="130">
        <v>150.0</v>
      </c>
      <c r="G450" s="127"/>
      <c r="H450" s="44" t="b">
        <v>1</v>
      </c>
    </row>
    <row r="451" hidden="1" outlineLevel="1">
      <c r="A451" s="190">
        <v>45533.0</v>
      </c>
      <c r="B451" s="97">
        <f t="shared" si="183"/>
        <v>45533</v>
      </c>
      <c r="C451" s="179" t="s">
        <v>118</v>
      </c>
      <c r="D451" s="129" t="s">
        <v>1756</v>
      </c>
      <c r="E451" s="129" t="s">
        <v>1758</v>
      </c>
      <c r="F451" s="130">
        <v>150.0</v>
      </c>
      <c r="G451" s="127"/>
      <c r="H451" s="44" t="b">
        <v>1</v>
      </c>
    </row>
    <row r="452" hidden="1" outlineLevel="1">
      <c r="A452" s="190">
        <v>45534.0</v>
      </c>
      <c r="B452" s="97">
        <f t="shared" si="183"/>
        <v>45534</v>
      </c>
      <c r="C452" s="179" t="s">
        <v>118</v>
      </c>
      <c r="D452" s="129" t="s">
        <v>1761</v>
      </c>
      <c r="E452" s="129" t="s">
        <v>1758</v>
      </c>
      <c r="F452" s="130">
        <v>150.0</v>
      </c>
      <c r="G452" s="127"/>
      <c r="H452" s="44" t="b">
        <v>1</v>
      </c>
    </row>
    <row r="453" hidden="1" outlineLevel="1">
      <c r="A453" s="191"/>
      <c r="B453" s="58"/>
      <c r="C453" s="179" t="s">
        <v>118</v>
      </c>
      <c r="D453" s="129" t="s">
        <v>1756</v>
      </c>
      <c r="E453" s="129" t="s">
        <v>469</v>
      </c>
      <c r="F453" s="130">
        <v>150.0</v>
      </c>
      <c r="G453" s="127"/>
      <c r="H453" s="44" t="b">
        <v>1</v>
      </c>
    </row>
    <row r="454" hidden="1" outlineLevel="1">
      <c r="A454" s="190">
        <v>45535.0</v>
      </c>
      <c r="B454" s="97">
        <f>A454</f>
        <v>45535</v>
      </c>
      <c r="C454" s="179" t="s">
        <v>118</v>
      </c>
      <c r="D454" s="129" t="s">
        <v>1756</v>
      </c>
      <c r="E454" s="129" t="s">
        <v>1758</v>
      </c>
      <c r="F454" s="130">
        <v>150.0</v>
      </c>
      <c r="G454" s="127"/>
      <c r="H454" s="44" t="b">
        <v>1</v>
      </c>
    </row>
    <row r="455">
      <c r="A455" s="484" t="s">
        <v>195</v>
      </c>
      <c r="B455" s="27"/>
      <c r="C455" s="27"/>
      <c r="D455" s="27"/>
      <c r="E455" s="28"/>
      <c r="F455" s="485">
        <f>SUM(F410:F454)</f>
        <v>6950</v>
      </c>
      <c r="G455" s="486"/>
      <c r="H455" s="28"/>
    </row>
    <row r="456" collapsed="1">
      <c r="A456" s="339" t="s">
        <v>747</v>
      </c>
      <c r="B456" s="246"/>
      <c r="C456" s="246"/>
      <c r="D456" s="246"/>
      <c r="E456" s="246"/>
      <c r="F456" s="246"/>
      <c r="G456" s="246"/>
      <c r="H456" s="247"/>
    </row>
    <row r="457" hidden="1" outlineLevel="1">
      <c r="A457" s="190">
        <v>45536.0</v>
      </c>
      <c r="B457" s="97">
        <f>A457</f>
        <v>45536</v>
      </c>
      <c r="C457" s="179" t="s">
        <v>118</v>
      </c>
      <c r="D457" s="129" t="s">
        <v>1828</v>
      </c>
      <c r="E457" s="129" t="s">
        <v>1758</v>
      </c>
      <c r="F457" s="130">
        <v>200.0</v>
      </c>
      <c r="G457" s="129"/>
      <c r="H457" s="44" t="b">
        <v>1</v>
      </c>
      <c r="K457" s="440" t="s">
        <v>2048</v>
      </c>
      <c r="L457" s="27"/>
      <c r="M457" s="27"/>
      <c r="N457" s="27"/>
      <c r="O457" s="27"/>
      <c r="P457" s="27"/>
      <c r="Q457" s="28"/>
    </row>
    <row r="458" hidden="1" outlineLevel="1">
      <c r="A458" s="191"/>
      <c r="B458" s="58"/>
      <c r="C458" s="179" t="s">
        <v>136</v>
      </c>
      <c r="D458" s="129" t="s">
        <v>1845</v>
      </c>
      <c r="E458" s="129" t="s">
        <v>1758</v>
      </c>
      <c r="F458" s="130">
        <v>200.0</v>
      </c>
      <c r="G458" s="129"/>
      <c r="H458" s="44" t="b">
        <v>1</v>
      </c>
      <c r="K458" s="441" t="s">
        <v>1749</v>
      </c>
      <c r="L458" s="441" t="s">
        <v>1758</v>
      </c>
      <c r="M458" s="441" t="s">
        <v>469</v>
      </c>
      <c r="N458" s="441" t="s">
        <v>195</v>
      </c>
      <c r="O458" s="441" t="s">
        <v>1764</v>
      </c>
      <c r="P458" s="441" t="s">
        <v>1765</v>
      </c>
      <c r="Q458" s="441" t="s">
        <v>1766</v>
      </c>
    </row>
    <row r="459" hidden="1" outlineLevel="1">
      <c r="A459" s="190">
        <v>45537.0</v>
      </c>
      <c r="B459" s="97">
        <f t="shared" ref="B459:B460" si="184">A459</f>
        <v>45537</v>
      </c>
      <c r="C459" s="179" t="s">
        <v>118</v>
      </c>
      <c r="D459" s="129" t="s">
        <v>1756</v>
      </c>
      <c r="E459" s="129" t="s">
        <v>1758</v>
      </c>
      <c r="F459" s="130">
        <v>150.0</v>
      </c>
      <c r="G459" s="129"/>
      <c r="H459" s="44" t="b">
        <v>1</v>
      </c>
      <c r="K459" s="91" t="s">
        <v>1756</v>
      </c>
      <c r="L459" s="90">
        <f t="shared" ref="L459:L472" si="185">COUNTIFS($D$457:$D$500, $K459,$E$457:$E$500,$L$458)</f>
        <v>17</v>
      </c>
      <c r="M459" s="90">
        <f t="shared" ref="M459:M472" si="186">COUNTIFS($D$457:$D$500, $K459,$E$457:$E$500,$M$458)</f>
        <v>8</v>
      </c>
      <c r="N459" s="90">
        <f t="shared" ref="N459:N472" si="187">L459+M459</f>
        <v>25</v>
      </c>
      <c r="O459" s="92">
        <f t="shared" ref="O459:O472" si="188">SUMIFS($F$457:$F$500,$D$457:$D$500,$K459)</f>
        <v>3750</v>
      </c>
      <c r="P459" s="92">
        <f t="shared" ref="P459:P472" si="189">SUMIFS($F$457:$F$500,$D$457:$D$500,$K459,$H$457:$H$500,TRUE)</f>
        <v>3750</v>
      </c>
      <c r="Q459" s="92">
        <f t="shared" ref="Q459:Q472" si="190">O459-P459</f>
        <v>0</v>
      </c>
    </row>
    <row r="460" hidden="1" outlineLevel="1">
      <c r="A460" s="190">
        <v>45538.0</v>
      </c>
      <c r="B460" s="97">
        <f t="shared" si="184"/>
        <v>45538</v>
      </c>
      <c r="C460" s="179" t="s">
        <v>118</v>
      </c>
      <c r="D460" s="129" t="s">
        <v>1756</v>
      </c>
      <c r="E460" s="129" t="s">
        <v>469</v>
      </c>
      <c r="F460" s="130">
        <v>150.0</v>
      </c>
      <c r="G460" s="129"/>
      <c r="H460" s="44" t="b">
        <v>1</v>
      </c>
      <c r="K460" s="91" t="s">
        <v>1810</v>
      </c>
      <c r="L460" s="90">
        <f t="shared" si="185"/>
        <v>0</v>
      </c>
      <c r="M460" s="90">
        <f t="shared" si="186"/>
        <v>0</v>
      </c>
      <c r="N460" s="90">
        <f t="shared" si="187"/>
        <v>0</v>
      </c>
      <c r="O460" s="92">
        <f t="shared" si="188"/>
        <v>0</v>
      </c>
      <c r="P460" s="92">
        <f t="shared" si="189"/>
        <v>0</v>
      </c>
      <c r="Q460" s="92">
        <f t="shared" si="190"/>
        <v>0</v>
      </c>
    </row>
    <row r="461" hidden="1" outlineLevel="1">
      <c r="A461" s="191"/>
      <c r="B461" s="58"/>
      <c r="C461" s="58"/>
      <c r="D461" s="129" t="s">
        <v>1761</v>
      </c>
      <c r="E461" s="129" t="s">
        <v>1758</v>
      </c>
      <c r="F461" s="130">
        <v>150.0</v>
      </c>
      <c r="G461" s="129"/>
      <c r="H461" s="44" t="b">
        <v>1</v>
      </c>
      <c r="K461" s="91" t="s">
        <v>1805</v>
      </c>
      <c r="L461" s="90">
        <f t="shared" si="185"/>
        <v>0</v>
      </c>
      <c r="M461" s="90">
        <f t="shared" si="186"/>
        <v>0</v>
      </c>
      <c r="N461" s="90">
        <f t="shared" si="187"/>
        <v>0</v>
      </c>
      <c r="O461" s="92">
        <f t="shared" si="188"/>
        <v>0</v>
      </c>
      <c r="P461" s="92">
        <f t="shared" si="189"/>
        <v>0</v>
      </c>
      <c r="Q461" s="92">
        <f t="shared" si="190"/>
        <v>0</v>
      </c>
    </row>
    <row r="462" hidden="1" outlineLevel="1">
      <c r="A462" s="190">
        <v>45539.0</v>
      </c>
      <c r="B462" s="97">
        <f t="shared" ref="B462:B464" si="191">A462</f>
        <v>45539</v>
      </c>
      <c r="C462" s="179" t="s">
        <v>118</v>
      </c>
      <c r="D462" s="129" t="s">
        <v>1756</v>
      </c>
      <c r="E462" s="129" t="s">
        <v>1758</v>
      </c>
      <c r="F462" s="130">
        <v>150.0</v>
      </c>
      <c r="G462" s="129"/>
      <c r="H462" s="44" t="b">
        <v>1</v>
      </c>
      <c r="K462" s="91" t="s">
        <v>1845</v>
      </c>
      <c r="L462" s="90">
        <f t="shared" si="185"/>
        <v>2</v>
      </c>
      <c r="M462" s="90">
        <f t="shared" si="186"/>
        <v>0</v>
      </c>
      <c r="N462" s="90">
        <f t="shared" si="187"/>
        <v>2</v>
      </c>
      <c r="O462" s="92">
        <f t="shared" si="188"/>
        <v>400</v>
      </c>
      <c r="P462" s="92">
        <f t="shared" si="189"/>
        <v>400</v>
      </c>
      <c r="Q462" s="92">
        <f t="shared" si="190"/>
        <v>0</v>
      </c>
    </row>
    <row r="463" hidden="1" outlineLevel="1">
      <c r="A463" s="190">
        <v>45540.0</v>
      </c>
      <c r="B463" s="97">
        <f t="shared" si="191"/>
        <v>45540</v>
      </c>
      <c r="C463" s="179" t="s">
        <v>118</v>
      </c>
      <c r="D463" s="129" t="s">
        <v>1756</v>
      </c>
      <c r="E463" s="129" t="s">
        <v>1758</v>
      </c>
      <c r="F463" s="130">
        <v>150.0</v>
      </c>
      <c r="G463" s="129"/>
      <c r="H463" s="44" t="b">
        <v>1</v>
      </c>
      <c r="K463" s="91" t="s">
        <v>363</v>
      </c>
      <c r="L463" s="90">
        <f t="shared" si="185"/>
        <v>3</v>
      </c>
      <c r="M463" s="90">
        <f t="shared" si="186"/>
        <v>0</v>
      </c>
      <c r="N463" s="90">
        <f t="shared" si="187"/>
        <v>3</v>
      </c>
      <c r="O463" s="92">
        <f t="shared" si="188"/>
        <v>600</v>
      </c>
      <c r="P463" s="92">
        <f t="shared" si="189"/>
        <v>600</v>
      </c>
      <c r="Q463" s="92">
        <f t="shared" si="190"/>
        <v>0</v>
      </c>
    </row>
    <row r="464" hidden="1" outlineLevel="1">
      <c r="A464" s="190">
        <v>45541.0</v>
      </c>
      <c r="B464" s="97">
        <f t="shared" si="191"/>
        <v>45541</v>
      </c>
      <c r="C464" s="179" t="s">
        <v>118</v>
      </c>
      <c r="D464" s="129" t="s">
        <v>1756</v>
      </c>
      <c r="E464" s="129" t="s">
        <v>469</v>
      </c>
      <c r="F464" s="130">
        <v>150.0</v>
      </c>
      <c r="G464" s="129"/>
      <c r="H464" s="44" t="b">
        <v>1</v>
      </c>
      <c r="K464" s="91" t="s">
        <v>1822</v>
      </c>
      <c r="L464" s="90">
        <f t="shared" si="185"/>
        <v>0</v>
      </c>
      <c r="M464" s="90">
        <f t="shared" si="186"/>
        <v>0</v>
      </c>
      <c r="N464" s="90">
        <f t="shared" si="187"/>
        <v>0</v>
      </c>
      <c r="O464" s="92">
        <f t="shared" si="188"/>
        <v>0</v>
      </c>
      <c r="P464" s="92">
        <f t="shared" si="189"/>
        <v>0</v>
      </c>
      <c r="Q464" s="92">
        <f t="shared" si="190"/>
        <v>0</v>
      </c>
    </row>
    <row r="465" hidden="1" outlineLevel="1">
      <c r="A465" s="191"/>
      <c r="B465" s="58"/>
      <c r="C465" s="58"/>
      <c r="D465" s="129" t="s">
        <v>1761</v>
      </c>
      <c r="E465" s="129" t="s">
        <v>1758</v>
      </c>
      <c r="F465" s="130">
        <v>150.0</v>
      </c>
      <c r="G465" s="129"/>
      <c r="H465" s="44" t="b">
        <v>1</v>
      </c>
      <c r="K465" s="91" t="s">
        <v>1842</v>
      </c>
      <c r="L465" s="90">
        <f t="shared" si="185"/>
        <v>0</v>
      </c>
      <c r="M465" s="90">
        <f t="shared" si="186"/>
        <v>0</v>
      </c>
      <c r="N465" s="90">
        <f t="shared" si="187"/>
        <v>0</v>
      </c>
      <c r="O465" s="92">
        <f t="shared" si="188"/>
        <v>0</v>
      </c>
      <c r="P465" s="92">
        <f t="shared" si="189"/>
        <v>0</v>
      </c>
      <c r="Q465" s="92">
        <f t="shared" si="190"/>
        <v>0</v>
      </c>
    </row>
    <row r="466" hidden="1" outlineLevel="1">
      <c r="A466" s="191"/>
      <c r="B466" s="58"/>
      <c r="C466" s="179" t="s">
        <v>136</v>
      </c>
      <c r="D466" s="129" t="s">
        <v>562</v>
      </c>
      <c r="E466" s="129" t="s">
        <v>1758</v>
      </c>
      <c r="F466" s="130">
        <v>0.0</v>
      </c>
      <c r="G466" s="522" t="s">
        <v>2049</v>
      </c>
      <c r="H466" s="44" t="b">
        <v>1</v>
      </c>
      <c r="K466" s="91" t="s">
        <v>1818</v>
      </c>
      <c r="L466" s="90">
        <f t="shared" si="185"/>
        <v>0</v>
      </c>
      <c r="M466" s="90">
        <f t="shared" si="186"/>
        <v>0</v>
      </c>
      <c r="N466" s="90">
        <f t="shared" si="187"/>
        <v>0</v>
      </c>
      <c r="O466" s="92">
        <f t="shared" si="188"/>
        <v>0</v>
      </c>
      <c r="P466" s="92">
        <f t="shared" si="189"/>
        <v>0</v>
      </c>
      <c r="Q466" s="92">
        <f t="shared" si="190"/>
        <v>0</v>
      </c>
    </row>
    <row r="467" hidden="1" outlineLevel="1">
      <c r="A467" s="190">
        <v>45542.0</v>
      </c>
      <c r="B467" s="97">
        <f t="shared" ref="B467:B468" si="192">A467</f>
        <v>45542</v>
      </c>
      <c r="C467" s="179" t="s">
        <v>118</v>
      </c>
      <c r="D467" s="129" t="s">
        <v>1756</v>
      </c>
      <c r="E467" s="129" t="s">
        <v>1758</v>
      </c>
      <c r="F467" s="130">
        <v>150.0</v>
      </c>
      <c r="G467" s="129"/>
      <c r="H467" s="44" t="b">
        <v>1</v>
      </c>
      <c r="K467" s="91" t="s">
        <v>1828</v>
      </c>
      <c r="L467" s="90">
        <f t="shared" si="185"/>
        <v>4</v>
      </c>
      <c r="M467" s="90">
        <f t="shared" si="186"/>
        <v>0</v>
      </c>
      <c r="N467" s="90">
        <f t="shared" si="187"/>
        <v>4</v>
      </c>
      <c r="O467" s="92">
        <f t="shared" si="188"/>
        <v>800</v>
      </c>
      <c r="P467" s="92">
        <f t="shared" si="189"/>
        <v>800</v>
      </c>
      <c r="Q467" s="92">
        <f t="shared" si="190"/>
        <v>0</v>
      </c>
    </row>
    <row r="468" hidden="1" outlineLevel="1">
      <c r="A468" s="190">
        <v>45543.0</v>
      </c>
      <c r="B468" s="97">
        <f t="shared" si="192"/>
        <v>45543</v>
      </c>
      <c r="C468" s="179" t="s">
        <v>118</v>
      </c>
      <c r="D468" s="129" t="s">
        <v>1828</v>
      </c>
      <c r="E468" s="129" t="s">
        <v>1758</v>
      </c>
      <c r="F468" s="130">
        <v>200.0</v>
      </c>
      <c r="G468" s="129"/>
      <c r="H468" s="44" t="b">
        <v>1</v>
      </c>
      <c r="K468" s="91" t="s">
        <v>1844</v>
      </c>
      <c r="L468" s="90">
        <f t="shared" si="185"/>
        <v>0</v>
      </c>
      <c r="M468" s="90">
        <f t="shared" si="186"/>
        <v>0</v>
      </c>
      <c r="N468" s="90">
        <f t="shared" si="187"/>
        <v>0</v>
      </c>
      <c r="O468" s="92">
        <f t="shared" si="188"/>
        <v>0</v>
      </c>
      <c r="P468" s="92">
        <f t="shared" si="189"/>
        <v>0</v>
      </c>
      <c r="Q468" s="92">
        <f t="shared" si="190"/>
        <v>0</v>
      </c>
    </row>
    <row r="469" hidden="1" outlineLevel="1">
      <c r="A469" s="191"/>
      <c r="B469" s="58"/>
      <c r="C469" s="179" t="s">
        <v>136</v>
      </c>
      <c r="D469" s="129" t="s">
        <v>363</v>
      </c>
      <c r="E469" s="129" t="s">
        <v>1758</v>
      </c>
      <c r="F469" s="130">
        <v>200.0</v>
      </c>
      <c r="G469" s="129"/>
      <c r="H469" s="44" t="b">
        <v>1</v>
      </c>
      <c r="K469" s="91" t="s">
        <v>562</v>
      </c>
      <c r="L469" s="90">
        <f t="shared" si="185"/>
        <v>2</v>
      </c>
      <c r="M469" s="90">
        <f t="shared" si="186"/>
        <v>0</v>
      </c>
      <c r="N469" s="90">
        <f t="shared" si="187"/>
        <v>2</v>
      </c>
      <c r="O469" s="92">
        <f t="shared" si="188"/>
        <v>200</v>
      </c>
      <c r="P469" s="92">
        <f t="shared" si="189"/>
        <v>200</v>
      </c>
      <c r="Q469" s="92">
        <f t="shared" si="190"/>
        <v>0</v>
      </c>
    </row>
    <row r="470" hidden="1" outlineLevel="1">
      <c r="A470" s="190">
        <v>45544.0</v>
      </c>
      <c r="B470" s="97">
        <f t="shared" ref="B470:B471" si="193">A470</f>
        <v>45544</v>
      </c>
      <c r="C470" s="179" t="s">
        <v>118</v>
      </c>
      <c r="D470" s="129" t="s">
        <v>1756</v>
      </c>
      <c r="E470" s="129" t="s">
        <v>1758</v>
      </c>
      <c r="F470" s="130">
        <v>150.0</v>
      </c>
      <c r="G470" s="129"/>
      <c r="H470" s="44" t="b">
        <v>1</v>
      </c>
      <c r="K470" s="91" t="s">
        <v>1761</v>
      </c>
      <c r="L470" s="90">
        <f t="shared" si="185"/>
        <v>8</v>
      </c>
      <c r="M470" s="90">
        <f t="shared" si="186"/>
        <v>0</v>
      </c>
      <c r="N470" s="90">
        <f t="shared" si="187"/>
        <v>8</v>
      </c>
      <c r="O470" s="92">
        <f t="shared" si="188"/>
        <v>1200</v>
      </c>
      <c r="P470" s="92">
        <f t="shared" si="189"/>
        <v>1200</v>
      </c>
      <c r="Q470" s="92">
        <f t="shared" si="190"/>
        <v>0</v>
      </c>
    </row>
    <row r="471" hidden="1" outlineLevel="1">
      <c r="A471" s="190">
        <v>45545.0</v>
      </c>
      <c r="B471" s="97">
        <f t="shared" si="193"/>
        <v>45545</v>
      </c>
      <c r="C471" s="179" t="s">
        <v>118</v>
      </c>
      <c r="D471" s="129" t="s">
        <v>1756</v>
      </c>
      <c r="E471" s="129" t="s">
        <v>469</v>
      </c>
      <c r="F471" s="130">
        <v>150.0</v>
      </c>
      <c r="G471" s="129"/>
      <c r="H471" s="44" t="b">
        <v>1</v>
      </c>
      <c r="K471" s="91" t="s">
        <v>1849</v>
      </c>
      <c r="L471" s="90">
        <f t="shared" si="185"/>
        <v>0</v>
      </c>
      <c r="M471" s="90">
        <f t="shared" si="186"/>
        <v>0</v>
      </c>
      <c r="N471" s="90">
        <f t="shared" si="187"/>
        <v>0</v>
      </c>
      <c r="O471" s="92">
        <f t="shared" si="188"/>
        <v>0</v>
      </c>
      <c r="P471" s="92">
        <f t="shared" si="189"/>
        <v>0</v>
      </c>
      <c r="Q471" s="92">
        <f t="shared" si="190"/>
        <v>0</v>
      </c>
    </row>
    <row r="472" hidden="1" outlineLevel="1">
      <c r="A472" s="191"/>
      <c r="B472" s="58"/>
      <c r="C472" s="58"/>
      <c r="D472" s="129" t="s">
        <v>1761</v>
      </c>
      <c r="E472" s="129" t="s">
        <v>1758</v>
      </c>
      <c r="F472" s="130">
        <v>150.0</v>
      </c>
      <c r="G472" s="129"/>
      <c r="H472" s="44" t="b">
        <v>1</v>
      </c>
      <c r="K472" s="91" t="s">
        <v>1841</v>
      </c>
      <c r="L472" s="90">
        <f t="shared" si="185"/>
        <v>0</v>
      </c>
      <c r="M472" s="90">
        <f t="shared" si="186"/>
        <v>0</v>
      </c>
      <c r="N472" s="90">
        <f t="shared" si="187"/>
        <v>0</v>
      </c>
      <c r="O472" s="92">
        <f t="shared" si="188"/>
        <v>0</v>
      </c>
      <c r="P472" s="92">
        <f t="shared" si="189"/>
        <v>0</v>
      </c>
      <c r="Q472" s="92">
        <f t="shared" si="190"/>
        <v>0</v>
      </c>
    </row>
    <row r="473" hidden="1" outlineLevel="1">
      <c r="A473" s="190">
        <v>45546.0</v>
      </c>
      <c r="B473" s="97">
        <f t="shared" ref="B473:B475" si="194">A473</f>
        <v>45546</v>
      </c>
      <c r="C473" s="179" t="s">
        <v>118</v>
      </c>
      <c r="D473" s="129" t="s">
        <v>1756</v>
      </c>
      <c r="E473" s="129" t="s">
        <v>1758</v>
      </c>
      <c r="F473" s="130">
        <v>150.0</v>
      </c>
      <c r="G473" s="129"/>
      <c r="H473" s="44" t="b">
        <v>1</v>
      </c>
      <c r="K473" s="276"/>
      <c r="L473" s="276"/>
      <c r="M473" s="276"/>
      <c r="N473" s="276"/>
      <c r="O473" s="276"/>
      <c r="P473" s="276"/>
      <c r="Q473" s="276"/>
    </row>
    <row r="474" hidden="1" outlineLevel="1">
      <c r="A474" s="190">
        <v>45547.0</v>
      </c>
      <c r="B474" s="97">
        <f t="shared" si="194"/>
        <v>45547</v>
      </c>
      <c r="C474" s="179" t="s">
        <v>118</v>
      </c>
      <c r="D474" s="129" t="s">
        <v>1756</v>
      </c>
      <c r="E474" s="129" t="s">
        <v>1758</v>
      </c>
      <c r="F474" s="130">
        <v>150.0</v>
      </c>
      <c r="G474" s="129"/>
      <c r="H474" s="44" t="b">
        <v>1</v>
      </c>
      <c r="K474" s="91"/>
      <c r="L474" s="90"/>
      <c r="M474" s="90"/>
      <c r="N474" s="90"/>
      <c r="O474" s="92"/>
      <c r="P474" s="92"/>
      <c r="Q474" s="90"/>
    </row>
    <row r="475" hidden="1" outlineLevel="1">
      <c r="A475" s="190">
        <v>45548.0</v>
      </c>
      <c r="B475" s="97">
        <f t="shared" si="194"/>
        <v>45548</v>
      </c>
      <c r="C475" s="179" t="s">
        <v>118</v>
      </c>
      <c r="D475" s="129" t="s">
        <v>1756</v>
      </c>
      <c r="E475" s="129" t="s">
        <v>469</v>
      </c>
      <c r="F475" s="130">
        <v>150.0</v>
      </c>
      <c r="G475" s="129"/>
      <c r="H475" s="44" t="b">
        <v>1</v>
      </c>
      <c r="K475" s="477" t="s">
        <v>195</v>
      </c>
      <c r="L475" s="478">
        <f t="shared" ref="L475:Q475" si="195">SUM(L459:L474)</f>
        <v>36</v>
      </c>
      <c r="M475" s="478">
        <f t="shared" si="195"/>
        <v>8</v>
      </c>
      <c r="N475" s="478">
        <f t="shared" si="195"/>
        <v>44</v>
      </c>
      <c r="O475" s="479">
        <f t="shared" si="195"/>
        <v>6950</v>
      </c>
      <c r="P475" s="479">
        <f t="shared" si="195"/>
        <v>6950</v>
      </c>
      <c r="Q475" s="479">
        <f t="shared" si="195"/>
        <v>0</v>
      </c>
    </row>
    <row r="476" hidden="1" outlineLevel="1">
      <c r="A476" s="191"/>
      <c r="B476" s="58"/>
      <c r="C476" s="58"/>
      <c r="D476" s="129" t="s">
        <v>1761</v>
      </c>
      <c r="E476" s="129" t="s">
        <v>1758</v>
      </c>
      <c r="F476" s="130">
        <v>150.0</v>
      </c>
      <c r="G476" s="129"/>
      <c r="H476" s="44" t="b">
        <v>1</v>
      </c>
    </row>
    <row r="477" hidden="1" outlineLevel="1">
      <c r="A477" s="190">
        <v>45549.0</v>
      </c>
      <c r="B477" s="97">
        <f t="shared" ref="B477:B478" si="196">A477</f>
        <v>45549</v>
      </c>
      <c r="C477" s="179" t="s">
        <v>118</v>
      </c>
      <c r="D477" s="129" t="s">
        <v>1756</v>
      </c>
      <c r="E477" s="129" t="s">
        <v>1758</v>
      </c>
      <c r="F477" s="130">
        <v>150.0</v>
      </c>
      <c r="G477" s="129"/>
      <c r="H477" s="44" t="b">
        <v>1</v>
      </c>
    </row>
    <row r="478" hidden="1" outlineLevel="1">
      <c r="A478" s="190">
        <v>45550.0</v>
      </c>
      <c r="B478" s="97">
        <f t="shared" si="196"/>
        <v>45550</v>
      </c>
      <c r="C478" s="179" t="s">
        <v>118</v>
      </c>
      <c r="D478" s="129" t="s">
        <v>1828</v>
      </c>
      <c r="E478" s="129" t="s">
        <v>1758</v>
      </c>
      <c r="F478" s="130">
        <v>200.0</v>
      </c>
      <c r="G478" s="129"/>
      <c r="H478" s="44" t="b">
        <v>1</v>
      </c>
    </row>
    <row r="479" hidden="1" outlineLevel="1">
      <c r="A479" s="191"/>
      <c r="B479" s="58"/>
      <c r="C479" s="179" t="s">
        <v>136</v>
      </c>
      <c r="D479" s="129" t="s">
        <v>1845</v>
      </c>
      <c r="E479" s="129" t="s">
        <v>1758</v>
      </c>
      <c r="F479" s="130">
        <v>200.0</v>
      </c>
      <c r="G479" s="129"/>
      <c r="H479" s="44" t="b">
        <v>1</v>
      </c>
    </row>
    <row r="480" hidden="1" outlineLevel="1">
      <c r="A480" s="190">
        <v>45551.0</v>
      </c>
      <c r="B480" s="97">
        <f t="shared" ref="B480:B481" si="197">A480</f>
        <v>45551</v>
      </c>
      <c r="C480" s="179" t="s">
        <v>118</v>
      </c>
      <c r="D480" s="129" t="s">
        <v>1756</v>
      </c>
      <c r="E480" s="129" t="s">
        <v>1758</v>
      </c>
      <c r="F480" s="130">
        <v>150.0</v>
      </c>
      <c r="G480" s="129"/>
      <c r="H480" s="44" t="b">
        <v>1</v>
      </c>
    </row>
    <row r="481" hidden="1" outlineLevel="1">
      <c r="A481" s="190">
        <v>45552.0</v>
      </c>
      <c r="B481" s="97">
        <f t="shared" si="197"/>
        <v>45552</v>
      </c>
      <c r="C481" s="179" t="s">
        <v>118</v>
      </c>
      <c r="D481" s="129" t="s">
        <v>1756</v>
      </c>
      <c r="E481" s="129" t="s">
        <v>469</v>
      </c>
      <c r="F481" s="130">
        <v>150.0</v>
      </c>
      <c r="G481" s="129"/>
      <c r="H481" s="44" t="b">
        <v>1</v>
      </c>
    </row>
    <row r="482" hidden="1" outlineLevel="1">
      <c r="A482" s="191"/>
      <c r="B482" s="58"/>
      <c r="C482" s="58"/>
      <c r="D482" s="129" t="s">
        <v>1761</v>
      </c>
      <c r="E482" s="129" t="s">
        <v>1758</v>
      </c>
      <c r="F482" s="130">
        <v>150.0</v>
      </c>
      <c r="G482" s="129"/>
      <c r="H482" s="44" t="b">
        <v>1</v>
      </c>
    </row>
    <row r="483" hidden="1" outlineLevel="1">
      <c r="A483" s="190">
        <v>45553.0</v>
      </c>
      <c r="B483" s="97">
        <f t="shared" ref="B483:B485" si="198">A483</f>
        <v>45553</v>
      </c>
      <c r="C483" s="179" t="s">
        <v>118</v>
      </c>
      <c r="D483" s="129" t="s">
        <v>1756</v>
      </c>
      <c r="E483" s="129" t="s">
        <v>1758</v>
      </c>
      <c r="F483" s="130">
        <v>150.0</v>
      </c>
      <c r="G483" s="129"/>
      <c r="H483" s="44" t="b">
        <v>1</v>
      </c>
    </row>
    <row r="484" hidden="1" outlineLevel="1">
      <c r="A484" s="190">
        <v>45554.0</v>
      </c>
      <c r="B484" s="97">
        <f t="shared" si="198"/>
        <v>45554</v>
      </c>
      <c r="C484" s="179" t="s">
        <v>118</v>
      </c>
      <c r="D484" s="129" t="s">
        <v>1756</v>
      </c>
      <c r="E484" s="129" t="s">
        <v>1758</v>
      </c>
      <c r="F484" s="130">
        <v>150.0</v>
      </c>
      <c r="G484" s="129"/>
      <c r="H484" s="44" t="b">
        <v>1</v>
      </c>
    </row>
    <row r="485" hidden="1" outlineLevel="1">
      <c r="A485" s="190">
        <v>45555.0</v>
      </c>
      <c r="B485" s="97">
        <f t="shared" si="198"/>
        <v>45555</v>
      </c>
      <c r="C485" s="179" t="s">
        <v>118</v>
      </c>
      <c r="D485" s="129" t="s">
        <v>1756</v>
      </c>
      <c r="E485" s="129" t="s">
        <v>469</v>
      </c>
      <c r="F485" s="130">
        <v>150.0</v>
      </c>
      <c r="G485" s="129"/>
      <c r="H485" s="44" t="b">
        <v>1</v>
      </c>
    </row>
    <row r="486" hidden="1" outlineLevel="1">
      <c r="A486" s="191"/>
      <c r="B486" s="58"/>
      <c r="C486" s="58"/>
      <c r="D486" s="129" t="s">
        <v>1761</v>
      </c>
      <c r="E486" s="129" t="s">
        <v>1758</v>
      </c>
      <c r="F486" s="130">
        <v>150.0</v>
      </c>
      <c r="G486" s="129"/>
      <c r="H486" s="44" t="b">
        <v>1</v>
      </c>
    </row>
    <row r="487" hidden="1" outlineLevel="1">
      <c r="A487" s="190">
        <v>45556.0</v>
      </c>
      <c r="B487" s="97">
        <f t="shared" ref="B487:B488" si="199">A487</f>
        <v>45556</v>
      </c>
      <c r="C487" s="179" t="s">
        <v>118</v>
      </c>
      <c r="D487" s="129" t="s">
        <v>1756</v>
      </c>
      <c r="E487" s="129" t="s">
        <v>1758</v>
      </c>
      <c r="F487" s="130">
        <v>150.0</v>
      </c>
      <c r="G487" s="129"/>
      <c r="H487" s="44" t="b">
        <v>1</v>
      </c>
    </row>
    <row r="488" hidden="1" outlineLevel="1">
      <c r="A488" s="190">
        <v>45557.0</v>
      </c>
      <c r="B488" s="97">
        <f t="shared" si="199"/>
        <v>45557</v>
      </c>
      <c r="C488" s="179" t="s">
        <v>118</v>
      </c>
      <c r="D488" s="129" t="s">
        <v>562</v>
      </c>
      <c r="E488" s="129" t="s">
        <v>1758</v>
      </c>
      <c r="F488" s="130">
        <v>200.0</v>
      </c>
      <c r="G488" s="129"/>
      <c r="H488" s="44" t="b">
        <v>1</v>
      </c>
    </row>
    <row r="489" hidden="1" outlineLevel="1">
      <c r="A489" s="191"/>
      <c r="B489" s="58"/>
      <c r="C489" s="179" t="s">
        <v>136</v>
      </c>
      <c r="D489" s="129" t="s">
        <v>363</v>
      </c>
      <c r="E489" s="129" t="s">
        <v>1758</v>
      </c>
      <c r="F489" s="130">
        <v>200.0</v>
      </c>
      <c r="G489" s="129"/>
      <c r="H489" s="44" t="b">
        <v>1</v>
      </c>
    </row>
    <row r="490" hidden="1" outlineLevel="1">
      <c r="A490" s="190">
        <v>45558.0</v>
      </c>
      <c r="B490" s="97">
        <f t="shared" ref="B490:B491" si="200">A490</f>
        <v>45558</v>
      </c>
      <c r="C490" s="179" t="s">
        <v>118</v>
      </c>
      <c r="D490" s="129" t="s">
        <v>1756</v>
      </c>
      <c r="E490" s="129" t="s">
        <v>1758</v>
      </c>
      <c r="F490" s="130">
        <v>150.0</v>
      </c>
      <c r="G490" s="129"/>
      <c r="H490" s="44" t="b">
        <v>1</v>
      </c>
    </row>
    <row r="491" hidden="1" outlineLevel="1">
      <c r="A491" s="190">
        <v>45559.0</v>
      </c>
      <c r="B491" s="97">
        <f t="shared" si="200"/>
        <v>45559</v>
      </c>
      <c r="C491" s="179" t="s">
        <v>118</v>
      </c>
      <c r="D491" s="129" t="s">
        <v>1756</v>
      </c>
      <c r="E491" s="129" t="s">
        <v>469</v>
      </c>
      <c r="F491" s="130">
        <v>150.0</v>
      </c>
      <c r="G491" s="129"/>
      <c r="H491" s="44" t="b">
        <v>1</v>
      </c>
    </row>
    <row r="492" hidden="1" outlineLevel="1">
      <c r="A492" s="191"/>
      <c r="B492" s="58"/>
      <c r="C492" s="179" t="s">
        <v>118</v>
      </c>
      <c r="D492" s="129" t="s">
        <v>1761</v>
      </c>
      <c r="E492" s="129" t="s">
        <v>1758</v>
      </c>
      <c r="F492" s="130">
        <v>150.0</v>
      </c>
      <c r="G492" s="129"/>
      <c r="H492" s="44" t="b">
        <v>1</v>
      </c>
    </row>
    <row r="493" hidden="1" outlineLevel="1">
      <c r="A493" s="190">
        <v>45560.0</v>
      </c>
      <c r="B493" s="97">
        <f t="shared" ref="B493:B495" si="201">A493</f>
        <v>45560</v>
      </c>
      <c r="C493" s="179" t="s">
        <v>118</v>
      </c>
      <c r="D493" s="129" t="s">
        <v>1756</v>
      </c>
      <c r="E493" s="129" t="s">
        <v>1758</v>
      </c>
      <c r="F493" s="130">
        <v>150.0</v>
      </c>
      <c r="G493" s="129"/>
      <c r="H493" s="44" t="b">
        <v>1</v>
      </c>
    </row>
    <row r="494" hidden="1" outlineLevel="1">
      <c r="A494" s="190">
        <v>45561.0</v>
      </c>
      <c r="B494" s="97">
        <f t="shared" si="201"/>
        <v>45561</v>
      </c>
      <c r="C494" s="179" t="s">
        <v>118</v>
      </c>
      <c r="D494" s="129" t="s">
        <v>1756</v>
      </c>
      <c r="E494" s="129" t="s">
        <v>1758</v>
      </c>
      <c r="F494" s="130">
        <v>150.0</v>
      </c>
      <c r="G494" s="129"/>
      <c r="H494" s="44" t="b">
        <v>1</v>
      </c>
    </row>
    <row r="495" hidden="1" outlineLevel="1">
      <c r="A495" s="190">
        <v>45562.0</v>
      </c>
      <c r="B495" s="97">
        <f t="shared" si="201"/>
        <v>45562</v>
      </c>
      <c r="C495" s="179" t="s">
        <v>118</v>
      </c>
      <c r="D495" s="129" t="s">
        <v>1756</v>
      </c>
      <c r="E495" s="129" t="s">
        <v>469</v>
      </c>
      <c r="F495" s="130">
        <v>150.0</v>
      </c>
      <c r="G495" s="129"/>
      <c r="H495" s="44" t="b">
        <v>1</v>
      </c>
    </row>
    <row r="496" hidden="1" outlineLevel="1">
      <c r="A496" s="191"/>
      <c r="B496" s="58"/>
      <c r="C496" s="58"/>
      <c r="D496" s="129" t="s">
        <v>1761</v>
      </c>
      <c r="E496" s="129" t="s">
        <v>1758</v>
      </c>
      <c r="F496" s="130">
        <v>150.0</v>
      </c>
      <c r="G496" s="129"/>
      <c r="H496" s="44" t="b">
        <v>1</v>
      </c>
    </row>
    <row r="497" hidden="1" outlineLevel="1">
      <c r="A497" s="190">
        <v>45563.0</v>
      </c>
      <c r="B497" s="97">
        <f t="shared" ref="B497:B498" si="202">A497</f>
        <v>45563</v>
      </c>
      <c r="C497" s="179" t="s">
        <v>118</v>
      </c>
      <c r="D497" s="129" t="s">
        <v>1756</v>
      </c>
      <c r="E497" s="129" t="s">
        <v>1758</v>
      </c>
      <c r="F497" s="130">
        <v>150.0</v>
      </c>
      <c r="G497" s="129"/>
      <c r="H497" s="44" t="b">
        <v>1</v>
      </c>
    </row>
    <row r="498" hidden="1" outlineLevel="1">
      <c r="A498" s="190">
        <v>45564.0</v>
      </c>
      <c r="B498" s="97">
        <f t="shared" si="202"/>
        <v>45564</v>
      </c>
      <c r="C498" s="179" t="s">
        <v>118</v>
      </c>
      <c r="D498" s="129" t="s">
        <v>1828</v>
      </c>
      <c r="E498" s="129" t="s">
        <v>1758</v>
      </c>
      <c r="F498" s="130">
        <v>200.0</v>
      </c>
      <c r="G498" s="129"/>
      <c r="H498" s="44" t="b">
        <v>1</v>
      </c>
    </row>
    <row r="499" hidden="1" outlineLevel="1">
      <c r="A499" s="191"/>
      <c r="B499" s="58"/>
      <c r="C499" s="179" t="s">
        <v>136</v>
      </c>
      <c r="D499" s="129" t="s">
        <v>363</v>
      </c>
      <c r="E499" s="129" t="s">
        <v>1758</v>
      </c>
      <c r="F499" s="130">
        <v>200.0</v>
      </c>
      <c r="G499" s="129"/>
      <c r="H499" s="44" t="b">
        <v>1</v>
      </c>
    </row>
    <row r="500" hidden="1" outlineLevel="1">
      <c r="A500" s="190">
        <v>45565.0</v>
      </c>
      <c r="B500" s="97">
        <f>A500</f>
        <v>45565</v>
      </c>
      <c r="C500" s="179" t="s">
        <v>118</v>
      </c>
      <c r="D500" s="129" t="s">
        <v>1756</v>
      </c>
      <c r="E500" s="129" t="s">
        <v>1758</v>
      </c>
      <c r="F500" s="130">
        <v>150.0</v>
      </c>
      <c r="G500" s="129"/>
      <c r="H500" s="44" t="b">
        <v>1</v>
      </c>
    </row>
    <row r="501">
      <c r="A501" s="484" t="s">
        <v>195</v>
      </c>
      <c r="B501" s="27"/>
      <c r="C501" s="27"/>
      <c r="D501" s="27"/>
      <c r="E501" s="28"/>
      <c r="F501" s="485">
        <f>SUM(F457:F500)</f>
        <v>6950</v>
      </c>
      <c r="G501" s="486"/>
      <c r="H501" s="28"/>
    </row>
    <row r="502" collapsed="1">
      <c r="A502" s="339" t="s">
        <v>774</v>
      </c>
      <c r="B502" s="246"/>
      <c r="C502" s="246"/>
      <c r="D502" s="246"/>
      <c r="E502" s="246"/>
      <c r="F502" s="246"/>
      <c r="G502" s="246"/>
      <c r="H502" s="247"/>
    </row>
    <row r="503" hidden="1" outlineLevel="1">
      <c r="A503" s="190">
        <v>45566.0</v>
      </c>
      <c r="B503" s="97">
        <f>A503</f>
        <v>45566</v>
      </c>
      <c r="C503" s="179" t="s">
        <v>118</v>
      </c>
      <c r="D503" s="129" t="s">
        <v>1756</v>
      </c>
      <c r="E503" s="129" t="s">
        <v>469</v>
      </c>
      <c r="F503" s="130">
        <v>150.0</v>
      </c>
      <c r="G503" s="129"/>
      <c r="H503" s="44" t="b">
        <v>1</v>
      </c>
      <c r="K503" s="440" t="s">
        <v>2050</v>
      </c>
      <c r="L503" s="27"/>
      <c r="M503" s="27"/>
      <c r="N503" s="27"/>
      <c r="O503" s="27"/>
      <c r="P503" s="27"/>
      <c r="Q503" s="28"/>
    </row>
    <row r="504" hidden="1" outlineLevel="1">
      <c r="A504" s="191"/>
      <c r="B504" s="58"/>
      <c r="C504" s="179" t="s">
        <v>118</v>
      </c>
      <c r="D504" s="129" t="s">
        <v>1761</v>
      </c>
      <c r="E504" s="129" t="s">
        <v>1758</v>
      </c>
      <c r="F504" s="130">
        <v>150.0</v>
      </c>
      <c r="G504" s="129"/>
      <c r="H504" s="44" t="b">
        <v>1</v>
      </c>
      <c r="K504" s="441" t="s">
        <v>1749</v>
      </c>
      <c r="L504" s="441" t="s">
        <v>1758</v>
      </c>
      <c r="M504" s="441" t="s">
        <v>469</v>
      </c>
      <c r="N504" s="441" t="s">
        <v>195</v>
      </c>
      <c r="O504" s="441" t="s">
        <v>1764</v>
      </c>
      <c r="P504" s="441" t="s">
        <v>1765</v>
      </c>
      <c r="Q504" s="441" t="s">
        <v>1766</v>
      </c>
    </row>
    <row r="505" hidden="1" outlineLevel="1">
      <c r="A505" s="191"/>
      <c r="B505" s="58"/>
      <c r="C505" s="179" t="s">
        <v>136</v>
      </c>
      <c r="D505" s="129" t="s">
        <v>1838</v>
      </c>
      <c r="E505" s="129" t="s">
        <v>1758</v>
      </c>
      <c r="F505" s="130">
        <v>150.0</v>
      </c>
      <c r="G505" s="129"/>
      <c r="H505" s="44" t="b">
        <v>1</v>
      </c>
      <c r="K505" s="91" t="s">
        <v>1756</v>
      </c>
      <c r="L505" s="90">
        <f t="shared" ref="L505:L518" si="203">COUNTIFS($D$503:$D$550, $K505,$E$503:$E$550,$L$504)</f>
        <v>18</v>
      </c>
      <c r="M505" s="90">
        <f t="shared" ref="M505:M518" si="204">COUNTIFS($D$503:$D$550, $K505,$E$503:$E$550,$M$504)</f>
        <v>9</v>
      </c>
      <c r="N505" s="90">
        <f t="shared" ref="N505:N518" si="205">L505+M505</f>
        <v>27</v>
      </c>
      <c r="O505" s="92">
        <f t="shared" ref="O505:O518" si="206">SUMIFS($F$503:$F$550,$D$503:$D$550,$K505)</f>
        <v>4150</v>
      </c>
      <c r="P505" s="92">
        <f t="shared" ref="P505:P518" si="207">SUMIFS($F$503:$F$550,$D$503:$D$550,$K505,$H$503:$H$550,TRUE)</f>
        <v>4150</v>
      </c>
      <c r="Q505" s="92">
        <f t="shared" ref="Q505:Q518" si="208">O505-P505</f>
        <v>0</v>
      </c>
    </row>
    <row r="506" hidden="1" outlineLevel="1">
      <c r="A506" s="190">
        <v>45567.0</v>
      </c>
      <c r="B506" s="97">
        <f t="shared" ref="B506:B508" si="209">A506</f>
        <v>45567</v>
      </c>
      <c r="C506" s="179" t="s">
        <v>118</v>
      </c>
      <c r="D506" s="129" t="s">
        <v>1756</v>
      </c>
      <c r="E506" s="129" t="s">
        <v>1758</v>
      </c>
      <c r="F506" s="130">
        <v>150.0</v>
      </c>
      <c r="G506" s="129"/>
      <c r="H506" s="44" t="b">
        <v>1</v>
      </c>
      <c r="K506" s="91" t="s">
        <v>1810</v>
      </c>
      <c r="L506" s="90">
        <f t="shared" si="203"/>
        <v>0</v>
      </c>
      <c r="M506" s="90">
        <f t="shared" si="204"/>
        <v>0</v>
      </c>
      <c r="N506" s="90">
        <f t="shared" si="205"/>
        <v>0</v>
      </c>
      <c r="O506" s="92">
        <f t="shared" si="206"/>
        <v>0</v>
      </c>
      <c r="P506" s="92">
        <f t="shared" si="207"/>
        <v>0</v>
      </c>
      <c r="Q506" s="92">
        <f t="shared" si="208"/>
        <v>0</v>
      </c>
    </row>
    <row r="507" hidden="1" outlineLevel="1">
      <c r="A507" s="190">
        <v>45568.0</v>
      </c>
      <c r="B507" s="97">
        <f t="shared" si="209"/>
        <v>45568</v>
      </c>
      <c r="C507" s="179" t="s">
        <v>118</v>
      </c>
      <c r="D507" s="129" t="s">
        <v>1756</v>
      </c>
      <c r="E507" s="129" t="s">
        <v>1758</v>
      </c>
      <c r="F507" s="130">
        <v>150.0</v>
      </c>
      <c r="G507" s="129"/>
      <c r="H507" s="44" t="b">
        <v>1</v>
      </c>
      <c r="K507" s="91" t="s">
        <v>1838</v>
      </c>
      <c r="L507" s="90">
        <f t="shared" si="203"/>
        <v>2</v>
      </c>
      <c r="M507" s="90">
        <f t="shared" si="204"/>
        <v>0</v>
      </c>
      <c r="N507" s="90">
        <f t="shared" si="205"/>
        <v>2</v>
      </c>
      <c r="O507" s="92">
        <f t="shared" si="206"/>
        <v>300</v>
      </c>
      <c r="P507" s="92">
        <f t="shared" si="207"/>
        <v>300</v>
      </c>
      <c r="Q507" s="92">
        <f t="shared" si="208"/>
        <v>0</v>
      </c>
    </row>
    <row r="508" hidden="1" outlineLevel="1">
      <c r="A508" s="190">
        <v>45569.0</v>
      </c>
      <c r="B508" s="97">
        <f t="shared" si="209"/>
        <v>45569</v>
      </c>
      <c r="C508" s="179" t="s">
        <v>118</v>
      </c>
      <c r="D508" s="129" t="s">
        <v>1756</v>
      </c>
      <c r="E508" s="129" t="s">
        <v>469</v>
      </c>
      <c r="F508" s="130">
        <v>150.0</v>
      </c>
      <c r="G508" s="129"/>
      <c r="H508" s="44" t="b">
        <v>1</v>
      </c>
      <c r="K508" s="91" t="s">
        <v>183</v>
      </c>
      <c r="L508" s="90">
        <f t="shared" si="203"/>
        <v>1</v>
      </c>
      <c r="M508" s="90">
        <f t="shared" si="204"/>
        <v>0</v>
      </c>
      <c r="N508" s="90">
        <f t="shared" si="205"/>
        <v>1</v>
      </c>
      <c r="O508" s="92">
        <f t="shared" si="206"/>
        <v>150</v>
      </c>
      <c r="P508" s="92">
        <f t="shared" si="207"/>
        <v>150</v>
      </c>
      <c r="Q508" s="92">
        <f t="shared" si="208"/>
        <v>0</v>
      </c>
    </row>
    <row r="509" hidden="1" outlineLevel="1">
      <c r="A509" s="191"/>
      <c r="B509" s="58"/>
      <c r="C509" s="179" t="s">
        <v>118</v>
      </c>
      <c r="D509" s="129" t="s">
        <v>1761</v>
      </c>
      <c r="E509" s="129" t="s">
        <v>1758</v>
      </c>
      <c r="F509" s="130">
        <v>150.0</v>
      </c>
      <c r="G509" s="129"/>
      <c r="H509" s="44" t="b">
        <v>1</v>
      </c>
      <c r="K509" s="91" t="s">
        <v>363</v>
      </c>
      <c r="L509" s="90">
        <f t="shared" si="203"/>
        <v>5</v>
      </c>
      <c r="M509" s="90">
        <f t="shared" si="204"/>
        <v>0</v>
      </c>
      <c r="N509" s="90">
        <f t="shared" si="205"/>
        <v>5</v>
      </c>
      <c r="O509" s="92">
        <f t="shared" si="206"/>
        <v>900</v>
      </c>
      <c r="P509" s="92">
        <f t="shared" si="207"/>
        <v>900</v>
      </c>
      <c r="Q509" s="92">
        <f t="shared" si="208"/>
        <v>0</v>
      </c>
    </row>
    <row r="510" hidden="1" outlineLevel="1">
      <c r="A510" s="191"/>
      <c r="B510" s="58"/>
      <c r="C510" s="179" t="s">
        <v>136</v>
      </c>
      <c r="D510" s="129" t="s">
        <v>1838</v>
      </c>
      <c r="E510" s="129" t="s">
        <v>1758</v>
      </c>
      <c r="F510" s="130">
        <v>150.0</v>
      </c>
      <c r="G510" s="129"/>
      <c r="H510" s="44" t="b">
        <v>1</v>
      </c>
      <c r="K510" s="91" t="s">
        <v>1815</v>
      </c>
      <c r="L510" s="90">
        <f t="shared" si="203"/>
        <v>1</v>
      </c>
      <c r="M510" s="90">
        <f t="shared" si="204"/>
        <v>0</v>
      </c>
      <c r="N510" s="90">
        <f t="shared" si="205"/>
        <v>1</v>
      </c>
      <c r="O510" s="92">
        <f t="shared" si="206"/>
        <v>0</v>
      </c>
      <c r="P510" s="92">
        <f t="shared" si="207"/>
        <v>0</v>
      </c>
      <c r="Q510" s="92">
        <f t="shared" si="208"/>
        <v>0</v>
      </c>
    </row>
    <row r="511" hidden="1" outlineLevel="1">
      <c r="A511" s="190">
        <v>45570.0</v>
      </c>
      <c r="B511" s="97">
        <f t="shared" ref="B511:B512" si="210">A511</f>
        <v>45570</v>
      </c>
      <c r="C511" s="179" t="s">
        <v>118</v>
      </c>
      <c r="D511" s="129" t="s">
        <v>1756</v>
      </c>
      <c r="E511" s="129" t="s">
        <v>1758</v>
      </c>
      <c r="F511" s="130">
        <v>150.0</v>
      </c>
      <c r="G511" s="129"/>
      <c r="H511" s="44" t="b">
        <v>1</v>
      </c>
      <c r="K511" s="91" t="s">
        <v>1842</v>
      </c>
      <c r="L511" s="90">
        <f t="shared" si="203"/>
        <v>0</v>
      </c>
      <c r="M511" s="90">
        <f t="shared" si="204"/>
        <v>0</v>
      </c>
      <c r="N511" s="90">
        <f t="shared" si="205"/>
        <v>0</v>
      </c>
      <c r="O511" s="92">
        <f t="shared" si="206"/>
        <v>0</v>
      </c>
      <c r="P511" s="92">
        <f t="shared" si="207"/>
        <v>0</v>
      </c>
      <c r="Q511" s="92">
        <f t="shared" si="208"/>
        <v>0</v>
      </c>
    </row>
    <row r="512" hidden="1" outlineLevel="1">
      <c r="A512" s="190">
        <v>45571.0</v>
      </c>
      <c r="B512" s="97">
        <f t="shared" si="210"/>
        <v>45571</v>
      </c>
      <c r="C512" s="179" t="s">
        <v>118</v>
      </c>
      <c r="D512" s="129" t="s">
        <v>1828</v>
      </c>
      <c r="E512" s="129" t="s">
        <v>1758</v>
      </c>
      <c r="F512" s="130">
        <v>200.0</v>
      </c>
      <c r="G512" s="129"/>
      <c r="H512" s="44" t="b">
        <v>1</v>
      </c>
      <c r="K512" s="91" t="s">
        <v>1820</v>
      </c>
      <c r="L512" s="90">
        <f t="shared" si="203"/>
        <v>0</v>
      </c>
      <c r="M512" s="90">
        <f t="shared" si="204"/>
        <v>0</v>
      </c>
      <c r="N512" s="90">
        <f t="shared" si="205"/>
        <v>0</v>
      </c>
      <c r="O512" s="92">
        <f t="shared" si="206"/>
        <v>0</v>
      </c>
      <c r="P512" s="92">
        <f t="shared" si="207"/>
        <v>0</v>
      </c>
      <c r="Q512" s="92">
        <f t="shared" si="208"/>
        <v>0</v>
      </c>
    </row>
    <row r="513" hidden="1" outlineLevel="1">
      <c r="A513" s="191"/>
      <c r="B513" s="58"/>
      <c r="C513" s="179" t="s">
        <v>136</v>
      </c>
      <c r="D513" s="129" t="s">
        <v>363</v>
      </c>
      <c r="E513" s="129" t="s">
        <v>1758</v>
      </c>
      <c r="F513" s="130">
        <v>200.0</v>
      </c>
      <c r="G513" s="129"/>
      <c r="H513" s="44" t="b">
        <v>1</v>
      </c>
      <c r="K513" s="91" t="s">
        <v>1828</v>
      </c>
      <c r="L513" s="90">
        <f t="shared" si="203"/>
        <v>2</v>
      </c>
      <c r="M513" s="90">
        <f t="shared" si="204"/>
        <v>0</v>
      </c>
      <c r="N513" s="90">
        <f t="shared" si="205"/>
        <v>2</v>
      </c>
      <c r="O513" s="92">
        <f t="shared" si="206"/>
        <v>400</v>
      </c>
      <c r="P513" s="92">
        <f t="shared" si="207"/>
        <v>400</v>
      </c>
      <c r="Q513" s="92">
        <f t="shared" si="208"/>
        <v>0</v>
      </c>
    </row>
    <row r="514" hidden="1" outlineLevel="1">
      <c r="A514" s="190">
        <v>45572.0</v>
      </c>
      <c r="B514" s="97">
        <f t="shared" ref="B514:B515" si="211">A514</f>
        <v>45572</v>
      </c>
      <c r="C514" s="179" t="s">
        <v>118</v>
      </c>
      <c r="D514" s="129" t="s">
        <v>1756</v>
      </c>
      <c r="E514" s="129" t="s">
        <v>1758</v>
      </c>
      <c r="F514" s="130">
        <v>150.0</v>
      </c>
      <c r="G514" s="129"/>
      <c r="H514" s="44" t="b">
        <v>1</v>
      </c>
      <c r="K514" s="91" t="s">
        <v>1775</v>
      </c>
      <c r="L514" s="90">
        <f t="shared" si="203"/>
        <v>2</v>
      </c>
      <c r="M514" s="90">
        <f t="shared" si="204"/>
        <v>0</v>
      </c>
      <c r="N514" s="90">
        <f t="shared" si="205"/>
        <v>2</v>
      </c>
      <c r="O514" s="92">
        <f t="shared" si="206"/>
        <v>0</v>
      </c>
      <c r="P514" s="92">
        <f t="shared" si="207"/>
        <v>0</v>
      </c>
      <c r="Q514" s="92">
        <f t="shared" si="208"/>
        <v>0</v>
      </c>
    </row>
    <row r="515" hidden="1" outlineLevel="1">
      <c r="A515" s="190">
        <v>45573.0</v>
      </c>
      <c r="B515" s="97">
        <f t="shared" si="211"/>
        <v>45573</v>
      </c>
      <c r="C515" s="179" t="s">
        <v>118</v>
      </c>
      <c r="D515" s="129" t="s">
        <v>1756</v>
      </c>
      <c r="E515" s="129" t="s">
        <v>469</v>
      </c>
      <c r="F515" s="130">
        <v>150.0</v>
      </c>
      <c r="G515" s="129"/>
      <c r="H515" s="44" t="b">
        <v>1</v>
      </c>
      <c r="K515" s="91" t="s">
        <v>562</v>
      </c>
      <c r="L515" s="90">
        <f t="shared" si="203"/>
        <v>0</v>
      </c>
      <c r="M515" s="90">
        <f t="shared" si="204"/>
        <v>0</v>
      </c>
      <c r="N515" s="90">
        <f t="shared" si="205"/>
        <v>0</v>
      </c>
      <c r="O515" s="92">
        <f t="shared" si="206"/>
        <v>0</v>
      </c>
      <c r="P515" s="92">
        <f t="shared" si="207"/>
        <v>0</v>
      </c>
      <c r="Q515" s="92">
        <f t="shared" si="208"/>
        <v>0</v>
      </c>
    </row>
    <row r="516" hidden="1" outlineLevel="1">
      <c r="A516" s="191"/>
      <c r="B516" s="58"/>
      <c r="C516" s="179" t="s">
        <v>118</v>
      </c>
      <c r="D516" s="129" t="s">
        <v>1761</v>
      </c>
      <c r="E516" s="129" t="s">
        <v>1758</v>
      </c>
      <c r="F516" s="130">
        <v>150.0</v>
      </c>
      <c r="G516" s="129"/>
      <c r="H516" s="44" t="b">
        <v>1</v>
      </c>
      <c r="K516" s="91" t="s">
        <v>1761</v>
      </c>
      <c r="L516" s="90">
        <f t="shared" si="203"/>
        <v>6</v>
      </c>
      <c r="M516" s="90">
        <f t="shared" si="204"/>
        <v>0</v>
      </c>
      <c r="N516" s="90">
        <f t="shared" si="205"/>
        <v>6</v>
      </c>
      <c r="O516" s="92">
        <f t="shared" si="206"/>
        <v>900</v>
      </c>
      <c r="P516" s="92">
        <f t="shared" si="207"/>
        <v>900</v>
      </c>
      <c r="Q516" s="92">
        <f t="shared" si="208"/>
        <v>0</v>
      </c>
    </row>
    <row r="517" hidden="1" outlineLevel="1">
      <c r="A517" s="190">
        <v>45574.0</v>
      </c>
      <c r="B517" s="97">
        <f t="shared" ref="B517:B519" si="212">A517</f>
        <v>45574</v>
      </c>
      <c r="C517" s="179" t="s">
        <v>118</v>
      </c>
      <c r="D517" s="129" t="s">
        <v>1756</v>
      </c>
      <c r="E517" s="129" t="s">
        <v>1758</v>
      </c>
      <c r="F517" s="130">
        <v>150.0</v>
      </c>
      <c r="G517" s="129"/>
      <c r="H517" s="44" t="b">
        <v>1</v>
      </c>
      <c r="K517" s="91" t="s">
        <v>1850</v>
      </c>
      <c r="L517" s="90">
        <f t="shared" si="203"/>
        <v>1</v>
      </c>
      <c r="M517" s="90">
        <f t="shared" si="204"/>
        <v>0</v>
      </c>
      <c r="N517" s="90">
        <f t="shared" si="205"/>
        <v>1</v>
      </c>
      <c r="O517" s="92">
        <f t="shared" si="206"/>
        <v>150</v>
      </c>
      <c r="P517" s="92">
        <f t="shared" si="207"/>
        <v>150</v>
      </c>
      <c r="Q517" s="92">
        <f t="shared" si="208"/>
        <v>0</v>
      </c>
    </row>
    <row r="518" hidden="1" outlineLevel="1">
      <c r="A518" s="190">
        <v>45575.0</v>
      </c>
      <c r="B518" s="97">
        <f t="shared" si="212"/>
        <v>45575</v>
      </c>
      <c r="C518" s="179" t="s">
        <v>118</v>
      </c>
      <c r="D518" s="129" t="s">
        <v>1756</v>
      </c>
      <c r="E518" s="129" t="s">
        <v>1758</v>
      </c>
      <c r="F518" s="130">
        <v>150.0</v>
      </c>
      <c r="G518" s="129"/>
      <c r="H518" s="44" t="b">
        <v>1</v>
      </c>
      <c r="K518" s="91" t="s">
        <v>1794</v>
      </c>
      <c r="L518" s="90">
        <f t="shared" si="203"/>
        <v>1</v>
      </c>
      <c r="M518" s="90">
        <f t="shared" si="204"/>
        <v>0</v>
      </c>
      <c r="N518" s="90">
        <f t="shared" si="205"/>
        <v>1</v>
      </c>
      <c r="O518" s="92">
        <f t="shared" si="206"/>
        <v>200</v>
      </c>
      <c r="P518" s="92">
        <f t="shared" si="207"/>
        <v>200</v>
      </c>
      <c r="Q518" s="92">
        <f t="shared" si="208"/>
        <v>0</v>
      </c>
    </row>
    <row r="519" hidden="1" outlineLevel="1">
      <c r="A519" s="190">
        <v>45576.0</v>
      </c>
      <c r="B519" s="97">
        <f t="shared" si="212"/>
        <v>45576</v>
      </c>
      <c r="C519" s="179" t="s">
        <v>118</v>
      </c>
      <c r="D519" s="129" t="s">
        <v>1756</v>
      </c>
      <c r="E519" s="129" t="s">
        <v>469</v>
      </c>
      <c r="F519" s="130">
        <v>150.0</v>
      </c>
      <c r="G519" s="129"/>
      <c r="H519" s="44" t="b">
        <v>1</v>
      </c>
      <c r="K519" s="276"/>
      <c r="L519" s="276"/>
      <c r="M519" s="276"/>
      <c r="N519" s="276"/>
      <c r="O519" s="276"/>
      <c r="P519" s="276"/>
      <c r="Q519" s="276"/>
    </row>
    <row r="520" hidden="1" outlineLevel="1">
      <c r="A520" s="191"/>
      <c r="B520" s="58"/>
      <c r="C520" s="179" t="s">
        <v>118</v>
      </c>
      <c r="D520" s="129" t="s">
        <v>1761</v>
      </c>
      <c r="E520" s="129" t="s">
        <v>1758</v>
      </c>
      <c r="F520" s="130">
        <v>150.0</v>
      </c>
      <c r="G520" s="129"/>
      <c r="H520" s="44" t="b">
        <v>1</v>
      </c>
      <c r="K520" s="91"/>
      <c r="L520" s="90"/>
      <c r="M520" s="90"/>
      <c r="N520" s="90"/>
      <c r="O520" s="92"/>
      <c r="P520" s="92"/>
      <c r="Q520" s="90"/>
    </row>
    <row r="521" hidden="1" outlineLevel="1">
      <c r="A521" s="190">
        <v>45577.0</v>
      </c>
      <c r="B521" s="97">
        <f t="shared" ref="B521:B522" si="214">A521</f>
        <v>45577</v>
      </c>
      <c r="C521" s="179" t="s">
        <v>118</v>
      </c>
      <c r="D521" s="129" t="s">
        <v>1756</v>
      </c>
      <c r="E521" s="129" t="s">
        <v>1758</v>
      </c>
      <c r="F521" s="130">
        <v>200.0</v>
      </c>
      <c r="G521" s="129" t="s">
        <v>2051</v>
      </c>
      <c r="H521" s="44" t="b">
        <v>1</v>
      </c>
      <c r="K521" s="477" t="s">
        <v>195</v>
      </c>
      <c r="L521" s="478">
        <f t="shared" ref="L521:Q521" si="213">SUM(L505:L520)</f>
        <v>39</v>
      </c>
      <c r="M521" s="478">
        <f t="shared" si="213"/>
        <v>9</v>
      </c>
      <c r="N521" s="478">
        <f t="shared" si="213"/>
        <v>48</v>
      </c>
      <c r="O521" s="479">
        <f t="shared" si="213"/>
        <v>7150</v>
      </c>
      <c r="P521" s="479">
        <f t="shared" si="213"/>
        <v>7150</v>
      </c>
      <c r="Q521" s="479">
        <f t="shared" si="213"/>
        <v>0</v>
      </c>
    </row>
    <row r="522" hidden="1" outlineLevel="1">
      <c r="A522" s="190">
        <v>45578.0</v>
      </c>
      <c r="B522" s="97">
        <f t="shared" si="214"/>
        <v>45578</v>
      </c>
      <c r="C522" s="179" t="s">
        <v>118</v>
      </c>
      <c r="D522" s="129" t="s">
        <v>363</v>
      </c>
      <c r="E522" s="129" t="s">
        <v>1758</v>
      </c>
      <c r="F522" s="130">
        <v>200.0</v>
      </c>
      <c r="G522" s="129"/>
      <c r="H522" s="44" t="b">
        <v>1</v>
      </c>
    </row>
    <row r="523" hidden="1" outlineLevel="1">
      <c r="A523" s="191"/>
      <c r="B523" s="58"/>
      <c r="C523" s="179" t="s">
        <v>136</v>
      </c>
      <c r="D523" s="129" t="s">
        <v>1756</v>
      </c>
      <c r="E523" s="129" t="s">
        <v>1758</v>
      </c>
      <c r="F523" s="130">
        <v>200.0</v>
      </c>
      <c r="G523" s="129"/>
      <c r="H523" s="44" t="b">
        <v>1</v>
      </c>
    </row>
    <row r="524" hidden="1" outlineLevel="1">
      <c r="A524" s="190">
        <v>45579.0</v>
      </c>
      <c r="B524" s="97">
        <f t="shared" ref="B524:B525" si="215">A524</f>
        <v>45579</v>
      </c>
      <c r="C524" s="179" t="s">
        <v>118</v>
      </c>
      <c r="D524" s="129" t="s">
        <v>1756</v>
      </c>
      <c r="E524" s="129" t="s">
        <v>1758</v>
      </c>
      <c r="F524" s="130">
        <v>150.0</v>
      </c>
      <c r="G524" s="129"/>
      <c r="H524" s="44" t="b">
        <v>1</v>
      </c>
    </row>
    <row r="525" hidden="1" outlineLevel="1">
      <c r="A525" s="190">
        <v>45580.0</v>
      </c>
      <c r="B525" s="97">
        <f t="shared" si="215"/>
        <v>45580</v>
      </c>
      <c r="C525" s="179" t="s">
        <v>118</v>
      </c>
      <c r="D525" s="129" t="s">
        <v>1756</v>
      </c>
      <c r="E525" s="129" t="s">
        <v>469</v>
      </c>
      <c r="F525" s="130">
        <v>150.0</v>
      </c>
      <c r="G525" s="129"/>
      <c r="H525" s="44" t="b">
        <v>1</v>
      </c>
    </row>
    <row r="526" hidden="1" outlineLevel="1">
      <c r="A526" s="191"/>
      <c r="B526" s="58"/>
      <c r="C526" s="179" t="s">
        <v>118</v>
      </c>
      <c r="D526" s="129" t="s">
        <v>1761</v>
      </c>
      <c r="E526" s="129" t="s">
        <v>1758</v>
      </c>
      <c r="F526" s="130">
        <v>150.0</v>
      </c>
      <c r="G526" s="129"/>
      <c r="H526" s="44" t="b">
        <v>1</v>
      </c>
    </row>
    <row r="527" hidden="1" outlineLevel="1">
      <c r="A527" s="190">
        <v>45581.0</v>
      </c>
      <c r="B527" s="97">
        <f t="shared" ref="B527:B529" si="216">A527</f>
        <v>45581</v>
      </c>
      <c r="C527" s="179" t="s">
        <v>118</v>
      </c>
      <c r="D527" s="129" t="s">
        <v>1756</v>
      </c>
      <c r="E527" s="129" t="s">
        <v>1758</v>
      </c>
      <c r="F527" s="130">
        <v>150.0</v>
      </c>
      <c r="G527" s="129"/>
      <c r="H527" s="44" t="b">
        <v>1</v>
      </c>
    </row>
    <row r="528" hidden="1" outlineLevel="1">
      <c r="A528" s="190">
        <v>45582.0</v>
      </c>
      <c r="B528" s="97">
        <f t="shared" si="216"/>
        <v>45582</v>
      </c>
      <c r="C528" s="179" t="s">
        <v>118</v>
      </c>
      <c r="D528" s="129" t="s">
        <v>1756</v>
      </c>
      <c r="E528" s="129" t="s">
        <v>1758</v>
      </c>
      <c r="F528" s="130">
        <v>150.0</v>
      </c>
      <c r="G528" s="129"/>
      <c r="H528" s="44" t="b">
        <v>1</v>
      </c>
    </row>
    <row r="529" hidden="1" outlineLevel="1">
      <c r="A529" s="190">
        <v>45583.0</v>
      </c>
      <c r="B529" s="97">
        <f t="shared" si="216"/>
        <v>45583</v>
      </c>
      <c r="C529" s="179" t="s">
        <v>118</v>
      </c>
      <c r="D529" s="129" t="s">
        <v>1756</v>
      </c>
      <c r="E529" s="129" t="s">
        <v>469</v>
      </c>
      <c r="F529" s="130">
        <v>150.0</v>
      </c>
      <c r="G529" s="129"/>
      <c r="H529" s="44" t="b">
        <v>1</v>
      </c>
    </row>
    <row r="530" hidden="1" outlineLevel="1">
      <c r="A530" s="191"/>
      <c r="B530" s="58"/>
      <c r="C530" s="179" t="s">
        <v>118</v>
      </c>
      <c r="D530" s="129" t="s">
        <v>1761</v>
      </c>
      <c r="E530" s="129" t="s">
        <v>1758</v>
      </c>
      <c r="F530" s="130">
        <v>150.0</v>
      </c>
      <c r="G530" s="129"/>
      <c r="H530" s="44" t="b">
        <v>1</v>
      </c>
    </row>
    <row r="531" hidden="1" outlineLevel="1">
      <c r="A531" s="191"/>
      <c r="B531" s="58"/>
      <c r="C531" s="179" t="s">
        <v>136</v>
      </c>
      <c r="D531" s="129" t="s">
        <v>1775</v>
      </c>
      <c r="E531" s="129" t="s">
        <v>1758</v>
      </c>
      <c r="F531" s="130">
        <v>0.0</v>
      </c>
      <c r="G531" s="129" t="s">
        <v>2052</v>
      </c>
      <c r="H531" s="44" t="b">
        <v>1</v>
      </c>
    </row>
    <row r="532" hidden="1" outlineLevel="1">
      <c r="A532" s="190">
        <v>45584.0</v>
      </c>
      <c r="B532" s="97">
        <f t="shared" ref="B532:B533" si="217">A532</f>
        <v>45584</v>
      </c>
      <c r="C532" s="179" t="s">
        <v>118</v>
      </c>
      <c r="D532" s="129" t="s">
        <v>1815</v>
      </c>
      <c r="E532" s="129" t="s">
        <v>1758</v>
      </c>
      <c r="F532" s="130">
        <v>0.0</v>
      </c>
      <c r="G532" s="129" t="s">
        <v>2052</v>
      </c>
      <c r="H532" s="44" t="b">
        <v>1</v>
      </c>
    </row>
    <row r="533" hidden="1" outlineLevel="1">
      <c r="A533" s="190">
        <v>45585.0</v>
      </c>
      <c r="B533" s="97">
        <f t="shared" si="217"/>
        <v>45585</v>
      </c>
      <c r="C533" s="179" t="s">
        <v>118</v>
      </c>
      <c r="D533" s="129" t="s">
        <v>1775</v>
      </c>
      <c r="E533" s="129" t="s">
        <v>1758</v>
      </c>
      <c r="F533" s="130">
        <v>0.0</v>
      </c>
      <c r="G533" s="129" t="s">
        <v>2052</v>
      </c>
      <c r="H533" s="44" t="b">
        <v>1</v>
      </c>
    </row>
    <row r="534" hidden="1" outlineLevel="1">
      <c r="A534" s="191"/>
      <c r="B534" s="58"/>
      <c r="C534" s="179" t="s">
        <v>136</v>
      </c>
      <c r="D534" s="129" t="s">
        <v>363</v>
      </c>
      <c r="E534" s="129" t="s">
        <v>1758</v>
      </c>
      <c r="F534" s="130">
        <v>200.0</v>
      </c>
      <c r="G534" s="129"/>
      <c r="H534" s="44" t="b">
        <v>1</v>
      </c>
    </row>
    <row r="535" hidden="1" outlineLevel="1">
      <c r="A535" s="190">
        <v>45586.0</v>
      </c>
      <c r="B535" s="97">
        <f t="shared" ref="B535:B536" si="218">A535</f>
        <v>45586</v>
      </c>
      <c r="C535" s="179" t="s">
        <v>118</v>
      </c>
      <c r="D535" s="129" t="s">
        <v>1756</v>
      </c>
      <c r="E535" s="129" t="s">
        <v>1758</v>
      </c>
      <c r="F535" s="130">
        <v>150.0</v>
      </c>
      <c r="G535" s="129"/>
      <c r="H535" s="44" t="b">
        <v>1</v>
      </c>
    </row>
    <row r="536" hidden="1" outlineLevel="1">
      <c r="A536" s="190">
        <v>45587.0</v>
      </c>
      <c r="B536" s="97">
        <f t="shared" si="218"/>
        <v>45587</v>
      </c>
      <c r="C536" s="179" t="s">
        <v>118</v>
      </c>
      <c r="D536" s="129" t="s">
        <v>1756</v>
      </c>
      <c r="E536" s="129" t="s">
        <v>469</v>
      </c>
      <c r="F536" s="130">
        <v>150.0</v>
      </c>
      <c r="G536" s="129"/>
      <c r="H536" s="44" t="b">
        <v>1</v>
      </c>
    </row>
    <row r="537" hidden="1" outlineLevel="1">
      <c r="A537" s="191"/>
      <c r="B537" s="58"/>
      <c r="C537" s="179" t="s">
        <v>118</v>
      </c>
      <c r="D537" s="129" t="s">
        <v>363</v>
      </c>
      <c r="E537" s="129" t="s">
        <v>1758</v>
      </c>
      <c r="F537" s="130">
        <v>150.0</v>
      </c>
      <c r="G537" s="129"/>
      <c r="H537" s="44" t="b">
        <v>1</v>
      </c>
    </row>
    <row r="538" hidden="1" outlineLevel="1">
      <c r="A538" s="191"/>
      <c r="B538" s="58"/>
      <c r="C538" s="179" t="s">
        <v>136</v>
      </c>
      <c r="D538" s="129" t="s">
        <v>1850</v>
      </c>
      <c r="E538" s="129" t="s">
        <v>1758</v>
      </c>
      <c r="F538" s="130">
        <v>150.0</v>
      </c>
      <c r="G538" s="129" t="s">
        <v>2053</v>
      </c>
      <c r="H538" s="44" t="b">
        <v>1</v>
      </c>
    </row>
    <row r="539" hidden="1" outlineLevel="1">
      <c r="A539" s="190">
        <v>45588.0</v>
      </c>
      <c r="B539" s="97">
        <f t="shared" ref="B539:B541" si="219">A539</f>
        <v>45588</v>
      </c>
      <c r="C539" s="179" t="s">
        <v>118</v>
      </c>
      <c r="D539" s="129" t="s">
        <v>1756</v>
      </c>
      <c r="E539" s="129" t="s">
        <v>1758</v>
      </c>
      <c r="F539" s="130">
        <v>150.0</v>
      </c>
      <c r="G539" s="129"/>
      <c r="H539" s="44" t="b">
        <v>1</v>
      </c>
    </row>
    <row r="540" hidden="1" outlineLevel="1">
      <c r="A540" s="190">
        <v>45589.0</v>
      </c>
      <c r="B540" s="97">
        <f t="shared" si="219"/>
        <v>45589</v>
      </c>
      <c r="C540" s="179" t="s">
        <v>118</v>
      </c>
      <c r="D540" s="129" t="s">
        <v>1756</v>
      </c>
      <c r="E540" s="129" t="s">
        <v>1758</v>
      </c>
      <c r="F540" s="130">
        <v>150.0</v>
      </c>
      <c r="G540" s="129"/>
      <c r="H540" s="44" t="b">
        <v>1</v>
      </c>
    </row>
    <row r="541" hidden="1" outlineLevel="1">
      <c r="A541" s="190">
        <v>45590.0</v>
      </c>
      <c r="B541" s="97">
        <f t="shared" si="219"/>
        <v>45590</v>
      </c>
      <c r="C541" s="179" t="s">
        <v>118</v>
      </c>
      <c r="D541" s="129" t="s">
        <v>1756</v>
      </c>
      <c r="E541" s="129" t="s">
        <v>469</v>
      </c>
      <c r="F541" s="130">
        <v>150.0</v>
      </c>
      <c r="G541" s="129"/>
      <c r="H541" s="44" t="b">
        <v>1</v>
      </c>
    </row>
    <row r="542" hidden="1" outlineLevel="1">
      <c r="A542" s="191"/>
      <c r="B542" s="58"/>
      <c r="C542" s="179" t="s">
        <v>118</v>
      </c>
      <c r="D542" s="129" t="s">
        <v>363</v>
      </c>
      <c r="E542" s="129" t="s">
        <v>1758</v>
      </c>
      <c r="F542" s="130">
        <v>150.0</v>
      </c>
      <c r="G542" s="129"/>
      <c r="H542" s="44" t="b">
        <v>1</v>
      </c>
    </row>
    <row r="543" hidden="1" outlineLevel="1">
      <c r="A543" s="190">
        <v>45591.0</v>
      </c>
      <c r="B543" s="97">
        <f t="shared" ref="B543:B544" si="220">A543</f>
        <v>45591</v>
      </c>
      <c r="C543" s="179" t="s">
        <v>118</v>
      </c>
      <c r="D543" s="129" t="s">
        <v>1756</v>
      </c>
      <c r="E543" s="129" t="s">
        <v>1758</v>
      </c>
      <c r="F543" s="130">
        <v>150.0</v>
      </c>
      <c r="G543" s="129"/>
      <c r="H543" s="44" t="b">
        <v>1</v>
      </c>
    </row>
    <row r="544" hidden="1" outlineLevel="1">
      <c r="A544" s="190">
        <v>45592.0</v>
      </c>
      <c r="B544" s="97">
        <f t="shared" si="220"/>
        <v>45592</v>
      </c>
      <c r="C544" s="179" t="s">
        <v>118</v>
      </c>
      <c r="D544" s="129" t="s">
        <v>1828</v>
      </c>
      <c r="E544" s="129" t="s">
        <v>1758</v>
      </c>
      <c r="F544" s="130">
        <v>200.0</v>
      </c>
      <c r="G544" s="129"/>
      <c r="H544" s="44" t="b">
        <v>1</v>
      </c>
    </row>
    <row r="545" hidden="1" outlineLevel="1">
      <c r="A545" s="191"/>
      <c r="B545" s="58"/>
      <c r="C545" s="179" t="s">
        <v>118</v>
      </c>
      <c r="D545" s="129" t="s">
        <v>1794</v>
      </c>
      <c r="E545" s="129" t="s">
        <v>1758</v>
      </c>
      <c r="F545" s="130">
        <v>200.0</v>
      </c>
      <c r="G545" s="129"/>
      <c r="H545" s="44" t="b">
        <v>1</v>
      </c>
    </row>
    <row r="546" hidden="1" outlineLevel="1">
      <c r="A546" s="190">
        <v>45593.0</v>
      </c>
      <c r="B546" s="97">
        <f t="shared" ref="B546:B547" si="221">A546</f>
        <v>45593</v>
      </c>
      <c r="C546" s="179" t="s">
        <v>118</v>
      </c>
      <c r="D546" s="129" t="s">
        <v>1756</v>
      </c>
      <c r="E546" s="129" t="s">
        <v>1758</v>
      </c>
      <c r="F546" s="130">
        <v>150.0</v>
      </c>
      <c r="G546" s="129"/>
      <c r="H546" s="44" t="b">
        <v>1</v>
      </c>
    </row>
    <row r="547" hidden="1" outlineLevel="1">
      <c r="A547" s="190">
        <v>45594.0</v>
      </c>
      <c r="B547" s="97">
        <f t="shared" si="221"/>
        <v>45594</v>
      </c>
      <c r="C547" s="179" t="s">
        <v>118</v>
      </c>
      <c r="D547" s="129" t="s">
        <v>1756</v>
      </c>
      <c r="E547" s="129" t="s">
        <v>469</v>
      </c>
      <c r="F547" s="130">
        <v>150.0</v>
      </c>
      <c r="G547" s="129"/>
      <c r="H547" s="44" t="b">
        <v>1</v>
      </c>
    </row>
    <row r="548" hidden="1" outlineLevel="1">
      <c r="A548" s="191"/>
      <c r="B548" s="58"/>
      <c r="C548" s="179" t="s">
        <v>118</v>
      </c>
      <c r="D548" s="129" t="s">
        <v>183</v>
      </c>
      <c r="E548" s="129" t="s">
        <v>1758</v>
      </c>
      <c r="F548" s="130">
        <v>150.0</v>
      </c>
      <c r="G548" s="129"/>
      <c r="H548" s="44" t="b">
        <v>1</v>
      </c>
    </row>
    <row r="549" hidden="1" outlineLevel="1">
      <c r="A549" s="190">
        <v>45595.0</v>
      </c>
      <c r="B549" s="97">
        <f t="shared" ref="B549:B550" si="222">A549</f>
        <v>45595</v>
      </c>
      <c r="C549" s="179" t="s">
        <v>118</v>
      </c>
      <c r="D549" s="129" t="s">
        <v>1756</v>
      </c>
      <c r="E549" s="129" t="s">
        <v>1758</v>
      </c>
      <c r="F549" s="130">
        <v>150.0</v>
      </c>
      <c r="G549" s="129"/>
      <c r="H549" s="44" t="b">
        <v>1</v>
      </c>
    </row>
    <row r="550" hidden="1" outlineLevel="1">
      <c r="A550" s="190">
        <v>45596.0</v>
      </c>
      <c r="B550" s="97">
        <f t="shared" si="222"/>
        <v>45596</v>
      </c>
      <c r="C550" s="179" t="s">
        <v>118</v>
      </c>
      <c r="D550" s="129" t="s">
        <v>1756</v>
      </c>
      <c r="E550" s="129" t="s">
        <v>1758</v>
      </c>
      <c r="F550" s="130">
        <v>150.0</v>
      </c>
      <c r="G550" s="129"/>
      <c r="H550" s="44" t="b">
        <v>1</v>
      </c>
    </row>
    <row r="551">
      <c r="A551" s="484" t="s">
        <v>195</v>
      </c>
      <c r="B551" s="27"/>
      <c r="C551" s="27"/>
      <c r="D551" s="27"/>
      <c r="E551" s="28"/>
      <c r="F551" s="485">
        <f>SUM(F503:F550)</f>
        <v>7150</v>
      </c>
      <c r="G551" s="486"/>
      <c r="H551" s="28"/>
    </row>
    <row r="552" collapsed="1">
      <c r="A552" s="339" t="s">
        <v>806</v>
      </c>
      <c r="B552" s="246"/>
      <c r="C552" s="246"/>
      <c r="D552" s="246"/>
      <c r="E552" s="246"/>
      <c r="F552" s="246"/>
      <c r="G552" s="246"/>
      <c r="H552" s="247"/>
    </row>
    <row r="553" hidden="1" outlineLevel="1">
      <c r="A553" s="190">
        <v>45597.0</v>
      </c>
      <c r="B553" s="97">
        <f>A553</f>
        <v>45597</v>
      </c>
      <c r="C553" s="179" t="s">
        <v>118</v>
      </c>
      <c r="D553" s="129" t="s">
        <v>183</v>
      </c>
      <c r="E553" s="129" t="s">
        <v>1758</v>
      </c>
      <c r="F553" s="130">
        <v>150.0</v>
      </c>
      <c r="G553" s="129"/>
      <c r="H553" s="44" t="b">
        <v>1</v>
      </c>
      <c r="K553" s="440" t="s">
        <v>2054</v>
      </c>
      <c r="L553" s="27"/>
      <c r="M553" s="27"/>
      <c r="N553" s="27"/>
      <c r="O553" s="27"/>
      <c r="P553" s="27"/>
      <c r="Q553" s="28"/>
    </row>
    <row r="554" hidden="1" outlineLevel="1">
      <c r="A554" s="191"/>
      <c r="B554" s="58"/>
      <c r="C554" s="58"/>
      <c r="D554" s="129" t="s">
        <v>1756</v>
      </c>
      <c r="E554" s="129" t="s">
        <v>469</v>
      </c>
      <c r="F554" s="130">
        <v>150.0</v>
      </c>
      <c r="G554" s="129"/>
      <c r="H554" s="44" t="b">
        <v>1</v>
      </c>
      <c r="K554" s="441" t="s">
        <v>1749</v>
      </c>
      <c r="L554" s="441" t="s">
        <v>1758</v>
      </c>
      <c r="M554" s="441" t="s">
        <v>469</v>
      </c>
      <c r="N554" s="441" t="s">
        <v>195</v>
      </c>
      <c r="O554" s="441" t="s">
        <v>1764</v>
      </c>
      <c r="P554" s="441" t="s">
        <v>1765</v>
      </c>
      <c r="Q554" s="441" t="s">
        <v>1766</v>
      </c>
    </row>
    <row r="555" hidden="1" outlineLevel="1">
      <c r="A555" s="190">
        <v>45598.0</v>
      </c>
      <c r="B555" s="97">
        <f t="shared" ref="B555:B556" si="223">A555</f>
        <v>45598</v>
      </c>
      <c r="C555" s="179" t="s">
        <v>118</v>
      </c>
      <c r="D555" s="129" t="s">
        <v>1756</v>
      </c>
      <c r="E555" s="129" t="s">
        <v>1758</v>
      </c>
      <c r="F555" s="130">
        <v>150.0</v>
      </c>
      <c r="G555" s="129"/>
      <c r="H555" s="44" t="b">
        <v>1</v>
      </c>
      <c r="K555" s="91" t="s">
        <v>1756</v>
      </c>
      <c r="L555" s="90">
        <f t="shared" ref="L555:L568" si="224">COUNTIFS($D$553:$D$596, $K555,$E$553:$E$596,$L$554)</f>
        <v>17</v>
      </c>
      <c r="M555" s="90">
        <f t="shared" ref="M555:M568" si="225">COUNTIFS($D$553:$D$596, $K555,$E$553:$E$596,$M$504)</f>
        <v>9</v>
      </c>
      <c r="N555" s="90">
        <f t="shared" ref="N555:N568" si="226">L555+M555</f>
        <v>26</v>
      </c>
      <c r="O555" s="92">
        <f t="shared" ref="O555:O568" si="227">SUMIFS($F$553:$F$596,$D$553:$D$596,$K555)</f>
        <v>3900</v>
      </c>
      <c r="P555" s="92">
        <f t="shared" ref="P555:P568" si="228">SUMIFS($F$553:$F$596,$D$553:$D$596,$K555,$H$553:$H$596,TRUE)</f>
        <v>3900</v>
      </c>
      <c r="Q555" s="92">
        <f t="shared" ref="Q555:Q568" si="229">O555-P555</f>
        <v>0</v>
      </c>
    </row>
    <row r="556" hidden="1" outlineLevel="1">
      <c r="A556" s="190">
        <v>45599.0</v>
      </c>
      <c r="B556" s="97">
        <f t="shared" si="223"/>
        <v>45599</v>
      </c>
      <c r="C556" s="179" t="s">
        <v>118</v>
      </c>
      <c r="D556" s="129" t="s">
        <v>1828</v>
      </c>
      <c r="E556" s="129" t="s">
        <v>1758</v>
      </c>
      <c r="F556" s="130">
        <v>200.0</v>
      </c>
      <c r="G556" s="129"/>
      <c r="H556" s="44" t="b">
        <v>1</v>
      </c>
      <c r="K556" s="91" t="s">
        <v>1810</v>
      </c>
      <c r="L556" s="90">
        <f t="shared" si="224"/>
        <v>0</v>
      </c>
      <c r="M556" s="90">
        <f t="shared" si="225"/>
        <v>0</v>
      </c>
      <c r="N556" s="90">
        <f t="shared" si="226"/>
        <v>0</v>
      </c>
      <c r="O556" s="92">
        <f t="shared" si="227"/>
        <v>0</v>
      </c>
      <c r="P556" s="92">
        <f t="shared" si="228"/>
        <v>0</v>
      </c>
      <c r="Q556" s="92">
        <f t="shared" si="229"/>
        <v>0</v>
      </c>
    </row>
    <row r="557" hidden="1" outlineLevel="1">
      <c r="A557" s="191"/>
      <c r="B557" s="58"/>
      <c r="C557" s="179" t="s">
        <v>136</v>
      </c>
      <c r="D557" s="129" t="s">
        <v>363</v>
      </c>
      <c r="E557" s="129" t="s">
        <v>1758</v>
      </c>
      <c r="F557" s="130">
        <v>200.0</v>
      </c>
      <c r="G557" s="129"/>
      <c r="H557" s="44" t="b">
        <v>1</v>
      </c>
      <c r="K557" s="91" t="s">
        <v>1838</v>
      </c>
      <c r="L557" s="90">
        <f t="shared" si="224"/>
        <v>1</v>
      </c>
      <c r="M557" s="90">
        <f t="shared" si="225"/>
        <v>0</v>
      </c>
      <c r="N557" s="90">
        <f t="shared" si="226"/>
        <v>1</v>
      </c>
      <c r="O557" s="92">
        <f t="shared" si="227"/>
        <v>200</v>
      </c>
      <c r="P557" s="92">
        <f t="shared" si="228"/>
        <v>200</v>
      </c>
      <c r="Q557" s="92">
        <f t="shared" si="229"/>
        <v>0</v>
      </c>
    </row>
    <row r="558" hidden="1" outlineLevel="1">
      <c r="A558" s="190">
        <v>45600.0</v>
      </c>
      <c r="B558" s="97">
        <f t="shared" ref="B558:B559" si="230">A558</f>
        <v>45600</v>
      </c>
      <c r="C558" s="179" t="s">
        <v>118</v>
      </c>
      <c r="D558" s="129" t="s">
        <v>1756</v>
      </c>
      <c r="E558" s="129" t="s">
        <v>1758</v>
      </c>
      <c r="F558" s="130">
        <v>150.0</v>
      </c>
      <c r="G558" s="129"/>
      <c r="H558" s="44" t="b">
        <v>1</v>
      </c>
      <c r="K558" s="91" t="s">
        <v>183</v>
      </c>
      <c r="L558" s="90">
        <f t="shared" si="224"/>
        <v>8</v>
      </c>
      <c r="M558" s="90">
        <f t="shared" si="225"/>
        <v>0</v>
      </c>
      <c r="N558" s="90">
        <f t="shared" si="226"/>
        <v>8</v>
      </c>
      <c r="O558" s="92">
        <f t="shared" si="227"/>
        <v>1200</v>
      </c>
      <c r="P558" s="92">
        <f t="shared" si="228"/>
        <v>1200</v>
      </c>
      <c r="Q558" s="92">
        <f t="shared" si="229"/>
        <v>0</v>
      </c>
    </row>
    <row r="559" hidden="1" outlineLevel="1">
      <c r="A559" s="190">
        <v>45601.0</v>
      </c>
      <c r="B559" s="97">
        <f t="shared" si="230"/>
        <v>45601</v>
      </c>
      <c r="C559" s="179" t="s">
        <v>118</v>
      </c>
      <c r="D559" s="129" t="s">
        <v>1756</v>
      </c>
      <c r="E559" s="129" t="s">
        <v>469</v>
      </c>
      <c r="F559" s="130">
        <v>150.0</v>
      </c>
      <c r="G559" s="129"/>
      <c r="H559" s="44" t="b">
        <v>1</v>
      </c>
      <c r="K559" s="91" t="s">
        <v>363</v>
      </c>
      <c r="L559" s="90">
        <f t="shared" si="224"/>
        <v>3</v>
      </c>
      <c r="M559" s="90">
        <f t="shared" si="225"/>
        <v>0</v>
      </c>
      <c r="N559" s="90">
        <f t="shared" si="226"/>
        <v>3</v>
      </c>
      <c r="O559" s="92">
        <f t="shared" si="227"/>
        <v>600</v>
      </c>
      <c r="P559" s="92">
        <f t="shared" si="228"/>
        <v>600</v>
      </c>
      <c r="Q559" s="92">
        <f t="shared" si="229"/>
        <v>0</v>
      </c>
    </row>
    <row r="560" hidden="1" outlineLevel="1">
      <c r="A560" s="191"/>
      <c r="B560" s="58"/>
      <c r="C560" s="58"/>
      <c r="D560" s="129" t="s">
        <v>183</v>
      </c>
      <c r="E560" s="129" t="s">
        <v>1758</v>
      </c>
      <c r="F560" s="130">
        <v>150.0</v>
      </c>
      <c r="G560" s="129"/>
      <c r="H560" s="44" t="b">
        <v>1</v>
      </c>
      <c r="K560" s="91" t="s">
        <v>1815</v>
      </c>
      <c r="L560" s="90">
        <f t="shared" si="224"/>
        <v>0</v>
      </c>
      <c r="M560" s="90">
        <f t="shared" si="225"/>
        <v>0</v>
      </c>
      <c r="N560" s="90">
        <f t="shared" si="226"/>
        <v>0</v>
      </c>
      <c r="O560" s="92">
        <f t="shared" si="227"/>
        <v>0</v>
      </c>
      <c r="P560" s="92">
        <f t="shared" si="228"/>
        <v>0</v>
      </c>
      <c r="Q560" s="92">
        <f t="shared" si="229"/>
        <v>0</v>
      </c>
    </row>
    <row r="561" hidden="1" outlineLevel="1">
      <c r="A561" s="190">
        <v>45602.0</v>
      </c>
      <c r="B561" s="97">
        <f t="shared" ref="B561:B563" si="231">A561</f>
        <v>45602</v>
      </c>
      <c r="C561" s="179" t="s">
        <v>118</v>
      </c>
      <c r="D561" s="129" t="s">
        <v>1756</v>
      </c>
      <c r="E561" s="129" t="s">
        <v>1758</v>
      </c>
      <c r="F561" s="130">
        <v>150.0</v>
      </c>
      <c r="G561" s="129"/>
      <c r="H561" s="44" t="b">
        <v>1</v>
      </c>
      <c r="K561" s="91" t="s">
        <v>1842</v>
      </c>
      <c r="L561" s="90">
        <f t="shared" si="224"/>
        <v>0</v>
      </c>
      <c r="M561" s="90">
        <f t="shared" si="225"/>
        <v>0</v>
      </c>
      <c r="N561" s="90">
        <f t="shared" si="226"/>
        <v>0</v>
      </c>
      <c r="O561" s="92">
        <f t="shared" si="227"/>
        <v>0</v>
      </c>
      <c r="P561" s="92">
        <f t="shared" si="228"/>
        <v>0</v>
      </c>
      <c r="Q561" s="92">
        <f t="shared" si="229"/>
        <v>0</v>
      </c>
    </row>
    <row r="562" hidden="1" outlineLevel="1">
      <c r="A562" s="190">
        <v>45603.0</v>
      </c>
      <c r="B562" s="97">
        <f t="shared" si="231"/>
        <v>45603</v>
      </c>
      <c r="C562" s="179" t="s">
        <v>118</v>
      </c>
      <c r="D562" s="129" t="s">
        <v>1756</v>
      </c>
      <c r="E562" s="129" t="s">
        <v>1758</v>
      </c>
      <c r="F562" s="130">
        <v>150.0</v>
      </c>
      <c r="G562" s="129"/>
      <c r="H562" s="44" t="b">
        <v>1</v>
      </c>
      <c r="K562" s="91" t="s">
        <v>1820</v>
      </c>
      <c r="L562" s="90">
        <f t="shared" si="224"/>
        <v>0</v>
      </c>
      <c r="M562" s="90">
        <f t="shared" si="225"/>
        <v>0</v>
      </c>
      <c r="N562" s="90">
        <f t="shared" si="226"/>
        <v>0</v>
      </c>
      <c r="O562" s="92">
        <f t="shared" si="227"/>
        <v>0</v>
      </c>
      <c r="P562" s="92">
        <f t="shared" si="228"/>
        <v>0</v>
      </c>
      <c r="Q562" s="92">
        <f t="shared" si="229"/>
        <v>0</v>
      </c>
    </row>
    <row r="563" hidden="1" outlineLevel="1">
      <c r="A563" s="190">
        <v>45604.0</v>
      </c>
      <c r="B563" s="97">
        <f t="shared" si="231"/>
        <v>45604</v>
      </c>
      <c r="C563" s="179" t="s">
        <v>118</v>
      </c>
      <c r="D563" s="129" t="s">
        <v>1756</v>
      </c>
      <c r="E563" s="129" t="s">
        <v>469</v>
      </c>
      <c r="F563" s="130">
        <v>150.0</v>
      </c>
      <c r="G563" s="129"/>
      <c r="H563" s="44" t="b">
        <v>1</v>
      </c>
      <c r="K563" s="91" t="s">
        <v>1828</v>
      </c>
      <c r="L563" s="90">
        <f t="shared" si="224"/>
        <v>5</v>
      </c>
      <c r="M563" s="90">
        <f t="shared" si="225"/>
        <v>0</v>
      </c>
      <c r="N563" s="90">
        <f t="shared" si="226"/>
        <v>5</v>
      </c>
      <c r="O563" s="92">
        <f t="shared" si="227"/>
        <v>950</v>
      </c>
      <c r="P563" s="92">
        <f t="shared" si="228"/>
        <v>950</v>
      </c>
      <c r="Q563" s="92">
        <f t="shared" si="229"/>
        <v>0</v>
      </c>
    </row>
    <row r="564" hidden="1" outlineLevel="1">
      <c r="A564" s="191"/>
      <c r="B564" s="58"/>
      <c r="C564" s="58"/>
      <c r="D564" s="129" t="s">
        <v>183</v>
      </c>
      <c r="E564" s="129" t="s">
        <v>1758</v>
      </c>
      <c r="F564" s="130">
        <v>150.0</v>
      </c>
      <c r="G564" s="129"/>
      <c r="H564" s="44" t="b">
        <v>1</v>
      </c>
      <c r="K564" s="91" t="s">
        <v>1775</v>
      </c>
      <c r="L564" s="90">
        <f t="shared" si="224"/>
        <v>0</v>
      </c>
      <c r="M564" s="90">
        <f t="shared" si="225"/>
        <v>0</v>
      </c>
      <c r="N564" s="90">
        <f t="shared" si="226"/>
        <v>0</v>
      </c>
      <c r="O564" s="92">
        <f t="shared" si="227"/>
        <v>0</v>
      </c>
      <c r="P564" s="92">
        <f t="shared" si="228"/>
        <v>0</v>
      </c>
      <c r="Q564" s="92">
        <f t="shared" si="229"/>
        <v>0</v>
      </c>
    </row>
    <row r="565" hidden="1" outlineLevel="1">
      <c r="A565" s="190">
        <v>45605.0</v>
      </c>
      <c r="B565" s="97">
        <f t="shared" ref="B565:B566" si="232">A565</f>
        <v>45605</v>
      </c>
      <c r="C565" s="179" t="s">
        <v>118</v>
      </c>
      <c r="D565" s="129" t="s">
        <v>1756</v>
      </c>
      <c r="E565" s="129" t="s">
        <v>1758</v>
      </c>
      <c r="F565" s="130">
        <v>150.0</v>
      </c>
      <c r="G565" s="129"/>
      <c r="H565" s="44" t="b">
        <v>1</v>
      </c>
      <c r="K565" s="91" t="s">
        <v>562</v>
      </c>
      <c r="L565" s="90">
        <f t="shared" si="224"/>
        <v>0</v>
      </c>
      <c r="M565" s="90">
        <f t="shared" si="225"/>
        <v>0</v>
      </c>
      <c r="N565" s="90">
        <f t="shared" si="226"/>
        <v>0</v>
      </c>
      <c r="O565" s="92">
        <f t="shared" si="227"/>
        <v>0</v>
      </c>
      <c r="P565" s="92">
        <f t="shared" si="228"/>
        <v>0</v>
      </c>
      <c r="Q565" s="92">
        <f t="shared" si="229"/>
        <v>0</v>
      </c>
    </row>
    <row r="566" hidden="1" outlineLevel="1">
      <c r="A566" s="190">
        <v>45606.0</v>
      </c>
      <c r="B566" s="97">
        <f t="shared" si="232"/>
        <v>45606</v>
      </c>
      <c r="C566" s="179" t="s">
        <v>118</v>
      </c>
      <c r="D566" s="129" t="s">
        <v>1828</v>
      </c>
      <c r="E566" s="129" t="s">
        <v>1758</v>
      </c>
      <c r="F566" s="130">
        <v>200.0</v>
      </c>
      <c r="G566" s="129"/>
      <c r="H566" s="44" t="b">
        <v>1</v>
      </c>
      <c r="K566" s="91" t="s">
        <v>1761</v>
      </c>
      <c r="L566" s="90">
        <f t="shared" si="224"/>
        <v>0</v>
      </c>
      <c r="M566" s="90">
        <f t="shared" si="225"/>
        <v>0</v>
      </c>
      <c r="N566" s="90">
        <f t="shared" si="226"/>
        <v>0</v>
      </c>
      <c r="O566" s="92">
        <f t="shared" si="227"/>
        <v>0</v>
      </c>
      <c r="P566" s="92">
        <f t="shared" si="228"/>
        <v>0</v>
      </c>
      <c r="Q566" s="92">
        <f t="shared" si="229"/>
        <v>0</v>
      </c>
    </row>
    <row r="567" hidden="1" outlineLevel="1">
      <c r="A567" s="191"/>
      <c r="B567" s="58"/>
      <c r="C567" s="179" t="s">
        <v>136</v>
      </c>
      <c r="D567" s="129" t="s">
        <v>363</v>
      </c>
      <c r="E567" s="129" t="s">
        <v>1758</v>
      </c>
      <c r="F567" s="130">
        <v>200.0</v>
      </c>
      <c r="G567" s="129"/>
      <c r="H567" s="44" t="b">
        <v>1</v>
      </c>
      <c r="K567" s="91" t="s">
        <v>1850</v>
      </c>
      <c r="L567" s="90">
        <f t="shared" si="224"/>
        <v>0</v>
      </c>
      <c r="M567" s="90">
        <f t="shared" si="225"/>
        <v>0</v>
      </c>
      <c r="N567" s="90">
        <f t="shared" si="226"/>
        <v>0</v>
      </c>
      <c r="O567" s="92">
        <f t="shared" si="227"/>
        <v>0</v>
      </c>
      <c r="P567" s="92">
        <f t="shared" si="228"/>
        <v>0</v>
      </c>
      <c r="Q567" s="92">
        <f t="shared" si="229"/>
        <v>0</v>
      </c>
    </row>
    <row r="568" hidden="1" outlineLevel="1">
      <c r="A568" s="190">
        <v>45607.0</v>
      </c>
      <c r="B568" s="97">
        <f t="shared" ref="B568:B569" si="233">A568</f>
        <v>45607</v>
      </c>
      <c r="C568" s="179" t="s">
        <v>118</v>
      </c>
      <c r="D568" s="129" t="s">
        <v>1756</v>
      </c>
      <c r="E568" s="129" t="s">
        <v>1758</v>
      </c>
      <c r="F568" s="130">
        <v>150.0</v>
      </c>
      <c r="G568" s="129"/>
      <c r="H568" s="44" t="b">
        <v>1</v>
      </c>
      <c r="K568" s="91" t="s">
        <v>1794</v>
      </c>
      <c r="L568" s="90">
        <f t="shared" si="224"/>
        <v>0</v>
      </c>
      <c r="M568" s="90">
        <f t="shared" si="225"/>
        <v>0</v>
      </c>
      <c r="N568" s="90">
        <f t="shared" si="226"/>
        <v>0</v>
      </c>
      <c r="O568" s="92">
        <f t="shared" si="227"/>
        <v>0</v>
      </c>
      <c r="P568" s="92">
        <f t="shared" si="228"/>
        <v>0</v>
      </c>
      <c r="Q568" s="92">
        <f t="shared" si="229"/>
        <v>0</v>
      </c>
    </row>
    <row r="569" hidden="1" outlineLevel="1">
      <c r="A569" s="190">
        <v>45608.0</v>
      </c>
      <c r="B569" s="97">
        <f t="shared" si="233"/>
        <v>45608</v>
      </c>
      <c r="C569" s="179" t="s">
        <v>118</v>
      </c>
      <c r="D569" s="129" t="s">
        <v>1756</v>
      </c>
      <c r="E569" s="129" t="s">
        <v>469</v>
      </c>
      <c r="F569" s="130">
        <v>150.0</v>
      </c>
      <c r="G569" s="129"/>
      <c r="H569" s="44" t="b">
        <v>1</v>
      </c>
      <c r="K569" s="276"/>
      <c r="L569" s="90"/>
      <c r="M569" s="276"/>
      <c r="N569" s="276"/>
      <c r="O569" s="276"/>
      <c r="P569" s="276"/>
      <c r="Q569" s="276"/>
    </row>
    <row r="570" hidden="1" outlineLevel="1">
      <c r="A570" s="191"/>
      <c r="B570" s="58"/>
      <c r="C570" s="179" t="s">
        <v>118</v>
      </c>
      <c r="D570" s="129" t="s">
        <v>183</v>
      </c>
      <c r="E570" s="129" t="s">
        <v>1758</v>
      </c>
      <c r="F570" s="130">
        <v>150.0</v>
      </c>
      <c r="G570" s="129"/>
      <c r="H570" s="44" t="b">
        <v>1</v>
      </c>
      <c r="K570" s="91"/>
      <c r="L570" s="90"/>
      <c r="M570" s="90"/>
      <c r="N570" s="90"/>
      <c r="O570" s="92"/>
      <c r="P570" s="92"/>
      <c r="Q570" s="90"/>
    </row>
    <row r="571" hidden="1" outlineLevel="1">
      <c r="A571" s="190">
        <v>45609.0</v>
      </c>
      <c r="B571" s="97">
        <f t="shared" ref="B571:B573" si="235">A571</f>
        <v>45609</v>
      </c>
      <c r="C571" s="179" t="s">
        <v>118</v>
      </c>
      <c r="D571" s="129" t="s">
        <v>1756</v>
      </c>
      <c r="E571" s="129" t="s">
        <v>1758</v>
      </c>
      <c r="F571" s="130">
        <v>150.0</v>
      </c>
      <c r="G571" s="129"/>
      <c r="H571" s="44" t="b">
        <v>1</v>
      </c>
      <c r="K571" s="477" t="s">
        <v>195</v>
      </c>
      <c r="L571" s="478">
        <f t="shared" ref="L571:Q571" si="234">SUM(L555:L570)</f>
        <v>34</v>
      </c>
      <c r="M571" s="478">
        <f t="shared" si="234"/>
        <v>9</v>
      </c>
      <c r="N571" s="478">
        <f t="shared" si="234"/>
        <v>43</v>
      </c>
      <c r="O571" s="479">
        <f t="shared" si="234"/>
        <v>6850</v>
      </c>
      <c r="P571" s="479">
        <f t="shared" si="234"/>
        <v>6850</v>
      </c>
      <c r="Q571" s="479">
        <f t="shared" si="234"/>
        <v>0</v>
      </c>
    </row>
    <row r="572" hidden="1" outlineLevel="1">
      <c r="A572" s="190">
        <v>45610.0</v>
      </c>
      <c r="B572" s="97">
        <f t="shared" si="235"/>
        <v>45610</v>
      </c>
      <c r="C572" s="179" t="s">
        <v>118</v>
      </c>
      <c r="D572" s="129" t="s">
        <v>1756</v>
      </c>
      <c r="E572" s="129" t="s">
        <v>1758</v>
      </c>
      <c r="F572" s="130">
        <v>150.0</v>
      </c>
      <c r="G572" s="129"/>
      <c r="H572" s="44" t="b">
        <v>1</v>
      </c>
    </row>
    <row r="573" hidden="1" outlineLevel="1">
      <c r="A573" s="190">
        <v>45611.0</v>
      </c>
      <c r="B573" s="97">
        <f t="shared" si="235"/>
        <v>45611</v>
      </c>
      <c r="C573" s="179" t="s">
        <v>118</v>
      </c>
      <c r="D573" s="129" t="s">
        <v>1756</v>
      </c>
      <c r="E573" s="129" t="s">
        <v>469</v>
      </c>
      <c r="F573" s="130">
        <v>150.0</v>
      </c>
      <c r="G573" s="129"/>
      <c r="H573" s="44" t="b">
        <v>1</v>
      </c>
    </row>
    <row r="574" hidden="1" outlineLevel="1">
      <c r="A574" s="191"/>
      <c r="B574" s="58"/>
      <c r="C574" s="179" t="s">
        <v>118</v>
      </c>
      <c r="D574" s="129" t="s">
        <v>1830</v>
      </c>
      <c r="E574" s="129" t="s">
        <v>1758</v>
      </c>
      <c r="F574" s="130">
        <v>0.0</v>
      </c>
      <c r="G574" s="129" t="s">
        <v>2055</v>
      </c>
      <c r="H574" s="44" t="b">
        <v>1</v>
      </c>
    </row>
    <row r="575" hidden="1" outlineLevel="1">
      <c r="A575" s="190">
        <v>45612.0</v>
      </c>
      <c r="B575" s="97">
        <f t="shared" ref="B575:B576" si="236">A575</f>
        <v>45612</v>
      </c>
      <c r="C575" s="179" t="s">
        <v>118</v>
      </c>
      <c r="D575" s="129" t="s">
        <v>1756</v>
      </c>
      <c r="E575" s="129" t="s">
        <v>1758</v>
      </c>
      <c r="F575" s="130">
        <v>150.0</v>
      </c>
      <c r="G575" s="129"/>
      <c r="H575" s="44" t="b">
        <v>1</v>
      </c>
    </row>
    <row r="576" hidden="1" outlineLevel="1">
      <c r="A576" s="190">
        <v>45613.0</v>
      </c>
      <c r="B576" s="97">
        <f t="shared" si="236"/>
        <v>45613</v>
      </c>
      <c r="C576" s="179" t="s">
        <v>118</v>
      </c>
      <c r="D576" s="129" t="s">
        <v>1828</v>
      </c>
      <c r="E576" s="129" t="s">
        <v>1758</v>
      </c>
      <c r="F576" s="130">
        <v>200.0</v>
      </c>
      <c r="G576" s="129"/>
      <c r="H576" s="44" t="b">
        <v>1</v>
      </c>
    </row>
    <row r="577" hidden="1" outlineLevel="1">
      <c r="A577" s="191"/>
      <c r="B577" s="58"/>
      <c r="C577" s="179" t="s">
        <v>136</v>
      </c>
      <c r="D577" s="129" t="s">
        <v>363</v>
      </c>
      <c r="E577" s="129" t="s">
        <v>1758</v>
      </c>
      <c r="F577" s="130">
        <v>200.0</v>
      </c>
      <c r="G577" s="129"/>
      <c r="H577" s="44" t="b">
        <v>1</v>
      </c>
    </row>
    <row r="578" hidden="1" outlineLevel="1">
      <c r="A578" s="190">
        <v>45614.0</v>
      </c>
      <c r="B578" s="97">
        <f t="shared" ref="B578:B579" si="237">A578</f>
        <v>45614</v>
      </c>
      <c r="C578" s="179" t="s">
        <v>118</v>
      </c>
      <c r="D578" s="129" t="s">
        <v>1756</v>
      </c>
      <c r="E578" s="129" t="s">
        <v>1758</v>
      </c>
      <c r="F578" s="130">
        <v>150.0</v>
      </c>
      <c r="G578" s="129"/>
      <c r="H578" s="44" t="b">
        <v>1</v>
      </c>
    </row>
    <row r="579" hidden="1" outlineLevel="1">
      <c r="A579" s="190">
        <v>45615.0</v>
      </c>
      <c r="B579" s="97">
        <f t="shared" si="237"/>
        <v>45615</v>
      </c>
      <c r="C579" s="179" t="s">
        <v>118</v>
      </c>
      <c r="D579" s="129" t="s">
        <v>1756</v>
      </c>
      <c r="E579" s="129" t="s">
        <v>469</v>
      </c>
      <c r="F579" s="130">
        <v>150.0</v>
      </c>
      <c r="G579" s="129"/>
      <c r="H579" s="44" t="b">
        <v>1</v>
      </c>
    </row>
    <row r="580" hidden="1" outlineLevel="1">
      <c r="A580" s="191"/>
      <c r="B580" s="58"/>
      <c r="C580" s="179" t="s">
        <v>118</v>
      </c>
      <c r="D580" s="129" t="s">
        <v>183</v>
      </c>
      <c r="E580" s="129" t="s">
        <v>1758</v>
      </c>
      <c r="F580" s="130">
        <v>150.0</v>
      </c>
      <c r="G580" s="129"/>
      <c r="H580" s="44" t="b">
        <v>1</v>
      </c>
    </row>
    <row r="581" hidden="1" outlineLevel="1">
      <c r="A581" s="190">
        <v>45616.0</v>
      </c>
      <c r="B581" s="97">
        <f t="shared" ref="B581:B583" si="238">A581</f>
        <v>45616</v>
      </c>
      <c r="C581" s="179" t="s">
        <v>118</v>
      </c>
      <c r="D581" s="129" t="s">
        <v>1756</v>
      </c>
      <c r="E581" s="129" t="s">
        <v>1758</v>
      </c>
      <c r="F581" s="130">
        <v>150.0</v>
      </c>
      <c r="G581" s="129"/>
      <c r="H581" s="44" t="b">
        <v>1</v>
      </c>
    </row>
    <row r="582" hidden="1" outlineLevel="1">
      <c r="A582" s="190">
        <v>45617.0</v>
      </c>
      <c r="B582" s="97">
        <f t="shared" si="238"/>
        <v>45617</v>
      </c>
      <c r="C582" s="179" t="s">
        <v>118</v>
      </c>
      <c r="D582" s="129" t="s">
        <v>1756</v>
      </c>
      <c r="E582" s="129" t="s">
        <v>1758</v>
      </c>
      <c r="F582" s="130">
        <v>150.0</v>
      </c>
      <c r="G582" s="129"/>
      <c r="H582" s="44" t="b">
        <v>1</v>
      </c>
    </row>
    <row r="583" hidden="1" outlineLevel="1">
      <c r="A583" s="190">
        <v>45618.0</v>
      </c>
      <c r="B583" s="97">
        <f t="shared" si="238"/>
        <v>45618</v>
      </c>
      <c r="C583" s="179" t="s">
        <v>118</v>
      </c>
      <c r="D583" s="129" t="s">
        <v>1756</v>
      </c>
      <c r="E583" s="129" t="s">
        <v>469</v>
      </c>
      <c r="F583" s="130">
        <v>150.0</v>
      </c>
      <c r="G583" s="129"/>
      <c r="H583" s="44" t="b">
        <v>1</v>
      </c>
    </row>
    <row r="584" hidden="1" outlineLevel="1">
      <c r="A584" s="191"/>
      <c r="B584" s="58"/>
      <c r="C584" s="179" t="s">
        <v>118</v>
      </c>
      <c r="D584" s="129" t="s">
        <v>183</v>
      </c>
      <c r="E584" s="129" t="s">
        <v>1758</v>
      </c>
      <c r="F584" s="130">
        <v>150.0</v>
      </c>
      <c r="G584" s="129"/>
      <c r="H584" s="44" t="b">
        <v>1</v>
      </c>
    </row>
    <row r="585" hidden="1" outlineLevel="1">
      <c r="A585" s="190">
        <v>45619.0</v>
      </c>
      <c r="B585" s="97">
        <f t="shared" ref="B585:B586" si="239">A585</f>
        <v>45619</v>
      </c>
      <c r="C585" s="179" t="s">
        <v>118</v>
      </c>
      <c r="D585" s="129" t="s">
        <v>1756</v>
      </c>
      <c r="E585" s="129" t="s">
        <v>1758</v>
      </c>
      <c r="F585" s="130">
        <v>150.0</v>
      </c>
      <c r="G585" s="129"/>
      <c r="H585" s="44" t="b">
        <v>1</v>
      </c>
    </row>
    <row r="586" hidden="1" outlineLevel="1">
      <c r="A586" s="190">
        <v>45620.0</v>
      </c>
      <c r="B586" s="97">
        <f t="shared" si="239"/>
        <v>45620</v>
      </c>
      <c r="C586" s="179" t="s">
        <v>118</v>
      </c>
      <c r="D586" s="129" t="s">
        <v>1828</v>
      </c>
      <c r="E586" s="129" t="s">
        <v>1758</v>
      </c>
      <c r="F586" s="130">
        <v>200.0</v>
      </c>
      <c r="G586" s="129"/>
      <c r="H586" s="44" t="b">
        <v>1</v>
      </c>
    </row>
    <row r="587" hidden="1" outlineLevel="1">
      <c r="A587" s="191"/>
      <c r="B587" s="58"/>
      <c r="C587" s="179" t="s">
        <v>136</v>
      </c>
      <c r="D587" s="129" t="s">
        <v>1838</v>
      </c>
      <c r="E587" s="129" t="s">
        <v>1758</v>
      </c>
      <c r="F587" s="130">
        <v>200.0</v>
      </c>
      <c r="G587" s="129"/>
      <c r="H587" s="44" t="b">
        <v>1</v>
      </c>
    </row>
    <row r="588" hidden="1" outlineLevel="1">
      <c r="A588" s="190">
        <v>45621.0</v>
      </c>
      <c r="B588" s="97">
        <f>A588</f>
        <v>45621</v>
      </c>
      <c r="C588" s="179" t="s">
        <v>118</v>
      </c>
      <c r="D588" s="129" t="s">
        <v>1756</v>
      </c>
      <c r="E588" s="129" t="s">
        <v>1758</v>
      </c>
      <c r="F588" s="130">
        <v>150.0</v>
      </c>
      <c r="G588" s="129"/>
      <c r="H588" s="44" t="b">
        <v>1</v>
      </c>
    </row>
    <row r="589" hidden="1" outlineLevel="1">
      <c r="A589" s="191"/>
      <c r="B589" s="58"/>
      <c r="C589" s="179" t="s">
        <v>118</v>
      </c>
      <c r="D589" s="129" t="s">
        <v>1828</v>
      </c>
      <c r="E589" s="129" t="s">
        <v>1758</v>
      </c>
      <c r="F589" s="130">
        <v>150.0</v>
      </c>
      <c r="G589" s="129" t="s">
        <v>2056</v>
      </c>
      <c r="H589" s="44" t="b">
        <v>1</v>
      </c>
    </row>
    <row r="590" hidden="1" outlineLevel="1">
      <c r="A590" s="190">
        <v>45622.0</v>
      </c>
      <c r="B590" s="97">
        <f>A590</f>
        <v>45622</v>
      </c>
      <c r="C590" s="179" t="s">
        <v>118</v>
      </c>
      <c r="D590" s="129" t="s">
        <v>1756</v>
      </c>
      <c r="E590" s="129" t="s">
        <v>469</v>
      </c>
      <c r="F590" s="130">
        <v>150.0</v>
      </c>
      <c r="G590" s="129"/>
      <c r="H590" s="44" t="b">
        <v>1</v>
      </c>
    </row>
    <row r="591" hidden="1" outlineLevel="1">
      <c r="A591" s="191"/>
      <c r="B591" s="58"/>
      <c r="C591" s="58"/>
      <c r="D591" s="129" t="s">
        <v>183</v>
      </c>
      <c r="E591" s="129" t="s">
        <v>1758</v>
      </c>
      <c r="F591" s="130">
        <v>150.0</v>
      </c>
      <c r="G591" s="129"/>
      <c r="H591" s="44" t="b">
        <v>1</v>
      </c>
    </row>
    <row r="592" hidden="1" outlineLevel="1">
      <c r="A592" s="190">
        <v>45623.0</v>
      </c>
      <c r="B592" s="97">
        <f t="shared" ref="B592:B594" si="240">A592</f>
        <v>45623</v>
      </c>
      <c r="C592" s="179" t="s">
        <v>118</v>
      </c>
      <c r="D592" s="129" t="s">
        <v>1756</v>
      </c>
      <c r="E592" s="129" t="s">
        <v>1758</v>
      </c>
      <c r="F592" s="130">
        <v>150.0</v>
      </c>
      <c r="G592" s="129"/>
      <c r="H592" s="44" t="b">
        <v>1</v>
      </c>
    </row>
    <row r="593" hidden="1" outlineLevel="1">
      <c r="A593" s="190">
        <v>45624.0</v>
      </c>
      <c r="B593" s="97">
        <f t="shared" si="240"/>
        <v>45624</v>
      </c>
      <c r="C593" s="179" t="s">
        <v>118</v>
      </c>
      <c r="D593" s="129" t="s">
        <v>1756</v>
      </c>
      <c r="E593" s="129" t="s">
        <v>1758</v>
      </c>
      <c r="F593" s="130">
        <v>150.0</v>
      </c>
      <c r="G593" s="129"/>
      <c r="H593" s="44" t="b">
        <v>1</v>
      </c>
    </row>
    <row r="594" hidden="1" outlineLevel="1">
      <c r="A594" s="190">
        <v>45625.0</v>
      </c>
      <c r="B594" s="97">
        <f t="shared" si="240"/>
        <v>45625</v>
      </c>
      <c r="C594" s="179" t="s">
        <v>118</v>
      </c>
      <c r="D594" s="129" t="s">
        <v>1756</v>
      </c>
      <c r="E594" s="129" t="s">
        <v>469</v>
      </c>
      <c r="F594" s="130">
        <v>150.0</v>
      </c>
      <c r="G594" s="129"/>
      <c r="H594" s="44" t="b">
        <v>1</v>
      </c>
    </row>
    <row r="595" hidden="1" outlineLevel="1">
      <c r="A595" s="191"/>
      <c r="B595" s="58"/>
      <c r="C595" s="179" t="s">
        <v>118</v>
      </c>
      <c r="D595" s="129" t="s">
        <v>183</v>
      </c>
      <c r="E595" s="129" t="s">
        <v>1758</v>
      </c>
      <c r="F595" s="130">
        <v>150.0</v>
      </c>
      <c r="G595" s="129"/>
      <c r="H595" s="44" t="b">
        <v>1</v>
      </c>
    </row>
    <row r="596" hidden="1" outlineLevel="1">
      <c r="A596" s="190">
        <v>45626.0</v>
      </c>
      <c r="B596" s="97">
        <f>A596</f>
        <v>45626</v>
      </c>
      <c r="C596" s="179" t="s">
        <v>118</v>
      </c>
      <c r="D596" s="129" t="s">
        <v>1756</v>
      </c>
      <c r="E596" s="129" t="s">
        <v>1758</v>
      </c>
      <c r="F596" s="130">
        <v>150.0</v>
      </c>
      <c r="G596" s="129"/>
      <c r="H596" s="44" t="b">
        <v>1</v>
      </c>
    </row>
    <row r="597">
      <c r="A597" s="484" t="s">
        <v>195</v>
      </c>
      <c r="B597" s="27"/>
      <c r="C597" s="27"/>
      <c r="D597" s="27"/>
      <c r="E597" s="28"/>
      <c r="F597" s="485">
        <f>SUM(F553:F596)</f>
        <v>6850</v>
      </c>
      <c r="G597" s="486"/>
      <c r="H597" s="28"/>
    </row>
    <row r="598" collapsed="1">
      <c r="A598" s="339" t="s">
        <v>849</v>
      </c>
      <c r="B598" s="246"/>
      <c r="C598" s="246"/>
      <c r="D598" s="246"/>
      <c r="E598" s="246"/>
      <c r="F598" s="246"/>
      <c r="G598" s="246"/>
      <c r="H598" s="247"/>
    </row>
    <row r="599" hidden="1" outlineLevel="1">
      <c r="A599" s="102">
        <v>45627.0</v>
      </c>
      <c r="B599" s="97">
        <f>A599</f>
        <v>45627</v>
      </c>
      <c r="C599" s="129" t="s">
        <v>118</v>
      </c>
      <c r="D599" s="129" t="s">
        <v>1828</v>
      </c>
      <c r="E599" s="129" t="s">
        <v>1758</v>
      </c>
      <c r="F599" s="130">
        <v>200.0</v>
      </c>
      <c r="G599" s="129"/>
      <c r="H599" s="44" t="b">
        <v>1</v>
      </c>
      <c r="K599" s="440" t="s">
        <v>2057</v>
      </c>
      <c r="L599" s="27"/>
      <c r="M599" s="27"/>
      <c r="N599" s="27"/>
      <c r="O599" s="27"/>
      <c r="P599" s="27"/>
      <c r="Q599" s="28"/>
    </row>
    <row r="600" hidden="1" outlineLevel="1">
      <c r="A600" s="10"/>
      <c r="B600" s="10"/>
      <c r="C600" s="129" t="s">
        <v>136</v>
      </c>
      <c r="D600" s="129" t="s">
        <v>363</v>
      </c>
      <c r="E600" s="129" t="s">
        <v>1758</v>
      </c>
      <c r="F600" s="130">
        <v>200.0</v>
      </c>
      <c r="G600" s="129"/>
      <c r="H600" s="44" t="b">
        <v>1</v>
      </c>
      <c r="K600" s="441" t="s">
        <v>1749</v>
      </c>
      <c r="L600" s="441" t="s">
        <v>1758</v>
      </c>
      <c r="M600" s="441" t="s">
        <v>469</v>
      </c>
      <c r="N600" s="441" t="s">
        <v>195</v>
      </c>
      <c r="O600" s="441" t="s">
        <v>1764</v>
      </c>
      <c r="P600" s="441" t="s">
        <v>1765</v>
      </c>
      <c r="Q600" s="441" t="s">
        <v>1766</v>
      </c>
    </row>
    <row r="601" hidden="1" outlineLevel="1">
      <c r="A601" s="125">
        <v>45628.0</v>
      </c>
      <c r="B601" s="126">
        <f t="shared" ref="B601:B603" si="241">A601</f>
        <v>45628</v>
      </c>
      <c r="C601" s="129" t="s">
        <v>118</v>
      </c>
      <c r="D601" s="129" t="s">
        <v>1756</v>
      </c>
      <c r="E601" s="129" t="s">
        <v>1758</v>
      </c>
      <c r="F601" s="130">
        <v>150.0</v>
      </c>
      <c r="G601" s="129"/>
      <c r="H601" s="44" t="b">
        <v>1</v>
      </c>
      <c r="K601" s="91" t="s">
        <v>1756</v>
      </c>
      <c r="L601" s="90">
        <f t="shared" ref="L601:L612" si="242">COUNTIFS($D$599:$D$643, $K601,$E$599:$E$643,$L$600)</f>
        <v>16</v>
      </c>
      <c r="M601" s="90">
        <f>COUNTIFS($D$599:$D$643, $K601,$E$599:$E$643,$M$600)</f>
        <v>8</v>
      </c>
      <c r="N601" s="90">
        <f t="shared" ref="N601:N612" si="243">L601+M601</f>
        <v>24</v>
      </c>
      <c r="O601" s="92">
        <f t="shared" ref="O601:O612" si="244">SUMIFS($F$599:$F$643,$D$599:$D$643,$K601)</f>
        <v>3650</v>
      </c>
      <c r="P601" s="92">
        <f t="shared" ref="P601:P612" si="245">SUMIFS($F$599:$F$643,$D$599:$D$643,$K601,$H$599:$H$643,TRUE)</f>
        <v>3650</v>
      </c>
      <c r="Q601" s="92">
        <f t="shared" ref="Q601:Q612" si="246">O601-P601</f>
        <v>0</v>
      </c>
    </row>
    <row r="602" hidden="1" outlineLevel="1">
      <c r="A602" s="102">
        <v>45629.0</v>
      </c>
      <c r="B602" s="97">
        <f t="shared" si="241"/>
        <v>45629</v>
      </c>
      <c r="C602" s="129" t="s">
        <v>118</v>
      </c>
      <c r="D602" s="129" t="s">
        <v>1756</v>
      </c>
      <c r="E602" s="129" t="s">
        <v>1758</v>
      </c>
      <c r="F602" s="130">
        <v>150.0</v>
      </c>
      <c r="G602" s="129"/>
      <c r="H602" s="44" t="b">
        <v>1</v>
      </c>
      <c r="K602" s="91" t="s">
        <v>1810</v>
      </c>
      <c r="L602" s="90">
        <f t="shared" si="242"/>
        <v>3</v>
      </c>
      <c r="M602" s="90">
        <f t="shared" ref="M602:M612" si="247">COUNTIFS($D$599:$D$643, $K602,$E$599:$E$643,$M$7646)</f>
        <v>0</v>
      </c>
      <c r="N602" s="90">
        <f t="shared" si="243"/>
        <v>3</v>
      </c>
      <c r="O602" s="92">
        <f t="shared" si="244"/>
        <v>0</v>
      </c>
      <c r="P602" s="92">
        <f t="shared" si="245"/>
        <v>0</v>
      </c>
      <c r="Q602" s="92">
        <f t="shared" si="246"/>
        <v>0</v>
      </c>
    </row>
    <row r="603" hidden="1" outlineLevel="1">
      <c r="A603" s="102">
        <v>45630.0</v>
      </c>
      <c r="B603" s="97">
        <f t="shared" si="241"/>
        <v>45630</v>
      </c>
      <c r="C603" s="129" t="s">
        <v>118</v>
      </c>
      <c r="D603" s="129" t="s">
        <v>183</v>
      </c>
      <c r="E603" s="129" t="s">
        <v>1758</v>
      </c>
      <c r="F603" s="130">
        <v>150.0</v>
      </c>
      <c r="G603" s="129" t="s">
        <v>2058</v>
      </c>
      <c r="H603" s="44" t="b">
        <v>1</v>
      </c>
      <c r="K603" s="91" t="s">
        <v>1838</v>
      </c>
      <c r="L603" s="90">
        <f t="shared" si="242"/>
        <v>1</v>
      </c>
      <c r="M603" s="90">
        <f t="shared" si="247"/>
        <v>0</v>
      </c>
      <c r="N603" s="90">
        <f t="shared" si="243"/>
        <v>1</v>
      </c>
      <c r="O603" s="92">
        <f t="shared" si="244"/>
        <v>200</v>
      </c>
      <c r="P603" s="92">
        <f t="shared" si="245"/>
        <v>200</v>
      </c>
      <c r="Q603" s="92">
        <f t="shared" si="246"/>
        <v>0</v>
      </c>
    </row>
    <row r="604" hidden="1" outlineLevel="1">
      <c r="A604" s="10"/>
      <c r="B604" s="10"/>
      <c r="C604" s="129" t="s">
        <v>118</v>
      </c>
      <c r="D604" s="129" t="s">
        <v>1756</v>
      </c>
      <c r="E604" s="129" t="s">
        <v>469</v>
      </c>
      <c r="F604" s="130">
        <v>150.0</v>
      </c>
      <c r="G604" s="129"/>
      <c r="H604" s="44" t="b">
        <v>1</v>
      </c>
      <c r="K604" s="91" t="s">
        <v>183</v>
      </c>
      <c r="L604" s="90">
        <f t="shared" si="242"/>
        <v>7</v>
      </c>
      <c r="M604" s="90">
        <f t="shared" si="247"/>
        <v>0</v>
      </c>
      <c r="N604" s="90">
        <f t="shared" si="243"/>
        <v>7</v>
      </c>
      <c r="O604" s="92">
        <f t="shared" si="244"/>
        <v>1050</v>
      </c>
      <c r="P604" s="92">
        <f t="shared" si="245"/>
        <v>1050</v>
      </c>
      <c r="Q604" s="92">
        <f t="shared" si="246"/>
        <v>0</v>
      </c>
    </row>
    <row r="605" hidden="1" outlineLevel="1">
      <c r="A605" s="125">
        <v>45631.0</v>
      </c>
      <c r="B605" s="126">
        <f t="shared" ref="B605:B606" si="248">A605</f>
        <v>45631</v>
      </c>
      <c r="C605" s="129" t="s">
        <v>118</v>
      </c>
      <c r="D605" s="129" t="s">
        <v>1756</v>
      </c>
      <c r="E605" s="129" t="s">
        <v>1758</v>
      </c>
      <c r="F605" s="130">
        <v>150.0</v>
      </c>
      <c r="G605" s="129"/>
      <c r="H605" s="44" t="b">
        <v>1</v>
      </c>
      <c r="K605" s="91" t="s">
        <v>363</v>
      </c>
      <c r="L605" s="90">
        <f t="shared" si="242"/>
        <v>3</v>
      </c>
      <c r="M605" s="90">
        <f t="shared" si="247"/>
        <v>0</v>
      </c>
      <c r="N605" s="90">
        <f t="shared" si="243"/>
        <v>3</v>
      </c>
      <c r="O605" s="92">
        <f t="shared" si="244"/>
        <v>550</v>
      </c>
      <c r="P605" s="92">
        <f t="shared" si="245"/>
        <v>550</v>
      </c>
      <c r="Q605" s="92">
        <f t="shared" si="246"/>
        <v>0</v>
      </c>
    </row>
    <row r="606" hidden="1" outlineLevel="1">
      <c r="A606" s="102">
        <v>45632.0</v>
      </c>
      <c r="B606" s="97">
        <f t="shared" si="248"/>
        <v>45632</v>
      </c>
      <c r="C606" s="179" t="s">
        <v>118</v>
      </c>
      <c r="D606" s="129" t="s">
        <v>1761</v>
      </c>
      <c r="E606" s="129" t="s">
        <v>1758</v>
      </c>
      <c r="F606" s="130">
        <v>150.0</v>
      </c>
      <c r="G606" s="129"/>
      <c r="H606" s="44" t="b">
        <v>1</v>
      </c>
      <c r="K606" s="91" t="s">
        <v>1850</v>
      </c>
      <c r="L606" s="90">
        <f t="shared" si="242"/>
        <v>0</v>
      </c>
      <c r="M606" s="90">
        <f t="shared" si="247"/>
        <v>0</v>
      </c>
      <c r="N606" s="90">
        <f t="shared" si="243"/>
        <v>0</v>
      </c>
      <c r="O606" s="92">
        <f t="shared" si="244"/>
        <v>0</v>
      </c>
      <c r="P606" s="92">
        <f t="shared" si="245"/>
        <v>0</v>
      </c>
      <c r="Q606" s="92">
        <f t="shared" si="246"/>
        <v>0</v>
      </c>
    </row>
    <row r="607" hidden="1" outlineLevel="1">
      <c r="A607" s="10"/>
      <c r="B607" s="10"/>
      <c r="C607" s="10"/>
      <c r="D607" s="129" t="s">
        <v>1756</v>
      </c>
      <c r="E607" s="129" t="s">
        <v>469</v>
      </c>
      <c r="F607" s="130">
        <v>150.0</v>
      </c>
      <c r="G607" s="129"/>
      <c r="H607" s="44" t="b">
        <v>1</v>
      </c>
      <c r="K607" s="91" t="s">
        <v>1842</v>
      </c>
      <c r="L607" s="90">
        <f t="shared" si="242"/>
        <v>0</v>
      </c>
      <c r="M607" s="90">
        <f t="shared" si="247"/>
        <v>0</v>
      </c>
      <c r="N607" s="90">
        <f t="shared" si="243"/>
        <v>0</v>
      </c>
      <c r="O607" s="92">
        <f t="shared" si="244"/>
        <v>0</v>
      </c>
      <c r="P607" s="92">
        <f t="shared" si="245"/>
        <v>0</v>
      </c>
      <c r="Q607" s="92">
        <f t="shared" si="246"/>
        <v>0</v>
      </c>
    </row>
    <row r="608" hidden="1" outlineLevel="1">
      <c r="A608" s="125">
        <v>45633.0</v>
      </c>
      <c r="B608" s="126">
        <f t="shared" ref="B608:B609" si="249">A608</f>
        <v>45633</v>
      </c>
      <c r="C608" s="129" t="s">
        <v>118</v>
      </c>
      <c r="D608" s="129" t="s">
        <v>1756</v>
      </c>
      <c r="E608" s="129" t="s">
        <v>1758</v>
      </c>
      <c r="F608" s="130">
        <v>150.0</v>
      </c>
      <c r="G608" s="129"/>
      <c r="H608" s="44" t="b">
        <v>1</v>
      </c>
      <c r="K608" s="91" t="s">
        <v>1820</v>
      </c>
      <c r="L608" s="90">
        <f t="shared" si="242"/>
        <v>0</v>
      </c>
      <c r="M608" s="90">
        <f t="shared" si="247"/>
        <v>0</v>
      </c>
      <c r="N608" s="90">
        <f t="shared" si="243"/>
        <v>0</v>
      </c>
      <c r="O608" s="92">
        <f t="shared" si="244"/>
        <v>0</v>
      </c>
      <c r="P608" s="92">
        <f t="shared" si="245"/>
        <v>0</v>
      </c>
      <c r="Q608" s="92">
        <f t="shared" si="246"/>
        <v>0</v>
      </c>
    </row>
    <row r="609" hidden="1" outlineLevel="1">
      <c r="A609" s="102">
        <v>45634.0</v>
      </c>
      <c r="B609" s="97">
        <f t="shared" si="249"/>
        <v>45634</v>
      </c>
      <c r="C609" s="179" t="s">
        <v>118</v>
      </c>
      <c r="D609" s="129" t="s">
        <v>1838</v>
      </c>
      <c r="E609" s="129" t="s">
        <v>1758</v>
      </c>
      <c r="F609" s="130">
        <v>200.0</v>
      </c>
      <c r="G609" s="129"/>
      <c r="H609" s="44" t="b">
        <v>1</v>
      </c>
      <c r="K609" s="91" t="s">
        <v>1828</v>
      </c>
      <c r="L609" s="90">
        <f t="shared" si="242"/>
        <v>4</v>
      </c>
      <c r="M609" s="90">
        <f t="shared" si="247"/>
        <v>0</v>
      </c>
      <c r="N609" s="90">
        <f t="shared" si="243"/>
        <v>4</v>
      </c>
      <c r="O609" s="92">
        <f t="shared" si="244"/>
        <v>800</v>
      </c>
      <c r="P609" s="92">
        <f t="shared" si="245"/>
        <v>800</v>
      </c>
      <c r="Q609" s="92">
        <f t="shared" si="246"/>
        <v>0</v>
      </c>
    </row>
    <row r="610" hidden="1" outlineLevel="1">
      <c r="A610" s="10"/>
      <c r="B610" s="10"/>
      <c r="C610" s="296" t="s">
        <v>136</v>
      </c>
      <c r="D610" s="129" t="s">
        <v>1756</v>
      </c>
      <c r="E610" s="129" t="s">
        <v>1758</v>
      </c>
      <c r="F610" s="130">
        <v>200.0</v>
      </c>
      <c r="G610" s="129"/>
      <c r="H610" s="44" t="b">
        <v>1</v>
      </c>
      <c r="K610" s="91" t="s">
        <v>1845</v>
      </c>
      <c r="L610" s="90">
        <f t="shared" si="242"/>
        <v>2</v>
      </c>
      <c r="M610" s="90">
        <f t="shared" si="247"/>
        <v>0</v>
      </c>
      <c r="N610" s="90">
        <f t="shared" si="243"/>
        <v>2</v>
      </c>
      <c r="O610" s="92">
        <f t="shared" si="244"/>
        <v>400</v>
      </c>
      <c r="P610" s="92">
        <f t="shared" si="245"/>
        <v>400</v>
      </c>
      <c r="Q610" s="92">
        <f t="shared" si="246"/>
        <v>0</v>
      </c>
    </row>
    <row r="611" hidden="1" outlineLevel="1">
      <c r="A611" s="125">
        <v>45635.0</v>
      </c>
      <c r="B611" s="126">
        <f t="shared" ref="B611:B612" si="250">A611</f>
        <v>45635</v>
      </c>
      <c r="C611" s="129" t="s">
        <v>118</v>
      </c>
      <c r="D611" s="129" t="s">
        <v>1756</v>
      </c>
      <c r="E611" s="129" t="s">
        <v>1758</v>
      </c>
      <c r="F611" s="130">
        <v>150.0</v>
      </c>
      <c r="G611" s="129"/>
      <c r="H611" s="44" t="b">
        <v>1</v>
      </c>
      <c r="K611" s="91" t="s">
        <v>562</v>
      </c>
      <c r="L611" s="90">
        <f t="shared" si="242"/>
        <v>0</v>
      </c>
      <c r="M611" s="90">
        <f t="shared" si="247"/>
        <v>0</v>
      </c>
      <c r="N611" s="90">
        <f t="shared" si="243"/>
        <v>0</v>
      </c>
      <c r="O611" s="92">
        <f t="shared" si="244"/>
        <v>0</v>
      </c>
      <c r="P611" s="92">
        <f t="shared" si="245"/>
        <v>0</v>
      </c>
      <c r="Q611" s="92">
        <f t="shared" si="246"/>
        <v>0</v>
      </c>
    </row>
    <row r="612" hidden="1" outlineLevel="1">
      <c r="A612" s="102">
        <v>45636.0</v>
      </c>
      <c r="B612" s="97">
        <f t="shared" si="250"/>
        <v>45636</v>
      </c>
      <c r="C612" s="179" t="s">
        <v>118</v>
      </c>
      <c r="D612" s="129" t="s">
        <v>183</v>
      </c>
      <c r="E612" s="129" t="s">
        <v>1758</v>
      </c>
      <c r="F612" s="130">
        <v>150.0</v>
      </c>
      <c r="G612" s="129"/>
      <c r="H612" s="44" t="b">
        <v>1</v>
      </c>
      <c r="K612" s="91" t="s">
        <v>1761</v>
      </c>
      <c r="L612" s="90">
        <f t="shared" si="242"/>
        <v>1</v>
      </c>
      <c r="M612" s="90">
        <f t="shared" si="247"/>
        <v>0</v>
      </c>
      <c r="N612" s="90">
        <f t="shared" si="243"/>
        <v>1</v>
      </c>
      <c r="O612" s="92">
        <f t="shared" si="244"/>
        <v>150</v>
      </c>
      <c r="P612" s="92">
        <f t="shared" si="245"/>
        <v>150</v>
      </c>
      <c r="Q612" s="92">
        <f t="shared" si="246"/>
        <v>0</v>
      </c>
    </row>
    <row r="613" hidden="1" outlineLevel="1">
      <c r="A613" s="10"/>
      <c r="B613" s="10"/>
      <c r="C613" s="10"/>
      <c r="D613" s="129" t="s">
        <v>1756</v>
      </c>
      <c r="E613" s="129" t="s">
        <v>469</v>
      </c>
      <c r="F613" s="130">
        <v>150.0</v>
      </c>
      <c r="G613" s="129"/>
      <c r="H613" s="44" t="b">
        <v>1</v>
      </c>
      <c r="K613" s="91"/>
      <c r="L613" s="90"/>
      <c r="M613" s="90"/>
      <c r="N613" s="90"/>
      <c r="O613" s="92"/>
      <c r="P613" s="92"/>
      <c r="Q613" s="90"/>
    </row>
    <row r="614" hidden="1" outlineLevel="1">
      <c r="A614" s="102">
        <v>45637.0</v>
      </c>
      <c r="B614" s="97">
        <f>A614</f>
        <v>45637</v>
      </c>
      <c r="C614" s="129" t="s">
        <v>118</v>
      </c>
      <c r="D614" s="129" t="s">
        <v>1756</v>
      </c>
      <c r="E614" s="129" t="s">
        <v>1758</v>
      </c>
      <c r="F614" s="130">
        <v>150.0</v>
      </c>
      <c r="G614" s="129"/>
      <c r="H614" s="44" t="b">
        <v>1</v>
      </c>
      <c r="K614" s="91"/>
      <c r="L614" s="90"/>
      <c r="M614" s="90"/>
      <c r="N614" s="90"/>
      <c r="O614" s="92"/>
      <c r="P614" s="92"/>
      <c r="Q614" s="90"/>
    </row>
    <row r="615" hidden="1" outlineLevel="1">
      <c r="A615" s="10"/>
      <c r="B615" s="10"/>
      <c r="C615" s="129" t="s">
        <v>136</v>
      </c>
      <c r="D615" s="129" t="s">
        <v>363</v>
      </c>
      <c r="E615" s="129" t="s">
        <v>1758</v>
      </c>
      <c r="F615" s="130">
        <v>150.0</v>
      </c>
      <c r="G615" s="129" t="s">
        <v>2059</v>
      </c>
      <c r="H615" s="44" t="b">
        <v>1</v>
      </c>
      <c r="K615" s="276"/>
      <c r="L615" s="90"/>
      <c r="M615" s="276"/>
      <c r="N615" s="276"/>
      <c r="O615" s="276"/>
      <c r="P615" s="276"/>
      <c r="Q615" s="276"/>
    </row>
    <row r="616" hidden="1" outlineLevel="1">
      <c r="A616" s="125">
        <v>45638.0</v>
      </c>
      <c r="B616" s="126">
        <f t="shared" ref="B616:B617" si="251">A616</f>
        <v>45638</v>
      </c>
      <c r="C616" s="129" t="s">
        <v>118</v>
      </c>
      <c r="D616" s="129" t="s">
        <v>1756</v>
      </c>
      <c r="E616" s="129" t="s">
        <v>1758</v>
      </c>
      <c r="F616" s="130">
        <v>150.0</v>
      </c>
      <c r="G616" s="129"/>
      <c r="H616" s="44" t="b">
        <v>1</v>
      </c>
      <c r="K616" s="276"/>
      <c r="L616" s="90"/>
      <c r="M616" s="276"/>
      <c r="N616" s="276"/>
      <c r="O616" s="276"/>
      <c r="P616" s="276"/>
      <c r="Q616" s="276"/>
    </row>
    <row r="617" hidden="1" outlineLevel="1">
      <c r="A617" s="102">
        <v>45639.0</v>
      </c>
      <c r="B617" s="97">
        <f t="shared" si="251"/>
        <v>45639</v>
      </c>
      <c r="C617" s="179" t="s">
        <v>118</v>
      </c>
      <c r="D617" s="129" t="s">
        <v>183</v>
      </c>
      <c r="E617" s="129" t="s">
        <v>1758</v>
      </c>
      <c r="F617" s="130">
        <v>150.0</v>
      </c>
      <c r="G617" s="129"/>
      <c r="H617" s="44" t="b">
        <v>1</v>
      </c>
      <c r="K617" s="91"/>
      <c r="L617" s="90"/>
      <c r="M617" s="90"/>
      <c r="N617" s="90"/>
      <c r="O617" s="92"/>
      <c r="P617" s="92"/>
      <c r="Q617" s="90"/>
    </row>
    <row r="618" hidden="1" outlineLevel="1">
      <c r="A618" s="10"/>
      <c r="B618" s="10"/>
      <c r="C618" s="10"/>
      <c r="D618" s="129" t="s">
        <v>1756</v>
      </c>
      <c r="E618" s="129" t="s">
        <v>469</v>
      </c>
      <c r="F618" s="130">
        <v>150.0</v>
      </c>
      <c r="G618" s="129"/>
      <c r="H618" s="44" t="b">
        <v>1</v>
      </c>
      <c r="K618" s="477" t="s">
        <v>195</v>
      </c>
      <c r="L618" s="478">
        <f t="shared" ref="L618:Q618" si="252">SUM(L601:L617)</f>
        <v>37</v>
      </c>
      <c r="M618" s="478">
        <f t="shared" si="252"/>
        <v>8</v>
      </c>
      <c r="N618" s="478">
        <f t="shared" si="252"/>
        <v>45</v>
      </c>
      <c r="O618" s="479">
        <f t="shared" si="252"/>
        <v>6800</v>
      </c>
      <c r="P618" s="479">
        <f t="shared" si="252"/>
        <v>6800</v>
      </c>
      <c r="Q618" s="479">
        <f t="shared" si="252"/>
        <v>0</v>
      </c>
    </row>
    <row r="619" hidden="1" outlineLevel="1">
      <c r="A619" s="125">
        <v>45640.0</v>
      </c>
      <c r="B619" s="126">
        <f t="shared" ref="B619:B620" si="253">A619</f>
        <v>45640</v>
      </c>
      <c r="C619" s="129" t="s">
        <v>118</v>
      </c>
      <c r="D619" s="129" t="s">
        <v>1756</v>
      </c>
      <c r="E619" s="129" t="s">
        <v>1758</v>
      </c>
      <c r="F619" s="130">
        <v>150.0</v>
      </c>
      <c r="G619" s="129"/>
      <c r="H619" s="44" t="b">
        <v>1</v>
      </c>
    </row>
    <row r="620" hidden="1" outlineLevel="1">
      <c r="A620" s="102">
        <v>45641.0</v>
      </c>
      <c r="B620" s="97">
        <f t="shared" si="253"/>
        <v>45641</v>
      </c>
      <c r="C620" s="179" t="s">
        <v>118</v>
      </c>
      <c r="D620" s="129" t="s">
        <v>1810</v>
      </c>
      <c r="E620" s="129" t="s">
        <v>1758</v>
      </c>
      <c r="F620" s="130">
        <v>0.0</v>
      </c>
      <c r="G620" s="129"/>
      <c r="H620" s="44" t="b">
        <v>1</v>
      </c>
    </row>
    <row r="621" hidden="1" outlineLevel="1">
      <c r="A621" s="10"/>
      <c r="B621" s="10"/>
      <c r="C621" s="296" t="s">
        <v>136</v>
      </c>
      <c r="D621" s="129" t="s">
        <v>363</v>
      </c>
      <c r="E621" s="129" t="s">
        <v>1758</v>
      </c>
      <c r="F621" s="130">
        <v>200.0</v>
      </c>
      <c r="G621" s="129"/>
      <c r="H621" s="44" t="b">
        <v>1</v>
      </c>
    </row>
    <row r="622" hidden="1" outlineLevel="1">
      <c r="A622" s="125">
        <v>45642.0</v>
      </c>
      <c r="B622" s="126">
        <f t="shared" ref="B622:B623" si="254">A622</f>
        <v>45642</v>
      </c>
      <c r="C622" s="129" t="s">
        <v>118</v>
      </c>
      <c r="D622" s="129" t="s">
        <v>1756</v>
      </c>
      <c r="E622" s="129" t="s">
        <v>1758</v>
      </c>
      <c r="F622" s="130">
        <v>150.0</v>
      </c>
      <c r="G622" s="129"/>
      <c r="H622" s="44" t="b">
        <v>1</v>
      </c>
    </row>
    <row r="623" hidden="1" outlineLevel="1">
      <c r="A623" s="102">
        <v>45643.0</v>
      </c>
      <c r="B623" s="97">
        <f t="shared" si="254"/>
        <v>45643</v>
      </c>
      <c r="C623" s="179" t="s">
        <v>118</v>
      </c>
      <c r="D623" s="129" t="s">
        <v>183</v>
      </c>
      <c r="E623" s="129" t="s">
        <v>1758</v>
      </c>
      <c r="F623" s="130">
        <v>150.0</v>
      </c>
      <c r="G623" s="129"/>
      <c r="H623" s="44" t="b">
        <v>1</v>
      </c>
    </row>
    <row r="624" hidden="1" outlineLevel="1">
      <c r="A624" s="10"/>
      <c r="B624" s="10"/>
      <c r="C624" s="10"/>
      <c r="D624" s="129" t="s">
        <v>1756</v>
      </c>
      <c r="E624" s="129" t="s">
        <v>469</v>
      </c>
      <c r="F624" s="130">
        <v>150.0</v>
      </c>
      <c r="G624" s="129"/>
      <c r="H624" s="44" t="b">
        <v>1</v>
      </c>
    </row>
    <row r="625" hidden="1" outlineLevel="1">
      <c r="A625" s="125">
        <v>45644.0</v>
      </c>
      <c r="B625" s="126">
        <f t="shared" ref="B625:B627" si="255">A625</f>
        <v>45644</v>
      </c>
      <c r="C625" s="129" t="s">
        <v>118</v>
      </c>
      <c r="D625" s="129" t="s">
        <v>1756</v>
      </c>
      <c r="E625" s="129" t="s">
        <v>1758</v>
      </c>
      <c r="F625" s="130">
        <v>150.0</v>
      </c>
      <c r="G625" s="129"/>
      <c r="H625" s="44" t="b">
        <v>1</v>
      </c>
    </row>
    <row r="626" hidden="1" outlineLevel="1">
      <c r="A626" s="125">
        <v>45645.0</v>
      </c>
      <c r="B626" s="126">
        <f t="shared" si="255"/>
        <v>45645</v>
      </c>
      <c r="C626" s="129" t="s">
        <v>118</v>
      </c>
      <c r="D626" s="129" t="s">
        <v>1756</v>
      </c>
      <c r="E626" s="129" t="s">
        <v>1758</v>
      </c>
      <c r="F626" s="130">
        <v>150.0</v>
      </c>
      <c r="G626" s="129"/>
      <c r="H626" s="44" t="b">
        <v>1</v>
      </c>
    </row>
    <row r="627" hidden="1" outlineLevel="1">
      <c r="A627" s="102">
        <v>45646.0</v>
      </c>
      <c r="B627" s="97">
        <f t="shared" si="255"/>
        <v>45646</v>
      </c>
      <c r="C627" s="179" t="s">
        <v>118</v>
      </c>
      <c r="D627" s="129" t="s">
        <v>183</v>
      </c>
      <c r="E627" s="129" t="s">
        <v>1758</v>
      </c>
      <c r="F627" s="130">
        <v>150.0</v>
      </c>
      <c r="G627" s="129"/>
      <c r="H627" s="44" t="b">
        <v>1</v>
      </c>
    </row>
    <row r="628" hidden="1" outlineLevel="1">
      <c r="A628" s="10"/>
      <c r="B628" s="10"/>
      <c r="C628" s="10"/>
      <c r="D628" s="129" t="s">
        <v>1756</v>
      </c>
      <c r="E628" s="129" t="s">
        <v>469</v>
      </c>
      <c r="F628" s="130">
        <v>150.0</v>
      </c>
      <c r="G628" s="129"/>
      <c r="H628" s="44" t="b">
        <v>1</v>
      </c>
    </row>
    <row r="629" hidden="1" outlineLevel="1">
      <c r="A629" s="102">
        <v>45647.0</v>
      </c>
      <c r="B629" s="97">
        <f>A629</f>
        <v>45647</v>
      </c>
      <c r="C629" s="129" t="s">
        <v>118</v>
      </c>
      <c r="D629" s="129" t="s">
        <v>1756</v>
      </c>
      <c r="E629" s="129" t="s">
        <v>469</v>
      </c>
      <c r="F629" s="130">
        <v>150.0</v>
      </c>
      <c r="G629" s="129"/>
      <c r="H629" s="44" t="b">
        <v>1</v>
      </c>
    </row>
    <row r="630" hidden="1" outlineLevel="1">
      <c r="A630" s="10"/>
      <c r="B630" s="10"/>
      <c r="C630" s="129" t="s">
        <v>118</v>
      </c>
      <c r="D630" s="129" t="s">
        <v>1810</v>
      </c>
      <c r="E630" s="129" t="s">
        <v>1758</v>
      </c>
      <c r="F630" s="130">
        <v>0.0</v>
      </c>
      <c r="G630" s="129"/>
      <c r="H630" s="44" t="b">
        <v>1</v>
      </c>
    </row>
    <row r="631" hidden="1" outlineLevel="1">
      <c r="A631" s="102">
        <v>45648.0</v>
      </c>
      <c r="B631" s="97">
        <f>A631</f>
        <v>45648</v>
      </c>
      <c r="C631" s="179" t="s">
        <v>118</v>
      </c>
      <c r="D631" s="129" t="s">
        <v>1810</v>
      </c>
      <c r="E631" s="129" t="s">
        <v>1758</v>
      </c>
      <c r="F631" s="130">
        <v>0.0</v>
      </c>
      <c r="G631" s="129"/>
      <c r="H631" s="44" t="b">
        <v>1</v>
      </c>
    </row>
    <row r="632" hidden="1" outlineLevel="1">
      <c r="A632" s="10"/>
      <c r="B632" s="10"/>
      <c r="C632" s="296" t="s">
        <v>136</v>
      </c>
      <c r="D632" s="129" t="s">
        <v>1845</v>
      </c>
      <c r="E632" s="129" t="s">
        <v>1758</v>
      </c>
      <c r="F632" s="130">
        <v>200.0</v>
      </c>
      <c r="G632" s="129"/>
      <c r="H632" s="44" t="b">
        <v>1</v>
      </c>
    </row>
    <row r="633" hidden="1" outlineLevel="1">
      <c r="A633" s="125">
        <v>45649.0</v>
      </c>
      <c r="B633" s="126">
        <f t="shared" ref="B633:B637" si="256">A633</f>
        <v>45649</v>
      </c>
      <c r="C633" s="129" t="s">
        <v>118</v>
      </c>
      <c r="D633" s="129" t="s">
        <v>1756</v>
      </c>
      <c r="E633" s="129" t="s">
        <v>1758</v>
      </c>
      <c r="F633" s="130">
        <v>150.0</v>
      </c>
      <c r="G633" s="129"/>
      <c r="H633" s="44" t="b">
        <v>1</v>
      </c>
    </row>
    <row r="634" hidden="1" outlineLevel="1">
      <c r="A634" s="125">
        <v>45650.0</v>
      </c>
      <c r="B634" s="126">
        <f t="shared" si="256"/>
        <v>45650</v>
      </c>
      <c r="C634" s="129" t="s">
        <v>136</v>
      </c>
      <c r="D634" s="129" t="s">
        <v>1828</v>
      </c>
      <c r="E634" s="129" t="s">
        <v>1758</v>
      </c>
      <c r="F634" s="130">
        <v>200.0</v>
      </c>
      <c r="G634" s="129"/>
      <c r="H634" s="44" t="b">
        <v>1</v>
      </c>
    </row>
    <row r="635" hidden="1" outlineLevel="1">
      <c r="A635" s="125">
        <v>45651.0</v>
      </c>
      <c r="B635" s="126">
        <f t="shared" si="256"/>
        <v>45651</v>
      </c>
      <c r="C635" s="129" t="s">
        <v>136</v>
      </c>
      <c r="D635" s="129" t="s">
        <v>1828</v>
      </c>
      <c r="E635" s="129" t="s">
        <v>1758</v>
      </c>
      <c r="F635" s="130">
        <v>200.0</v>
      </c>
      <c r="G635" s="129"/>
      <c r="H635" s="44" t="b">
        <v>1</v>
      </c>
    </row>
    <row r="636" hidden="1" outlineLevel="1">
      <c r="A636" s="125">
        <v>45652.0</v>
      </c>
      <c r="B636" s="126">
        <f t="shared" si="256"/>
        <v>45652</v>
      </c>
      <c r="C636" s="129" t="s">
        <v>118</v>
      </c>
      <c r="D636" s="129" t="s">
        <v>1756</v>
      </c>
      <c r="E636" s="129" t="s">
        <v>1758</v>
      </c>
      <c r="F636" s="130">
        <v>150.0</v>
      </c>
      <c r="G636" s="129"/>
      <c r="H636" s="44" t="b">
        <v>1</v>
      </c>
    </row>
    <row r="637" hidden="1" outlineLevel="1">
      <c r="A637" s="102">
        <v>45653.0</v>
      </c>
      <c r="B637" s="97">
        <f t="shared" si="256"/>
        <v>45653</v>
      </c>
      <c r="C637" s="129" t="s">
        <v>118</v>
      </c>
      <c r="D637" s="129" t="s">
        <v>183</v>
      </c>
      <c r="E637" s="129" t="s">
        <v>1758</v>
      </c>
      <c r="F637" s="130">
        <v>150.0</v>
      </c>
      <c r="G637" s="129"/>
      <c r="H637" s="44" t="b">
        <v>1</v>
      </c>
    </row>
    <row r="638" hidden="1" outlineLevel="1">
      <c r="A638" s="10"/>
      <c r="B638" s="10"/>
      <c r="C638" s="129" t="s">
        <v>118</v>
      </c>
      <c r="D638" s="129" t="s">
        <v>1756</v>
      </c>
      <c r="E638" s="129" t="s">
        <v>469</v>
      </c>
      <c r="F638" s="130">
        <v>150.0</v>
      </c>
      <c r="G638" s="129"/>
      <c r="H638" s="44" t="b">
        <v>1</v>
      </c>
    </row>
    <row r="639" hidden="1" outlineLevel="1">
      <c r="A639" s="125">
        <v>45654.0</v>
      </c>
      <c r="B639" s="126">
        <f t="shared" ref="B639:B640" si="257">A639</f>
        <v>45654</v>
      </c>
      <c r="C639" s="129" t="s">
        <v>118</v>
      </c>
      <c r="D639" s="129" t="s">
        <v>1756</v>
      </c>
      <c r="E639" s="129" t="s">
        <v>1758</v>
      </c>
      <c r="F639" s="130">
        <v>150.0</v>
      </c>
      <c r="G639" s="129"/>
      <c r="H639" s="44" t="b">
        <v>1</v>
      </c>
    </row>
    <row r="640" hidden="1" outlineLevel="1">
      <c r="A640" s="102">
        <v>45655.0</v>
      </c>
      <c r="B640" s="97">
        <f t="shared" si="257"/>
        <v>45655</v>
      </c>
      <c r="C640" s="129" t="s">
        <v>118</v>
      </c>
      <c r="D640" s="129" t="s">
        <v>1828</v>
      </c>
      <c r="E640" s="129" t="s">
        <v>1758</v>
      </c>
      <c r="F640" s="130">
        <v>200.0</v>
      </c>
      <c r="G640" s="129"/>
      <c r="H640" s="44" t="b">
        <v>1</v>
      </c>
    </row>
    <row r="641" hidden="1" outlineLevel="1">
      <c r="A641" s="10"/>
      <c r="B641" s="10"/>
      <c r="C641" s="296" t="s">
        <v>136</v>
      </c>
      <c r="D641" s="129" t="s">
        <v>1845</v>
      </c>
      <c r="E641" s="129" t="s">
        <v>1758</v>
      </c>
      <c r="F641" s="130">
        <v>200.0</v>
      </c>
      <c r="G641" s="129"/>
      <c r="H641" s="44" t="b">
        <v>1</v>
      </c>
    </row>
    <row r="642" hidden="1" outlineLevel="1">
      <c r="A642" s="125">
        <v>45656.0</v>
      </c>
      <c r="B642" s="126">
        <f t="shared" ref="B642:B643" si="258">A642</f>
        <v>45656</v>
      </c>
      <c r="C642" s="129" t="s">
        <v>118</v>
      </c>
      <c r="D642" s="129" t="s">
        <v>1756</v>
      </c>
      <c r="E642" s="129" t="s">
        <v>1758</v>
      </c>
      <c r="F642" s="130">
        <v>150.0</v>
      </c>
      <c r="G642" s="129"/>
      <c r="H642" s="44" t="b">
        <v>1</v>
      </c>
    </row>
    <row r="643" hidden="1" outlineLevel="1">
      <c r="A643" s="125">
        <v>45657.0</v>
      </c>
      <c r="B643" s="126">
        <f t="shared" si="258"/>
        <v>45657</v>
      </c>
      <c r="C643" s="129" t="s">
        <v>118</v>
      </c>
      <c r="D643" s="129" t="s">
        <v>183</v>
      </c>
      <c r="E643" s="129" t="s">
        <v>1758</v>
      </c>
      <c r="F643" s="130">
        <v>150.0</v>
      </c>
      <c r="G643" s="129"/>
      <c r="H643" s="44" t="b">
        <v>1</v>
      </c>
    </row>
    <row r="644">
      <c r="A644" s="484" t="s">
        <v>195</v>
      </c>
      <c r="B644" s="27"/>
      <c r="C644" s="27"/>
      <c r="D644" s="27"/>
      <c r="E644" s="28"/>
      <c r="F644" s="485">
        <f>SUM(F599:F643)</f>
        <v>6800</v>
      </c>
      <c r="G644" s="486"/>
      <c r="H644" s="28"/>
    </row>
    <row r="645" collapsed="1">
      <c r="A645" s="339" t="s">
        <v>888</v>
      </c>
      <c r="B645" s="246"/>
      <c r="C645" s="246"/>
      <c r="D645" s="246"/>
      <c r="E645" s="246"/>
      <c r="F645" s="246"/>
      <c r="G645" s="246"/>
      <c r="H645" s="247"/>
    </row>
    <row r="646" hidden="1" outlineLevel="1">
      <c r="A646" s="125">
        <v>45658.0</v>
      </c>
      <c r="B646" s="126">
        <f t="shared" ref="B646:B648" si="259">A646</f>
        <v>45658</v>
      </c>
      <c r="C646" s="129" t="s">
        <v>118</v>
      </c>
      <c r="D646" s="129" t="s">
        <v>1828</v>
      </c>
      <c r="E646" s="129" t="s">
        <v>1758</v>
      </c>
      <c r="F646" s="130">
        <v>200.0</v>
      </c>
      <c r="G646" s="129"/>
      <c r="H646" s="44" t="b">
        <v>1</v>
      </c>
      <c r="K646" s="440" t="s">
        <v>2060</v>
      </c>
      <c r="L646" s="27"/>
      <c r="M646" s="27"/>
      <c r="N646" s="27"/>
      <c r="O646" s="27"/>
      <c r="P646" s="27"/>
      <c r="Q646" s="28"/>
    </row>
    <row r="647" hidden="1" outlineLevel="1">
      <c r="A647" s="125">
        <v>45659.0</v>
      </c>
      <c r="B647" s="126">
        <f t="shared" si="259"/>
        <v>45659</v>
      </c>
      <c r="C647" s="129" t="s">
        <v>118</v>
      </c>
      <c r="D647" s="129" t="s">
        <v>1756</v>
      </c>
      <c r="E647" s="129" t="s">
        <v>1758</v>
      </c>
      <c r="F647" s="130">
        <v>150.0</v>
      </c>
      <c r="G647" s="129"/>
      <c r="H647" s="44" t="b">
        <v>1</v>
      </c>
      <c r="K647" s="441" t="s">
        <v>1749</v>
      </c>
      <c r="L647" s="441" t="s">
        <v>1758</v>
      </c>
      <c r="M647" s="441" t="s">
        <v>469</v>
      </c>
      <c r="N647" s="441" t="s">
        <v>195</v>
      </c>
      <c r="O647" s="441" t="s">
        <v>1764</v>
      </c>
      <c r="P647" s="441" t="s">
        <v>1765</v>
      </c>
      <c r="Q647" s="441" t="s">
        <v>1766</v>
      </c>
      <c r="S647" s="567" t="s">
        <v>2061</v>
      </c>
      <c r="T647" s="567">
        <v>646.0</v>
      </c>
      <c r="U647" s="568" t="str">
        <f>"$D$" &amp; $T647 &amp; ":$D$" &amp; $T648</f>
        <v>$D$646:$D$689</v>
      </c>
    </row>
    <row r="648" hidden="1" outlineLevel="1">
      <c r="A648" s="102">
        <v>45660.0</v>
      </c>
      <c r="B648" s="97">
        <f t="shared" si="259"/>
        <v>45660</v>
      </c>
      <c r="C648" s="129" t="s">
        <v>118</v>
      </c>
      <c r="D648" s="129" t="s">
        <v>1756</v>
      </c>
      <c r="E648" s="129" t="s">
        <v>469</v>
      </c>
      <c r="F648" s="130">
        <v>150.0</v>
      </c>
      <c r="G648" s="129"/>
      <c r="H648" s="44" t="b">
        <v>1</v>
      </c>
      <c r="K648" s="91" t="s">
        <v>1756</v>
      </c>
      <c r="L648" s="90">
        <f t="shared" ref="L648:L660" si="260">COUNTIFS($D$646:$D$689, $K648,$E$646:$E$689,$L$600)</f>
        <v>15</v>
      </c>
      <c r="M648" s="90">
        <f t="shared" ref="M648:M660" si="261">COUNTIFS($D$646:$D$689, $K648,$E$646:$E$689,$M$600)</f>
        <v>10</v>
      </c>
      <c r="N648" s="90">
        <f t="shared" ref="N648:N659" si="262">L648+M648</f>
        <v>25</v>
      </c>
      <c r="O648" s="92">
        <f t="shared" ref="O648:O660" si="263">SUMIFS($F$646:$F$689,$D$646:$D$689,$K648)</f>
        <v>3750</v>
      </c>
      <c r="P648" s="92">
        <f t="shared" ref="P648:P660" si="264">SUMIFS($F$646:$F$689,$D$646:$D$689,$K648,$H$646:$H$689,TRUE)</f>
        <v>3750</v>
      </c>
      <c r="Q648" s="92">
        <f t="shared" ref="Q648:Q659" si="265">O648-P648</f>
        <v>0</v>
      </c>
      <c r="S648" s="567" t="s">
        <v>2062</v>
      </c>
      <c r="T648" s="567">
        <v>689.0</v>
      </c>
      <c r="U648" s="568" t="str">
        <f>"$E$" &amp; $T647 &amp; ":$E$" &amp; $T648</f>
        <v>$E$646:$E$689</v>
      </c>
    </row>
    <row r="649" hidden="1" outlineLevel="1">
      <c r="A649" s="10"/>
      <c r="B649" s="10"/>
      <c r="C649" s="129" t="s">
        <v>118</v>
      </c>
      <c r="D649" s="129" t="s">
        <v>183</v>
      </c>
      <c r="E649" s="129" t="s">
        <v>1758</v>
      </c>
      <c r="F649" s="130">
        <v>150.0</v>
      </c>
      <c r="G649" s="129"/>
      <c r="H649" s="44" t="b">
        <v>1</v>
      </c>
      <c r="K649" s="91" t="s">
        <v>1810</v>
      </c>
      <c r="L649" s="90">
        <f t="shared" si="260"/>
        <v>0</v>
      </c>
      <c r="M649" s="90">
        <f t="shared" si="261"/>
        <v>0</v>
      </c>
      <c r="N649" s="90">
        <f t="shared" si="262"/>
        <v>0</v>
      </c>
      <c r="O649" s="92">
        <f t="shared" si="263"/>
        <v>0</v>
      </c>
      <c r="P649" s="92">
        <f t="shared" si="264"/>
        <v>0</v>
      </c>
      <c r="Q649" s="92">
        <f t="shared" si="265"/>
        <v>0</v>
      </c>
      <c r="S649" s="568"/>
      <c r="T649" s="568"/>
    </row>
    <row r="650" hidden="1" outlineLevel="1">
      <c r="A650" s="125">
        <v>45661.0</v>
      </c>
      <c r="B650" s="126">
        <f t="shared" ref="B650:B651" si="266">A650</f>
        <v>45661</v>
      </c>
      <c r="C650" s="129" t="s">
        <v>118</v>
      </c>
      <c r="D650" s="129" t="s">
        <v>1756</v>
      </c>
      <c r="E650" s="129" t="s">
        <v>1758</v>
      </c>
      <c r="F650" s="130">
        <v>150.0</v>
      </c>
      <c r="G650" s="129"/>
      <c r="H650" s="44" t="b">
        <v>1</v>
      </c>
      <c r="K650" s="91" t="s">
        <v>1838</v>
      </c>
      <c r="L650" s="90">
        <f t="shared" si="260"/>
        <v>1</v>
      </c>
      <c r="M650" s="90">
        <f t="shared" si="261"/>
        <v>0</v>
      </c>
      <c r="N650" s="90">
        <f t="shared" si="262"/>
        <v>1</v>
      </c>
      <c r="O650" s="92">
        <f t="shared" si="263"/>
        <v>200</v>
      </c>
      <c r="P650" s="92">
        <f t="shared" si="264"/>
        <v>200</v>
      </c>
      <c r="Q650" s="92">
        <f t="shared" si="265"/>
        <v>0</v>
      </c>
    </row>
    <row r="651" hidden="1" outlineLevel="1">
      <c r="A651" s="102">
        <v>45662.0</v>
      </c>
      <c r="B651" s="97">
        <f t="shared" si="266"/>
        <v>45662</v>
      </c>
      <c r="C651" s="129" t="s">
        <v>118</v>
      </c>
      <c r="D651" s="129" t="s">
        <v>1828</v>
      </c>
      <c r="E651" s="129" t="s">
        <v>1758</v>
      </c>
      <c r="F651" s="130">
        <v>200.0</v>
      </c>
      <c r="G651" s="129"/>
      <c r="H651" s="44" t="b">
        <v>1</v>
      </c>
      <c r="K651" s="91" t="s">
        <v>183</v>
      </c>
      <c r="L651" s="90">
        <f t="shared" si="260"/>
        <v>10</v>
      </c>
      <c r="M651" s="90">
        <f t="shared" si="261"/>
        <v>0</v>
      </c>
      <c r="N651" s="90">
        <f t="shared" si="262"/>
        <v>10</v>
      </c>
      <c r="O651" s="92">
        <f t="shared" si="263"/>
        <v>1500</v>
      </c>
      <c r="P651" s="92">
        <f t="shared" si="264"/>
        <v>1500</v>
      </c>
      <c r="Q651" s="92">
        <f t="shared" si="265"/>
        <v>0</v>
      </c>
    </row>
    <row r="652" hidden="1" outlineLevel="1">
      <c r="A652" s="10"/>
      <c r="B652" s="10"/>
      <c r="C652" s="129" t="s">
        <v>136</v>
      </c>
      <c r="D652" s="129" t="s">
        <v>363</v>
      </c>
      <c r="E652" s="129" t="s">
        <v>1758</v>
      </c>
      <c r="F652" s="130">
        <v>200.0</v>
      </c>
      <c r="G652" s="129"/>
      <c r="H652" s="44" t="b">
        <v>1</v>
      </c>
      <c r="K652" s="91" t="s">
        <v>363</v>
      </c>
      <c r="L652" s="90">
        <f t="shared" si="260"/>
        <v>1</v>
      </c>
      <c r="M652" s="90">
        <f t="shared" si="261"/>
        <v>0</v>
      </c>
      <c r="N652" s="90">
        <f t="shared" si="262"/>
        <v>1</v>
      </c>
      <c r="O652" s="92">
        <f t="shared" si="263"/>
        <v>200</v>
      </c>
      <c r="P652" s="92">
        <f t="shared" si="264"/>
        <v>200</v>
      </c>
      <c r="Q652" s="92">
        <f t="shared" si="265"/>
        <v>0</v>
      </c>
    </row>
    <row r="653" hidden="1" outlineLevel="1">
      <c r="A653" s="125">
        <v>45663.0</v>
      </c>
      <c r="B653" s="126">
        <f t="shared" ref="B653:B654" si="267">A653</f>
        <v>45663</v>
      </c>
      <c r="C653" s="129" t="s">
        <v>118</v>
      </c>
      <c r="D653" s="129" t="s">
        <v>1756</v>
      </c>
      <c r="E653" s="129" t="s">
        <v>1758</v>
      </c>
      <c r="F653" s="130">
        <v>150.0</v>
      </c>
      <c r="G653" s="129"/>
      <c r="H653" s="44" t="b">
        <v>1</v>
      </c>
      <c r="K653" s="91" t="s">
        <v>1850</v>
      </c>
      <c r="L653" s="90">
        <f t="shared" si="260"/>
        <v>0</v>
      </c>
      <c r="M653" s="90">
        <f t="shared" si="261"/>
        <v>0</v>
      </c>
      <c r="N653" s="90">
        <f t="shared" si="262"/>
        <v>0</v>
      </c>
      <c r="O653" s="92">
        <f t="shared" si="263"/>
        <v>0</v>
      </c>
      <c r="P653" s="92">
        <f t="shared" si="264"/>
        <v>0</v>
      </c>
      <c r="Q653" s="92">
        <f t="shared" si="265"/>
        <v>0</v>
      </c>
    </row>
    <row r="654" hidden="1" outlineLevel="1">
      <c r="A654" s="102">
        <v>45664.0</v>
      </c>
      <c r="B654" s="97">
        <f t="shared" si="267"/>
        <v>45664</v>
      </c>
      <c r="C654" s="179" t="s">
        <v>118</v>
      </c>
      <c r="D654" s="129" t="s">
        <v>183</v>
      </c>
      <c r="E654" s="129" t="s">
        <v>1758</v>
      </c>
      <c r="F654" s="130">
        <v>150.0</v>
      </c>
      <c r="G654" s="129"/>
      <c r="H654" s="44" t="b">
        <v>1</v>
      </c>
      <c r="K654" s="91" t="s">
        <v>1842</v>
      </c>
      <c r="L654" s="90">
        <f t="shared" si="260"/>
        <v>0</v>
      </c>
      <c r="M654" s="90">
        <f t="shared" si="261"/>
        <v>0</v>
      </c>
      <c r="N654" s="90">
        <f t="shared" si="262"/>
        <v>0</v>
      </c>
      <c r="O654" s="92">
        <f t="shared" si="263"/>
        <v>0</v>
      </c>
      <c r="P654" s="92">
        <f t="shared" si="264"/>
        <v>0</v>
      </c>
      <c r="Q654" s="92">
        <f t="shared" si="265"/>
        <v>0</v>
      </c>
    </row>
    <row r="655" hidden="1" outlineLevel="1">
      <c r="A655" s="10"/>
      <c r="B655" s="10"/>
      <c r="C655" s="179" t="s">
        <v>118</v>
      </c>
      <c r="D655" s="129" t="s">
        <v>1756</v>
      </c>
      <c r="E655" s="129" t="s">
        <v>469</v>
      </c>
      <c r="F655" s="130">
        <v>150.0</v>
      </c>
      <c r="G655" s="129"/>
      <c r="H655" s="44" t="b">
        <v>1</v>
      </c>
      <c r="K655" s="91" t="s">
        <v>1820</v>
      </c>
      <c r="L655" s="90">
        <f t="shared" si="260"/>
        <v>0</v>
      </c>
      <c r="M655" s="90">
        <f t="shared" si="261"/>
        <v>0</v>
      </c>
      <c r="N655" s="90">
        <f t="shared" si="262"/>
        <v>0</v>
      </c>
      <c r="O655" s="92">
        <f t="shared" si="263"/>
        <v>0</v>
      </c>
      <c r="P655" s="92">
        <f t="shared" si="264"/>
        <v>0</v>
      </c>
      <c r="Q655" s="92">
        <f t="shared" si="265"/>
        <v>0</v>
      </c>
    </row>
    <row r="656" hidden="1" outlineLevel="1">
      <c r="A656" s="125">
        <v>45665.0</v>
      </c>
      <c r="B656" s="126">
        <f t="shared" ref="B656:B658" si="268">A656</f>
        <v>45665</v>
      </c>
      <c r="C656" s="179" t="s">
        <v>118</v>
      </c>
      <c r="D656" s="129" t="s">
        <v>1756</v>
      </c>
      <c r="E656" s="129" t="s">
        <v>1758</v>
      </c>
      <c r="F656" s="130">
        <v>150.0</v>
      </c>
      <c r="G656" s="129"/>
      <c r="H656" s="44" t="b">
        <v>1</v>
      </c>
      <c r="K656" s="91" t="s">
        <v>1828</v>
      </c>
      <c r="L656" s="90">
        <f t="shared" si="260"/>
        <v>5</v>
      </c>
      <c r="M656" s="90">
        <f t="shared" si="261"/>
        <v>0</v>
      </c>
      <c r="N656" s="90">
        <f t="shared" si="262"/>
        <v>5</v>
      </c>
      <c r="O656" s="92">
        <f t="shared" si="263"/>
        <v>1000</v>
      </c>
      <c r="P656" s="92">
        <f t="shared" si="264"/>
        <v>1000</v>
      </c>
      <c r="Q656" s="92">
        <f t="shared" si="265"/>
        <v>0</v>
      </c>
    </row>
    <row r="657" hidden="1" outlineLevel="1">
      <c r="A657" s="125">
        <v>45666.0</v>
      </c>
      <c r="B657" s="126">
        <f t="shared" si="268"/>
        <v>45666</v>
      </c>
      <c r="C657" s="129" t="s">
        <v>118</v>
      </c>
      <c r="D657" s="129" t="s">
        <v>1756</v>
      </c>
      <c r="E657" s="129" t="s">
        <v>1758</v>
      </c>
      <c r="F657" s="130">
        <v>150.0</v>
      </c>
      <c r="G657" s="129"/>
      <c r="H657" s="44" t="b">
        <v>1</v>
      </c>
      <c r="K657" s="91" t="s">
        <v>1845</v>
      </c>
      <c r="L657" s="90">
        <f t="shared" si="260"/>
        <v>2</v>
      </c>
      <c r="M657" s="90">
        <f t="shared" si="261"/>
        <v>0</v>
      </c>
      <c r="N657" s="90">
        <f t="shared" si="262"/>
        <v>2</v>
      </c>
      <c r="O657" s="92">
        <f t="shared" si="263"/>
        <v>400</v>
      </c>
      <c r="P657" s="92">
        <f t="shared" si="264"/>
        <v>400</v>
      </c>
      <c r="Q657" s="92">
        <f t="shared" si="265"/>
        <v>0</v>
      </c>
    </row>
    <row r="658" hidden="1" outlineLevel="1">
      <c r="A658" s="102">
        <v>45667.0</v>
      </c>
      <c r="B658" s="97">
        <f t="shared" si="268"/>
        <v>45667</v>
      </c>
      <c r="C658" s="179" t="s">
        <v>118</v>
      </c>
      <c r="D658" s="129" t="s">
        <v>183</v>
      </c>
      <c r="E658" s="129" t="s">
        <v>1758</v>
      </c>
      <c r="F658" s="130">
        <v>150.0</v>
      </c>
      <c r="G658" s="129"/>
      <c r="H658" s="44" t="b">
        <v>1</v>
      </c>
      <c r="K658" s="91" t="s">
        <v>562</v>
      </c>
      <c r="L658" s="90">
        <f t="shared" si="260"/>
        <v>0</v>
      </c>
      <c r="M658" s="90">
        <f t="shared" si="261"/>
        <v>0</v>
      </c>
      <c r="N658" s="90">
        <f t="shared" si="262"/>
        <v>0</v>
      </c>
      <c r="O658" s="92">
        <f t="shared" si="263"/>
        <v>0</v>
      </c>
      <c r="P658" s="92">
        <f t="shared" si="264"/>
        <v>0</v>
      </c>
      <c r="Q658" s="92">
        <f t="shared" si="265"/>
        <v>0</v>
      </c>
    </row>
    <row r="659" hidden="1" outlineLevel="1">
      <c r="A659" s="10"/>
      <c r="B659" s="10"/>
      <c r="C659" s="179" t="s">
        <v>118</v>
      </c>
      <c r="D659" s="129" t="s">
        <v>1756</v>
      </c>
      <c r="E659" s="129" t="s">
        <v>469</v>
      </c>
      <c r="F659" s="130">
        <v>150.0</v>
      </c>
      <c r="G659" s="129"/>
      <c r="H659" s="44" t="b">
        <v>1</v>
      </c>
      <c r="K659" s="91" t="s">
        <v>1761</v>
      </c>
      <c r="L659" s="90">
        <f t="shared" si="260"/>
        <v>0</v>
      </c>
      <c r="M659" s="90">
        <f t="shared" si="261"/>
        <v>0</v>
      </c>
      <c r="N659" s="90">
        <f t="shared" si="262"/>
        <v>0</v>
      </c>
      <c r="O659" s="92">
        <f t="shared" si="263"/>
        <v>0</v>
      </c>
      <c r="P659" s="92">
        <f t="shared" si="264"/>
        <v>0</v>
      </c>
      <c r="Q659" s="92">
        <f t="shared" si="265"/>
        <v>0</v>
      </c>
    </row>
    <row r="660" hidden="1" outlineLevel="1">
      <c r="A660" s="125">
        <v>45668.0</v>
      </c>
      <c r="B660" s="126">
        <f t="shared" ref="B660:B661" si="269">A660</f>
        <v>45668</v>
      </c>
      <c r="C660" s="296" t="s">
        <v>136</v>
      </c>
      <c r="D660" s="129" t="s">
        <v>1756</v>
      </c>
      <c r="E660" s="129" t="s">
        <v>1758</v>
      </c>
      <c r="F660" s="130">
        <v>150.0</v>
      </c>
      <c r="G660" s="129"/>
      <c r="H660" s="44" t="b">
        <v>1</v>
      </c>
      <c r="K660" s="91"/>
      <c r="L660" s="90">
        <f t="shared" si="260"/>
        <v>0</v>
      </c>
      <c r="M660" s="90">
        <f t="shared" si="261"/>
        <v>0</v>
      </c>
      <c r="N660" s="90"/>
      <c r="O660" s="92">
        <f t="shared" si="263"/>
        <v>0</v>
      </c>
      <c r="P660" s="92">
        <f t="shared" si="264"/>
        <v>0</v>
      </c>
      <c r="Q660" s="90"/>
    </row>
    <row r="661" hidden="1" outlineLevel="1">
      <c r="A661" s="102">
        <v>45669.0</v>
      </c>
      <c r="B661" s="97">
        <f t="shared" si="269"/>
        <v>45669</v>
      </c>
      <c r="C661" s="129" t="s">
        <v>118</v>
      </c>
      <c r="D661" s="129" t="s">
        <v>1828</v>
      </c>
      <c r="E661" s="129" t="s">
        <v>1758</v>
      </c>
      <c r="F661" s="130">
        <v>200.0</v>
      </c>
      <c r="G661" s="129"/>
      <c r="H661" s="44" t="b">
        <v>1</v>
      </c>
      <c r="K661" s="91"/>
      <c r="L661" s="90"/>
      <c r="M661" s="90"/>
      <c r="N661" s="90"/>
      <c r="O661" s="92"/>
      <c r="P661" s="92"/>
      <c r="Q661" s="90"/>
    </row>
    <row r="662" hidden="1" outlineLevel="1">
      <c r="A662" s="10"/>
      <c r="B662" s="10"/>
      <c r="C662" s="129" t="s">
        <v>136</v>
      </c>
      <c r="D662" s="129" t="s">
        <v>1845</v>
      </c>
      <c r="E662" s="129" t="s">
        <v>1758</v>
      </c>
      <c r="F662" s="130">
        <v>200.0</v>
      </c>
      <c r="G662" s="129"/>
      <c r="H662" s="44" t="b">
        <v>1</v>
      </c>
      <c r="K662" s="276"/>
      <c r="L662" s="90"/>
      <c r="M662" s="276"/>
      <c r="N662" s="276"/>
      <c r="O662" s="276"/>
      <c r="P662" s="276"/>
      <c r="Q662" s="276"/>
    </row>
    <row r="663" hidden="1" outlineLevel="1">
      <c r="A663" s="125">
        <v>45670.0</v>
      </c>
      <c r="B663" s="126">
        <f t="shared" ref="B663:B664" si="270">A663</f>
        <v>45670</v>
      </c>
      <c r="C663" s="179" t="s">
        <v>118</v>
      </c>
      <c r="D663" s="129" t="s">
        <v>183</v>
      </c>
      <c r="E663" s="129" t="s">
        <v>1758</v>
      </c>
      <c r="F663" s="130">
        <v>150.0</v>
      </c>
      <c r="G663" s="129"/>
      <c r="H663" s="44" t="b">
        <v>1</v>
      </c>
      <c r="K663" s="276"/>
      <c r="L663" s="90"/>
      <c r="M663" s="276"/>
      <c r="N663" s="276"/>
      <c r="O663" s="276"/>
      <c r="P663" s="276"/>
      <c r="Q663" s="276"/>
    </row>
    <row r="664" hidden="1" outlineLevel="1">
      <c r="A664" s="102">
        <v>45671.0</v>
      </c>
      <c r="B664" s="97">
        <f t="shared" si="270"/>
        <v>45671</v>
      </c>
      <c r="C664" s="179" t="s">
        <v>118</v>
      </c>
      <c r="D664" s="129" t="s">
        <v>1756</v>
      </c>
      <c r="E664" s="129" t="s">
        <v>469</v>
      </c>
      <c r="F664" s="130">
        <v>150.0</v>
      </c>
      <c r="G664" s="129"/>
      <c r="H664" s="44" t="b">
        <v>1</v>
      </c>
      <c r="K664" s="91"/>
      <c r="L664" s="90"/>
      <c r="M664" s="90"/>
      <c r="N664" s="90"/>
      <c r="O664" s="92"/>
      <c r="P664" s="92"/>
      <c r="Q664" s="90"/>
    </row>
    <row r="665" hidden="1" outlineLevel="1">
      <c r="A665" s="10"/>
      <c r="B665" s="10"/>
      <c r="C665" s="179" t="s">
        <v>118</v>
      </c>
      <c r="D665" s="129" t="s">
        <v>183</v>
      </c>
      <c r="E665" s="129" t="s">
        <v>1758</v>
      </c>
      <c r="F665" s="130">
        <v>150.0</v>
      </c>
      <c r="G665" s="129"/>
      <c r="H665" s="44" t="b">
        <v>1</v>
      </c>
      <c r="K665" s="477" t="s">
        <v>195</v>
      </c>
      <c r="L665" s="478">
        <f t="shared" ref="L665:Q665" si="271">SUM(L648:L664)</f>
        <v>34</v>
      </c>
      <c r="M665" s="478">
        <f t="shared" si="271"/>
        <v>10</v>
      </c>
      <c r="N665" s="478">
        <f t="shared" si="271"/>
        <v>44</v>
      </c>
      <c r="O665" s="479">
        <f t="shared" si="271"/>
        <v>7050</v>
      </c>
      <c r="P665" s="479">
        <f t="shared" si="271"/>
        <v>7050</v>
      </c>
      <c r="Q665" s="479">
        <f t="shared" si="271"/>
        <v>0</v>
      </c>
    </row>
    <row r="666" hidden="1" outlineLevel="1">
      <c r="A666" s="125">
        <v>45672.0</v>
      </c>
      <c r="B666" s="126">
        <f t="shared" ref="B666:B668" si="272">A666</f>
        <v>45672</v>
      </c>
      <c r="C666" s="129" t="s">
        <v>118</v>
      </c>
      <c r="D666" s="129" t="s">
        <v>1756</v>
      </c>
      <c r="E666" s="129" t="s">
        <v>1758</v>
      </c>
      <c r="F666" s="130">
        <v>150.0</v>
      </c>
      <c r="G666" s="129"/>
      <c r="H666" s="44" t="b">
        <v>1</v>
      </c>
      <c r="K666" s="452"/>
      <c r="L666" s="51"/>
      <c r="M666" s="51"/>
      <c r="N666" s="51"/>
      <c r="O666" s="237"/>
      <c r="P666" s="237"/>
      <c r="Q666" s="51"/>
    </row>
    <row r="667" hidden="1" outlineLevel="1">
      <c r="A667" s="125">
        <v>45673.0</v>
      </c>
      <c r="B667" s="126">
        <f t="shared" si="272"/>
        <v>45673</v>
      </c>
      <c r="C667" s="129" t="s">
        <v>136</v>
      </c>
      <c r="D667" s="129" t="s">
        <v>1756</v>
      </c>
      <c r="E667" s="129" t="s">
        <v>1758</v>
      </c>
      <c r="F667" s="130">
        <v>150.0</v>
      </c>
      <c r="G667" s="129"/>
      <c r="H667" s="44" t="b">
        <v>1</v>
      </c>
      <c r="L667" s="51"/>
    </row>
    <row r="668" hidden="1" outlineLevel="1">
      <c r="A668" s="102">
        <v>45674.0</v>
      </c>
      <c r="B668" s="97">
        <f t="shared" si="272"/>
        <v>45674</v>
      </c>
      <c r="C668" s="129" t="s">
        <v>118</v>
      </c>
      <c r="D668" s="129" t="s">
        <v>1756</v>
      </c>
      <c r="E668" s="129" t="s">
        <v>469</v>
      </c>
      <c r="F668" s="130">
        <v>150.0</v>
      </c>
      <c r="G668" s="129"/>
      <c r="H668" s="44" t="b">
        <v>1</v>
      </c>
      <c r="L668" s="51"/>
    </row>
    <row r="669" hidden="1" outlineLevel="1">
      <c r="A669" s="10"/>
      <c r="B669" s="10"/>
      <c r="C669" s="129" t="s">
        <v>118</v>
      </c>
      <c r="D669" s="129" t="s">
        <v>183</v>
      </c>
      <c r="E669" s="129" t="s">
        <v>1758</v>
      </c>
      <c r="F669" s="130">
        <v>150.0</v>
      </c>
      <c r="G669" s="129"/>
      <c r="H669" s="44" t="b">
        <v>1</v>
      </c>
      <c r="L669" s="51"/>
    </row>
    <row r="670" hidden="1" outlineLevel="1">
      <c r="A670" s="125">
        <v>45675.0</v>
      </c>
      <c r="B670" s="126">
        <f t="shared" ref="B670:B671" si="273">A670</f>
        <v>45675</v>
      </c>
      <c r="C670" s="179" t="s">
        <v>118</v>
      </c>
      <c r="D670" s="129" t="s">
        <v>1756</v>
      </c>
      <c r="E670" s="129" t="s">
        <v>1758</v>
      </c>
      <c r="F670" s="130">
        <v>150.0</v>
      </c>
      <c r="G670" s="129"/>
      <c r="H670" s="44" t="b">
        <v>1</v>
      </c>
      <c r="K670" s="452"/>
      <c r="L670" s="51"/>
      <c r="M670" s="51"/>
      <c r="N670" s="51"/>
      <c r="O670" s="237"/>
      <c r="P670" s="237"/>
      <c r="Q670" s="51"/>
    </row>
    <row r="671" hidden="1" outlineLevel="1">
      <c r="A671" s="102">
        <v>45676.0</v>
      </c>
      <c r="B671" s="97">
        <f t="shared" si="273"/>
        <v>45676</v>
      </c>
      <c r="C671" s="179" t="s">
        <v>118</v>
      </c>
      <c r="D671" s="129" t="s">
        <v>1828</v>
      </c>
      <c r="E671" s="129" t="s">
        <v>1758</v>
      </c>
      <c r="F671" s="130">
        <v>200.0</v>
      </c>
      <c r="G671" s="129"/>
      <c r="H671" s="44" t="b">
        <v>1</v>
      </c>
      <c r="K671" s="452"/>
      <c r="L671" s="51"/>
      <c r="M671" s="51"/>
      <c r="N671" s="51"/>
      <c r="O671" s="554"/>
      <c r="P671" s="554"/>
      <c r="Q671" s="554"/>
    </row>
    <row r="672" hidden="1" outlineLevel="1">
      <c r="A672" s="10"/>
      <c r="B672" s="10"/>
      <c r="C672" s="296" t="s">
        <v>136</v>
      </c>
      <c r="D672" s="129" t="s">
        <v>1838</v>
      </c>
      <c r="E672" s="129" t="s">
        <v>1758</v>
      </c>
      <c r="F672" s="130">
        <v>200.0</v>
      </c>
      <c r="G672" s="129"/>
      <c r="H672" s="44" t="b">
        <v>1</v>
      </c>
      <c r="K672" s="452"/>
      <c r="L672" s="51"/>
      <c r="M672" s="51"/>
      <c r="N672" s="51"/>
      <c r="O672" s="554"/>
      <c r="P672" s="554"/>
      <c r="Q672" s="554"/>
    </row>
    <row r="673" hidden="1" outlineLevel="1">
      <c r="A673" s="125">
        <v>45677.0</v>
      </c>
      <c r="B673" s="126">
        <f t="shared" ref="B673:B674" si="274">A673</f>
        <v>45677</v>
      </c>
      <c r="C673" s="129" t="s">
        <v>118</v>
      </c>
      <c r="D673" s="129" t="s">
        <v>1756</v>
      </c>
      <c r="E673" s="129" t="s">
        <v>1758</v>
      </c>
      <c r="F673" s="130">
        <v>150.0</v>
      </c>
      <c r="G673" s="129"/>
      <c r="H673" s="44" t="b">
        <v>1</v>
      </c>
    </row>
    <row r="674" hidden="1" outlineLevel="1">
      <c r="A674" s="102">
        <v>45678.0</v>
      </c>
      <c r="B674" s="97">
        <f t="shared" si="274"/>
        <v>45678</v>
      </c>
      <c r="C674" s="179" t="s">
        <v>118</v>
      </c>
      <c r="D674" s="129" t="s">
        <v>183</v>
      </c>
      <c r="E674" s="129" t="s">
        <v>1758</v>
      </c>
      <c r="F674" s="130">
        <v>150.0</v>
      </c>
      <c r="G674" s="129"/>
      <c r="H674" s="44" t="b">
        <v>1</v>
      </c>
    </row>
    <row r="675" hidden="1" outlineLevel="1">
      <c r="A675" s="10"/>
      <c r="B675" s="10"/>
      <c r="C675" s="179" t="s">
        <v>118</v>
      </c>
      <c r="D675" s="129" t="s">
        <v>1756</v>
      </c>
      <c r="E675" s="129" t="s">
        <v>469</v>
      </c>
      <c r="F675" s="130">
        <v>150.0</v>
      </c>
      <c r="G675" s="129"/>
      <c r="H675" s="44" t="b">
        <v>1</v>
      </c>
    </row>
    <row r="676" hidden="1" outlineLevel="1">
      <c r="A676" s="125">
        <v>45679.0</v>
      </c>
      <c r="B676" s="126">
        <f t="shared" ref="B676:B678" si="275">A676</f>
        <v>45679</v>
      </c>
      <c r="C676" s="296" t="s">
        <v>136</v>
      </c>
      <c r="D676" s="129" t="s">
        <v>1756</v>
      </c>
      <c r="E676" s="129" t="s">
        <v>1758</v>
      </c>
      <c r="F676" s="130">
        <v>150.0</v>
      </c>
      <c r="G676" s="129"/>
      <c r="H676" s="44" t="b">
        <v>1</v>
      </c>
    </row>
    <row r="677" hidden="1" outlineLevel="1">
      <c r="A677" s="125">
        <v>45680.0</v>
      </c>
      <c r="B677" s="126">
        <f t="shared" si="275"/>
        <v>45680</v>
      </c>
      <c r="C677" s="129" t="s">
        <v>118</v>
      </c>
      <c r="D677" s="129" t="s">
        <v>1756</v>
      </c>
      <c r="E677" s="129" t="s">
        <v>1758</v>
      </c>
      <c r="F677" s="130">
        <v>150.0</v>
      </c>
      <c r="G677" s="129"/>
      <c r="H677" s="44" t="b">
        <v>1</v>
      </c>
    </row>
    <row r="678" hidden="1" outlineLevel="1">
      <c r="A678" s="102">
        <v>45681.0</v>
      </c>
      <c r="B678" s="97">
        <f t="shared" si="275"/>
        <v>45681</v>
      </c>
      <c r="C678" s="179" t="s">
        <v>118</v>
      </c>
      <c r="D678" s="129" t="s">
        <v>183</v>
      </c>
      <c r="E678" s="129" t="s">
        <v>1758</v>
      </c>
      <c r="F678" s="130">
        <v>150.0</v>
      </c>
      <c r="G678" s="129"/>
      <c r="H678" s="44" t="b">
        <v>1</v>
      </c>
    </row>
    <row r="679" hidden="1" outlineLevel="1">
      <c r="A679" s="10"/>
      <c r="B679" s="10"/>
      <c r="C679" s="179" t="s">
        <v>118</v>
      </c>
      <c r="D679" s="129" t="s">
        <v>1756</v>
      </c>
      <c r="E679" s="129" t="s">
        <v>469</v>
      </c>
      <c r="F679" s="130">
        <v>150.0</v>
      </c>
      <c r="G679" s="129"/>
      <c r="H679" s="44" t="b">
        <v>1</v>
      </c>
    </row>
    <row r="680" hidden="1" outlineLevel="1">
      <c r="A680" s="125">
        <v>45682.0</v>
      </c>
      <c r="B680" s="126">
        <f t="shared" ref="B680:B681" si="276">A680</f>
        <v>45682</v>
      </c>
      <c r="C680" s="179" t="s">
        <v>118</v>
      </c>
      <c r="D680" s="129" t="s">
        <v>1756</v>
      </c>
      <c r="E680" s="129" t="s">
        <v>469</v>
      </c>
      <c r="F680" s="130">
        <v>150.0</v>
      </c>
      <c r="G680" s="129"/>
      <c r="H680" s="44" t="b">
        <v>1</v>
      </c>
    </row>
    <row r="681" hidden="1" outlineLevel="1">
      <c r="A681" s="102">
        <v>45683.0</v>
      </c>
      <c r="B681" s="97">
        <f t="shared" si="276"/>
        <v>45683</v>
      </c>
      <c r="C681" s="129" t="s">
        <v>118</v>
      </c>
      <c r="D681" s="129" t="s">
        <v>1828</v>
      </c>
      <c r="E681" s="129" t="s">
        <v>1758</v>
      </c>
      <c r="F681" s="130">
        <v>200.0</v>
      </c>
      <c r="G681" s="129"/>
      <c r="H681" s="44" t="b">
        <v>1</v>
      </c>
    </row>
    <row r="682" hidden="1" outlineLevel="1">
      <c r="A682" s="10"/>
      <c r="B682" s="10"/>
      <c r="C682" s="129" t="s">
        <v>136</v>
      </c>
      <c r="D682" s="129" t="s">
        <v>1845</v>
      </c>
      <c r="E682" s="129" t="s">
        <v>1758</v>
      </c>
      <c r="F682" s="130">
        <v>200.0</v>
      </c>
      <c r="G682" s="129"/>
      <c r="H682" s="44" t="b">
        <v>1</v>
      </c>
    </row>
    <row r="683" hidden="1" outlineLevel="1">
      <c r="A683" s="125">
        <v>45684.0</v>
      </c>
      <c r="B683" s="126">
        <f t="shared" ref="B683:B684" si="277">A683</f>
        <v>45684</v>
      </c>
      <c r="C683" s="129" t="s">
        <v>118</v>
      </c>
      <c r="D683" s="129" t="s">
        <v>1756</v>
      </c>
      <c r="E683" s="129" t="s">
        <v>1758</v>
      </c>
      <c r="F683" s="130">
        <v>150.0</v>
      </c>
      <c r="G683" s="129"/>
      <c r="H683" s="44" t="b">
        <v>1</v>
      </c>
    </row>
    <row r="684" hidden="1" outlineLevel="1">
      <c r="A684" s="102">
        <v>45685.0</v>
      </c>
      <c r="B684" s="97">
        <f t="shared" si="277"/>
        <v>45685</v>
      </c>
      <c r="C684" s="179" t="s">
        <v>118</v>
      </c>
      <c r="D684" s="129" t="s">
        <v>183</v>
      </c>
      <c r="E684" s="129" t="s">
        <v>1758</v>
      </c>
      <c r="F684" s="130">
        <v>150.0</v>
      </c>
      <c r="G684" s="129"/>
      <c r="H684" s="44" t="b">
        <v>1</v>
      </c>
    </row>
    <row r="685" hidden="1" outlineLevel="1">
      <c r="A685" s="10"/>
      <c r="B685" s="10"/>
      <c r="C685" s="179" t="s">
        <v>118</v>
      </c>
      <c r="D685" s="129" t="s">
        <v>1756</v>
      </c>
      <c r="E685" s="129" t="s">
        <v>469</v>
      </c>
      <c r="F685" s="130">
        <v>150.0</v>
      </c>
      <c r="G685" s="129"/>
      <c r="H685" s="44" t="b">
        <v>1</v>
      </c>
    </row>
    <row r="686" hidden="1" outlineLevel="1">
      <c r="A686" s="125">
        <v>45686.0</v>
      </c>
      <c r="B686" s="126">
        <f t="shared" ref="B686:B688" si="278">A686</f>
        <v>45686</v>
      </c>
      <c r="C686" s="179" t="s">
        <v>118</v>
      </c>
      <c r="D686" s="129" t="s">
        <v>1756</v>
      </c>
      <c r="E686" s="129" t="s">
        <v>1758</v>
      </c>
      <c r="F686" s="130">
        <v>150.0</v>
      </c>
      <c r="G686" s="129"/>
      <c r="H686" s="44" t="b">
        <v>1</v>
      </c>
    </row>
    <row r="687" hidden="1" outlineLevel="1">
      <c r="A687" s="125">
        <v>45687.0</v>
      </c>
      <c r="B687" s="126">
        <f t="shared" si="278"/>
        <v>45687</v>
      </c>
      <c r="C687" s="129" t="s">
        <v>118</v>
      </c>
      <c r="D687" s="129" t="s">
        <v>1756</v>
      </c>
      <c r="E687" s="129" t="s">
        <v>1758</v>
      </c>
      <c r="F687" s="130">
        <v>150.0</v>
      </c>
      <c r="G687" s="129"/>
      <c r="H687" s="44" t="b">
        <v>1</v>
      </c>
    </row>
    <row r="688" hidden="1" outlineLevel="1">
      <c r="A688" s="102">
        <v>45688.0</v>
      </c>
      <c r="B688" s="97">
        <f t="shared" si="278"/>
        <v>45688</v>
      </c>
      <c r="C688" s="179" t="s">
        <v>118</v>
      </c>
      <c r="D688" s="129" t="s">
        <v>1756</v>
      </c>
      <c r="E688" s="129" t="s">
        <v>469</v>
      </c>
      <c r="F688" s="130">
        <v>150.0</v>
      </c>
      <c r="G688" s="129"/>
      <c r="H688" s="44" t="b">
        <v>1</v>
      </c>
    </row>
    <row r="689" hidden="1" outlineLevel="1">
      <c r="A689" s="10"/>
      <c r="B689" s="10"/>
      <c r="C689" s="179" t="s">
        <v>118</v>
      </c>
      <c r="D689" s="129" t="s">
        <v>183</v>
      </c>
      <c r="E689" s="129" t="s">
        <v>1758</v>
      </c>
      <c r="F689" s="130">
        <v>150.0</v>
      </c>
      <c r="G689" s="129"/>
      <c r="H689" s="44" t="b">
        <v>1</v>
      </c>
    </row>
    <row r="690">
      <c r="A690" s="484" t="s">
        <v>195</v>
      </c>
      <c r="B690" s="27"/>
      <c r="C690" s="27"/>
      <c r="D690" s="27"/>
      <c r="E690" s="28"/>
      <c r="F690" s="485">
        <f>SUM(F646:F689)</f>
        <v>7050</v>
      </c>
      <c r="G690" s="486"/>
      <c r="H690" s="28"/>
    </row>
    <row r="691" collapsed="1">
      <c r="A691" s="339" t="s">
        <v>927</v>
      </c>
      <c r="B691" s="246"/>
      <c r="C691" s="246"/>
      <c r="D691" s="246"/>
      <c r="E691" s="246"/>
      <c r="F691" s="246"/>
      <c r="G691" s="246"/>
      <c r="H691" s="247"/>
    </row>
    <row r="692" hidden="1" outlineLevel="1">
      <c r="A692" s="125">
        <v>45689.0</v>
      </c>
      <c r="B692" s="126">
        <f t="shared" ref="B692:B693" si="279">A692</f>
        <v>45689</v>
      </c>
      <c r="C692" s="129" t="s">
        <v>118</v>
      </c>
      <c r="D692" s="129" t="s">
        <v>1756</v>
      </c>
      <c r="E692" s="129" t="s">
        <v>1758</v>
      </c>
      <c r="F692" s="130">
        <v>150.0</v>
      </c>
      <c r="G692" s="129"/>
      <c r="H692" s="44" t="b">
        <v>1</v>
      </c>
      <c r="K692" s="440" t="s">
        <v>2063</v>
      </c>
      <c r="L692" s="27"/>
      <c r="M692" s="27"/>
      <c r="N692" s="27"/>
      <c r="O692" s="27"/>
      <c r="P692" s="27"/>
      <c r="Q692" s="28"/>
    </row>
    <row r="693" hidden="1" outlineLevel="1">
      <c r="A693" s="102">
        <v>45690.0</v>
      </c>
      <c r="B693" s="97">
        <f t="shared" si="279"/>
        <v>45690</v>
      </c>
      <c r="C693" s="129" t="s">
        <v>118</v>
      </c>
      <c r="D693" s="129" t="s">
        <v>1828</v>
      </c>
      <c r="E693" s="129" t="s">
        <v>1758</v>
      </c>
      <c r="F693" s="130">
        <v>200.0</v>
      </c>
      <c r="G693" s="129"/>
      <c r="H693" s="44" t="b">
        <v>1</v>
      </c>
      <c r="K693" s="441" t="s">
        <v>1749</v>
      </c>
      <c r="L693" s="441" t="s">
        <v>1758</v>
      </c>
      <c r="M693" s="441" t="s">
        <v>469</v>
      </c>
      <c r="N693" s="441" t="s">
        <v>195</v>
      </c>
      <c r="O693" s="441" t="s">
        <v>1764</v>
      </c>
      <c r="P693" s="441" t="s">
        <v>1765</v>
      </c>
      <c r="Q693" s="441" t="s">
        <v>1766</v>
      </c>
    </row>
    <row r="694" hidden="1" outlineLevel="1">
      <c r="A694" s="10"/>
      <c r="B694" s="10"/>
      <c r="C694" s="129" t="s">
        <v>136</v>
      </c>
      <c r="D694" s="129" t="s">
        <v>1838</v>
      </c>
      <c r="E694" s="129" t="s">
        <v>1758</v>
      </c>
      <c r="F694" s="130">
        <v>200.0</v>
      </c>
      <c r="G694" s="129"/>
      <c r="H694" s="44" t="b">
        <v>1</v>
      </c>
      <c r="K694" s="91" t="s">
        <v>1756</v>
      </c>
      <c r="L694" s="90">
        <f t="shared" ref="L694:L706" si="280">COUNTIFS($D$692:$D$732, $K694,$E$692:$E$732,$L$693)</f>
        <v>14</v>
      </c>
      <c r="M694" s="90">
        <f t="shared" ref="M694:M706" si="281">COUNTIFS($D$692:$D$732, $K694,$E$692:$E$732,$M$693)</f>
        <v>9</v>
      </c>
      <c r="N694" s="90">
        <f t="shared" ref="N694:N705" si="282">L694+M694</f>
        <v>23</v>
      </c>
      <c r="O694" s="92">
        <f t="shared" ref="O694:O706" si="283">SUMIFS($F$692:$F$732,$D$692:$D$732,$K694)</f>
        <v>3450</v>
      </c>
      <c r="P694" s="92">
        <f t="shared" ref="P694:P706" si="284">SUMIFS($F$692:$F$732,$D$692:$D$732,$K694,$H$692:$H$732,TRUE)</f>
        <v>3450</v>
      </c>
      <c r="Q694" s="92">
        <f t="shared" ref="Q694:Q705" si="285">O694-P694</f>
        <v>0</v>
      </c>
    </row>
    <row r="695" hidden="1" outlineLevel="1">
      <c r="A695" s="125">
        <v>45691.0</v>
      </c>
      <c r="B695" s="126">
        <f t="shared" ref="B695:B696" si="286">A695</f>
        <v>45691</v>
      </c>
      <c r="C695" s="129" t="s">
        <v>118</v>
      </c>
      <c r="D695" s="129" t="s">
        <v>1756</v>
      </c>
      <c r="E695" s="129" t="s">
        <v>1758</v>
      </c>
      <c r="F695" s="130">
        <v>150.0</v>
      </c>
      <c r="G695" s="129"/>
      <c r="H695" s="44" t="b">
        <v>1</v>
      </c>
      <c r="K695" s="91" t="s">
        <v>1810</v>
      </c>
      <c r="L695" s="90">
        <f t="shared" si="280"/>
        <v>4</v>
      </c>
      <c r="M695" s="90">
        <f t="shared" si="281"/>
        <v>0</v>
      </c>
      <c r="N695" s="90">
        <f t="shared" si="282"/>
        <v>4</v>
      </c>
      <c r="O695" s="92">
        <f t="shared" si="283"/>
        <v>0</v>
      </c>
      <c r="P695" s="92">
        <f t="shared" si="284"/>
        <v>0</v>
      </c>
      <c r="Q695" s="92">
        <f t="shared" si="285"/>
        <v>0</v>
      </c>
    </row>
    <row r="696" hidden="1" outlineLevel="1">
      <c r="A696" s="102">
        <v>45692.0</v>
      </c>
      <c r="B696" s="97">
        <f t="shared" si="286"/>
        <v>45692</v>
      </c>
      <c r="C696" s="129" t="s">
        <v>118</v>
      </c>
      <c r="D696" s="129" t="s">
        <v>1756</v>
      </c>
      <c r="E696" s="129" t="s">
        <v>469</v>
      </c>
      <c r="F696" s="130">
        <v>150.0</v>
      </c>
      <c r="G696" s="129"/>
      <c r="H696" s="44" t="b">
        <v>1</v>
      </c>
      <c r="K696" s="91" t="s">
        <v>1838</v>
      </c>
      <c r="L696" s="90">
        <f t="shared" si="280"/>
        <v>1</v>
      </c>
      <c r="M696" s="90">
        <f t="shared" si="281"/>
        <v>0</v>
      </c>
      <c r="N696" s="90">
        <f t="shared" si="282"/>
        <v>1</v>
      </c>
      <c r="O696" s="92">
        <f t="shared" si="283"/>
        <v>200</v>
      </c>
      <c r="P696" s="92">
        <f t="shared" si="284"/>
        <v>200</v>
      </c>
      <c r="Q696" s="92">
        <f t="shared" si="285"/>
        <v>0</v>
      </c>
    </row>
    <row r="697" hidden="1" outlineLevel="1">
      <c r="A697" s="10"/>
      <c r="B697" s="10"/>
      <c r="C697" s="129" t="s">
        <v>118</v>
      </c>
      <c r="D697" s="129" t="s">
        <v>183</v>
      </c>
      <c r="E697" s="129" t="s">
        <v>1758</v>
      </c>
      <c r="F697" s="130">
        <v>150.0</v>
      </c>
      <c r="G697" s="129"/>
      <c r="H697" s="44" t="b">
        <v>1</v>
      </c>
      <c r="K697" s="91" t="s">
        <v>183</v>
      </c>
      <c r="L697" s="90">
        <f t="shared" si="280"/>
        <v>7</v>
      </c>
      <c r="M697" s="90">
        <f t="shared" si="281"/>
        <v>0</v>
      </c>
      <c r="N697" s="90">
        <f t="shared" si="282"/>
        <v>7</v>
      </c>
      <c r="O697" s="92">
        <f t="shared" si="283"/>
        <v>1050</v>
      </c>
      <c r="P697" s="92">
        <f t="shared" si="284"/>
        <v>1050</v>
      </c>
      <c r="Q697" s="92">
        <f t="shared" si="285"/>
        <v>0</v>
      </c>
    </row>
    <row r="698" hidden="1" outlineLevel="1">
      <c r="A698" s="125">
        <v>45693.0</v>
      </c>
      <c r="B698" s="126">
        <f t="shared" ref="B698:B700" si="287">A698</f>
        <v>45693</v>
      </c>
      <c r="C698" s="129" t="s">
        <v>118</v>
      </c>
      <c r="D698" s="129" t="s">
        <v>1756</v>
      </c>
      <c r="E698" s="129" t="s">
        <v>1758</v>
      </c>
      <c r="F698" s="130">
        <v>150.0</v>
      </c>
      <c r="G698" s="129"/>
      <c r="H698" s="44" t="b">
        <v>1</v>
      </c>
      <c r="K698" s="91" t="s">
        <v>363</v>
      </c>
      <c r="L698" s="90">
        <f t="shared" si="280"/>
        <v>1</v>
      </c>
      <c r="M698" s="90">
        <f t="shared" si="281"/>
        <v>0</v>
      </c>
      <c r="N698" s="90">
        <f t="shared" si="282"/>
        <v>1</v>
      </c>
      <c r="O698" s="92">
        <f t="shared" si="283"/>
        <v>200</v>
      </c>
      <c r="P698" s="92">
        <f t="shared" si="284"/>
        <v>200</v>
      </c>
      <c r="Q698" s="92">
        <f t="shared" si="285"/>
        <v>0</v>
      </c>
    </row>
    <row r="699" hidden="1" outlineLevel="1">
      <c r="A699" s="125">
        <v>45694.0</v>
      </c>
      <c r="B699" s="126">
        <f t="shared" si="287"/>
        <v>45694</v>
      </c>
      <c r="C699" s="129" t="s">
        <v>118</v>
      </c>
      <c r="D699" s="129" t="s">
        <v>1756</v>
      </c>
      <c r="E699" s="129" t="s">
        <v>1758</v>
      </c>
      <c r="F699" s="130">
        <v>150.0</v>
      </c>
      <c r="G699" s="129"/>
      <c r="H699" s="44" t="b">
        <v>1</v>
      </c>
      <c r="K699" s="91" t="s">
        <v>1850</v>
      </c>
      <c r="L699" s="90">
        <f t="shared" si="280"/>
        <v>0</v>
      </c>
      <c r="M699" s="90">
        <f t="shared" si="281"/>
        <v>0</v>
      </c>
      <c r="N699" s="90">
        <f t="shared" si="282"/>
        <v>0</v>
      </c>
      <c r="O699" s="92">
        <f t="shared" si="283"/>
        <v>0</v>
      </c>
      <c r="P699" s="92">
        <f t="shared" si="284"/>
        <v>0</v>
      </c>
      <c r="Q699" s="92">
        <f t="shared" si="285"/>
        <v>0</v>
      </c>
    </row>
    <row r="700" hidden="1" outlineLevel="1">
      <c r="A700" s="102">
        <v>45695.0</v>
      </c>
      <c r="B700" s="97">
        <f t="shared" si="287"/>
        <v>45695</v>
      </c>
      <c r="C700" s="129" t="s">
        <v>118</v>
      </c>
      <c r="D700" s="129" t="s">
        <v>1756</v>
      </c>
      <c r="E700" s="129" t="s">
        <v>469</v>
      </c>
      <c r="F700" s="130">
        <v>150.0</v>
      </c>
      <c r="G700" s="129"/>
      <c r="H700" s="44" t="b">
        <v>1</v>
      </c>
      <c r="K700" s="91" t="s">
        <v>1842</v>
      </c>
      <c r="L700" s="90">
        <f t="shared" si="280"/>
        <v>0</v>
      </c>
      <c r="M700" s="90">
        <f t="shared" si="281"/>
        <v>0</v>
      </c>
      <c r="N700" s="90">
        <f t="shared" si="282"/>
        <v>0</v>
      </c>
      <c r="O700" s="92">
        <f t="shared" si="283"/>
        <v>0</v>
      </c>
      <c r="P700" s="92">
        <f t="shared" si="284"/>
        <v>0</v>
      </c>
      <c r="Q700" s="92">
        <f t="shared" si="285"/>
        <v>0</v>
      </c>
    </row>
    <row r="701" hidden="1" outlineLevel="1">
      <c r="A701" s="10"/>
      <c r="B701" s="10"/>
      <c r="C701" s="129" t="s">
        <v>118</v>
      </c>
      <c r="D701" s="129" t="s">
        <v>183</v>
      </c>
      <c r="E701" s="129" t="s">
        <v>1758</v>
      </c>
      <c r="F701" s="130">
        <v>150.0</v>
      </c>
      <c r="G701" s="129"/>
      <c r="H701" s="44" t="b">
        <v>1</v>
      </c>
      <c r="K701" s="91" t="s">
        <v>1820</v>
      </c>
      <c r="L701" s="90">
        <f t="shared" si="280"/>
        <v>0</v>
      </c>
      <c r="M701" s="90">
        <f t="shared" si="281"/>
        <v>0</v>
      </c>
      <c r="N701" s="90">
        <f t="shared" si="282"/>
        <v>0</v>
      </c>
      <c r="O701" s="92">
        <f t="shared" si="283"/>
        <v>0</v>
      </c>
      <c r="P701" s="92">
        <f t="shared" si="284"/>
        <v>0</v>
      </c>
      <c r="Q701" s="92">
        <f t="shared" si="285"/>
        <v>0</v>
      </c>
    </row>
    <row r="702" hidden="1" outlineLevel="1">
      <c r="A702" s="125">
        <v>45696.0</v>
      </c>
      <c r="B702" s="126">
        <f t="shared" ref="B702:B703" si="288">A702</f>
        <v>45696</v>
      </c>
      <c r="C702" s="129" t="s">
        <v>118</v>
      </c>
      <c r="D702" s="129" t="s">
        <v>1756</v>
      </c>
      <c r="E702" s="129" t="s">
        <v>1758</v>
      </c>
      <c r="F702" s="130">
        <v>150.0</v>
      </c>
      <c r="G702" s="129"/>
      <c r="H702" s="44" t="b">
        <v>1</v>
      </c>
      <c r="K702" s="91" t="s">
        <v>1828</v>
      </c>
      <c r="L702" s="90">
        <f t="shared" si="280"/>
        <v>3</v>
      </c>
      <c r="M702" s="90">
        <f t="shared" si="281"/>
        <v>0</v>
      </c>
      <c r="N702" s="90">
        <f t="shared" si="282"/>
        <v>3</v>
      </c>
      <c r="O702" s="92">
        <f t="shared" si="283"/>
        <v>600</v>
      </c>
      <c r="P702" s="92">
        <f t="shared" si="284"/>
        <v>600</v>
      </c>
      <c r="Q702" s="92">
        <f t="shared" si="285"/>
        <v>0</v>
      </c>
    </row>
    <row r="703" hidden="1" outlineLevel="1">
      <c r="A703" s="102">
        <v>45697.0</v>
      </c>
      <c r="B703" s="97">
        <f t="shared" si="288"/>
        <v>45697</v>
      </c>
      <c r="C703" s="129" t="s">
        <v>118</v>
      </c>
      <c r="D703" s="129" t="s">
        <v>1828</v>
      </c>
      <c r="E703" s="129" t="s">
        <v>1758</v>
      </c>
      <c r="F703" s="130">
        <v>200.0</v>
      </c>
      <c r="G703" s="129"/>
      <c r="H703" s="44" t="b">
        <v>1</v>
      </c>
      <c r="K703" s="91" t="s">
        <v>1845</v>
      </c>
      <c r="L703" s="90">
        <f t="shared" si="280"/>
        <v>2</v>
      </c>
      <c r="M703" s="90">
        <f t="shared" si="281"/>
        <v>0</v>
      </c>
      <c r="N703" s="90">
        <f t="shared" si="282"/>
        <v>2</v>
      </c>
      <c r="O703" s="92">
        <f t="shared" si="283"/>
        <v>400</v>
      </c>
      <c r="P703" s="92">
        <f t="shared" si="284"/>
        <v>400</v>
      </c>
      <c r="Q703" s="92">
        <f t="shared" si="285"/>
        <v>0</v>
      </c>
    </row>
    <row r="704" hidden="1" outlineLevel="1">
      <c r="A704" s="10"/>
      <c r="B704" s="10"/>
      <c r="C704" s="129" t="s">
        <v>136</v>
      </c>
      <c r="D704" s="129" t="s">
        <v>1845</v>
      </c>
      <c r="E704" s="129" t="s">
        <v>1758</v>
      </c>
      <c r="F704" s="130">
        <v>200.0</v>
      </c>
      <c r="G704" s="129"/>
      <c r="H704" s="44" t="b">
        <v>1</v>
      </c>
      <c r="K704" s="91" t="s">
        <v>562</v>
      </c>
      <c r="L704" s="90">
        <f t="shared" si="280"/>
        <v>0</v>
      </c>
      <c r="M704" s="90">
        <f t="shared" si="281"/>
        <v>0</v>
      </c>
      <c r="N704" s="90">
        <f t="shared" si="282"/>
        <v>0</v>
      </c>
      <c r="O704" s="92">
        <f t="shared" si="283"/>
        <v>0</v>
      </c>
      <c r="P704" s="92">
        <f t="shared" si="284"/>
        <v>0</v>
      </c>
      <c r="Q704" s="92">
        <f t="shared" si="285"/>
        <v>0</v>
      </c>
    </row>
    <row r="705" hidden="1" outlineLevel="1">
      <c r="A705" s="125">
        <v>45698.0</v>
      </c>
      <c r="B705" s="126">
        <f t="shared" ref="B705:B706" si="289">A705</f>
        <v>45698</v>
      </c>
      <c r="C705" s="129" t="s">
        <v>118</v>
      </c>
      <c r="D705" s="129" t="s">
        <v>1756</v>
      </c>
      <c r="E705" s="129" t="s">
        <v>1758</v>
      </c>
      <c r="F705" s="130">
        <v>150.0</v>
      </c>
      <c r="G705" s="129"/>
      <c r="H705" s="44" t="b">
        <v>1</v>
      </c>
      <c r="K705" s="91" t="s">
        <v>1761</v>
      </c>
      <c r="L705" s="90">
        <f t="shared" si="280"/>
        <v>0</v>
      </c>
      <c r="M705" s="90">
        <f t="shared" si="281"/>
        <v>0</v>
      </c>
      <c r="N705" s="90">
        <f t="shared" si="282"/>
        <v>0</v>
      </c>
      <c r="O705" s="92">
        <f t="shared" si="283"/>
        <v>0</v>
      </c>
      <c r="P705" s="92">
        <f t="shared" si="284"/>
        <v>0</v>
      </c>
      <c r="Q705" s="92">
        <f t="shared" si="285"/>
        <v>0</v>
      </c>
    </row>
    <row r="706" hidden="1" outlineLevel="1">
      <c r="A706" s="102">
        <v>45699.0</v>
      </c>
      <c r="B706" s="97">
        <f t="shared" si="289"/>
        <v>45699</v>
      </c>
      <c r="C706" s="129" t="s">
        <v>118</v>
      </c>
      <c r="D706" s="129" t="s">
        <v>1756</v>
      </c>
      <c r="E706" s="129" t="s">
        <v>469</v>
      </c>
      <c r="F706" s="130">
        <v>150.0</v>
      </c>
      <c r="G706" s="129"/>
      <c r="H706" s="44" t="b">
        <v>1</v>
      </c>
      <c r="K706" s="91"/>
      <c r="L706" s="90">
        <f t="shared" si="280"/>
        <v>0</v>
      </c>
      <c r="M706" s="90">
        <f t="shared" si="281"/>
        <v>0</v>
      </c>
      <c r="N706" s="90"/>
      <c r="O706" s="92">
        <f t="shared" si="283"/>
        <v>0</v>
      </c>
      <c r="P706" s="92">
        <f t="shared" si="284"/>
        <v>0</v>
      </c>
      <c r="Q706" s="90"/>
    </row>
    <row r="707" hidden="1" outlineLevel="1">
      <c r="A707" s="10"/>
      <c r="B707" s="10"/>
      <c r="C707" s="129" t="s">
        <v>118</v>
      </c>
      <c r="D707" s="129" t="s">
        <v>183</v>
      </c>
      <c r="E707" s="129" t="s">
        <v>1758</v>
      </c>
      <c r="F707" s="130">
        <v>150.0</v>
      </c>
      <c r="G707" s="129"/>
      <c r="H707" s="44" t="b">
        <v>1</v>
      </c>
      <c r="K707" s="91"/>
      <c r="L707" s="90"/>
      <c r="M707" s="90"/>
      <c r="N707" s="90"/>
      <c r="O707" s="92"/>
      <c r="P707" s="92"/>
      <c r="Q707" s="90"/>
    </row>
    <row r="708" hidden="1" outlineLevel="1">
      <c r="A708" s="125">
        <v>45700.0</v>
      </c>
      <c r="B708" s="126">
        <f t="shared" ref="B708:B710" si="290">A708</f>
        <v>45700</v>
      </c>
      <c r="C708" s="129" t="s">
        <v>118</v>
      </c>
      <c r="D708" s="129" t="s">
        <v>1756</v>
      </c>
      <c r="E708" s="129" t="s">
        <v>1758</v>
      </c>
      <c r="F708" s="130">
        <v>150.0</v>
      </c>
      <c r="G708" s="129"/>
      <c r="H708" s="44" t="b">
        <v>1</v>
      </c>
      <c r="K708" s="276"/>
      <c r="L708" s="90"/>
      <c r="M708" s="276"/>
      <c r="N708" s="276"/>
      <c r="O708" s="276"/>
      <c r="P708" s="276"/>
      <c r="Q708" s="276"/>
    </row>
    <row r="709" hidden="1" outlineLevel="1">
      <c r="A709" s="125">
        <v>45701.0</v>
      </c>
      <c r="B709" s="126">
        <f t="shared" si="290"/>
        <v>45701</v>
      </c>
      <c r="C709" s="129" t="s">
        <v>118</v>
      </c>
      <c r="D709" s="129" t="s">
        <v>1810</v>
      </c>
      <c r="E709" s="129" t="s">
        <v>1758</v>
      </c>
      <c r="F709" s="130">
        <v>0.0</v>
      </c>
      <c r="G709" s="129" t="s">
        <v>1898</v>
      </c>
      <c r="H709" s="44" t="b">
        <v>1</v>
      </c>
      <c r="K709" s="276"/>
      <c r="L709" s="90"/>
      <c r="M709" s="276"/>
      <c r="N709" s="276"/>
      <c r="O709" s="276"/>
      <c r="P709" s="276"/>
      <c r="Q709" s="276"/>
    </row>
    <row r="710" hidden="1" outlineLevel="1">
      <c r="A710" s="102">
        <v>45702.0</v>
      </c>
      <c r="B710" s="97">
        <f t="shared" si="290"/>
        <v>45702</v>
      </c>
      <c r="C710" s="129" t="s">
        <v>118</v>
      </c>
      <c r="D710" s="129" t="s">
        <v>1756</v>
      </c>
      <c r="E710" s="129" t="s">
        <v>469</v>
      </c>
      <c r="F710" s="130">
        <v>150.0</v>
      </c>
      <c r="G710" s="129"/>
      <c r="H710" s="44" t="b">
        <v>1</v>
      </c>
      <c r="K710" s="91"/>
      <c r="L710" s="90"/>
      <c r="M710" s="90"/>
      <c r="N710" s="90"/>
      <c r="O710" s="92"/>
      <c r="P710" s="92"/>
      <c r="Q710" s="90"/>
    </row>
    <row r="711" hidden="1" outlineLevel="1">
      <c r="A711" s="10"/>
      <c r="B711" s="10"/>
      <c r="C711" s="129" t="s">
        <v>118</v>
      </c>
      <c r="D711" s="129" t="s">
        <v>1810</v>
      </c>
      <c r="E711" s="129" t="s">
        <v>1758</v>
      </c>
      <c r="F711" s="130">
        <v>0.0</v>
      </c>
      <c r="G711" s="129" t="s">
        <v>1898</v>
      </c>
      <c r="H711" s="44" t="b">
        <v>1</v>
      </c>
      <c r="K711" s="477" t="s">
        <v>195</v>
      </c>
      <c r="L711" s="478">
        <f t="shared" ref="L711:Q711" si="291">SUM(L694:L710)</f>
        <v>32</v>
      </c>
      <c r="M711" s="478">
        <f t="shared" si="291"/>
        <v>9</v>
      </c>
      <c r="N711" s="478">
        <f t="shared" si="291"/>
        <v>41</v>
      </c>
      <c r="O711" s="479">
        <f t="shared" si="291"/>
        <v>5900</v>
      </c>
      <c r="P711" s="479">
        <f t="shared" si="291"/>
        <v>5900</v>
      </c>
      <c r="Q711" s="479">
        <f t="shared" si="291"/>
        <v>0</v>
      </c>
    </row>
    <row r="712" hidden="1" outlineLevel="1">
      <c r="A712" s="102">
        <v>45703.0</v>
      </c>
      <c r="B712" s="97">
        <f>A712</f>
        <v>45703</v>
      </c>
      <c r="C712" s="129" t="s">
        <v>118</v>
      </c>
      <c r="D712" s="129" t="s">
        <v>1756</v>
      </c>
      <c r="E712" s="129" t="s">
        <v>469</v>
      </c>
      <c r="F712" s="130">
        <v>150.0</v>
      </c>
      <c r="G712" s="129"/>
      <c r="H712" s="44" t="b">
        <v>1</v>
      </c>
    </row>
    <row r="713" hidden="1" outlineLevel="1">
      <c r="A713" s="10"/>
      <c r="B713" s="10"/>
      <c r="C713" s="129" t="s">
        <v>118</v>
      </c>
      <c r="D713" s="129" t="s">
        <v>1810</v>
      </c>
      <c r="E713" s="129" t="s">
        <v>1758</v>
      </c>
      <c r="F713" s="130">
        <v>0.0</v>
      </c>
      <c r="G713" s="129" t="s">
        <v>1898</v>
      </c>
      <c r="H713" s="44" t="b">
        <v>1</v>
      </c>
    </row>
    <row r="714" hidden="1" outlineLevel="1">
      <c r="A714" s="102">
        <v>45704.0</v>
      </c>
      <c r="B714" s="97">
        <f>A714</f>
        <v>45704</v>
      </c>
      <c r="C714" s="129" t="s">
        <v>118</v>
      </c>
      <c r="D714" s="129" t="s">
        <v>1810</v>
      </c>
      <c r="E714" s="129" t="s">
        <v>1758</v>
      </c>
      <c r="F714" s="130">
        <v>0.0</v>
      </c>
      <c r="G714" s="129" t="s">
        <v>1898</v>
      </c>
      <c r="H714" s="44" t="b">
        <v>1</v>
      </c>
    </row>
    <row r="715" hidden="1" outlineLevel="1">
      <c r="A715" s="10"/>
      <c r="B715" s="10"/>
      <c r="C715" s="129" t="s">
        <v>136</v>
      </c>
      <c r="D715" s="129" t="s">
        <v>1845</v>
      </c>
      <c r="E715" s="129" t="s">
        <v>1758</v>
      </c>
      <c r="F715" s="130">
        <v>200.0</v>
      </c>
      <c r="G715" s="129"/>
      <c r="H715" s="44" t="b">
        <v>1</v>
      </c>
    </row>
    <row r="716" hidden="1" outlineLevel="1">
      <c r="A716" s="125">
        <v>45705.0</v>
      </c>
      <c r="B716" s="126">
        <f t="shared" ref="B716:B717" si="292">A716</f>
        <v>45705</v>
      </c>
      <c r="C716" s="129" t="s">
        <v>118</v>
      </c>
      <c r="D716" s="129" t="s">
        <v>1756</v>
      </c>
      <c r="E716" s="129" t="s">
        <v>1758</v>
      </c>
      <c r="F716" s="130">
        <v>150.0</v>
      </c>
      <c r="G716" s="129"/>
      <c r="H716" s="44" t="b">
        <v>1</v>
      </c>
    </row>
    <row r="717" hidden="1" outlineLevel="1">
      <c r="A717" s="102">
        <v>45706.0</v>
      </c>
      <c r="B717" s="97">
        <f t="shared" si="292"/>
        <v>45706</v>
      </c>
      <c r="C717" s="129" t="s">
        <v>118</v>
      </c>
      <c r="D717" s="129" t="s">
        <v>1756</v>
      </c>
      <c r="E717" s="129" t="s">
        <v>469</v>
      </c>
      <c r="F717" s="130">
        <v>150.0</v>
      </c>
      <c r="G717" s="129"/>
      <c r="H717" s="44" t="b">
        <v>1</v>
      </c>
    </row>
    <row r="718" hidden="1" outlineLevel="1">
      <c r="A718" s="10"/>
      <c r="B718" s="10"/>
      <c r="C718" s="129" t="s">
        <v>118</v>
      </c>
      <c r="D718" s="129" t="s">
        <v>183</v>
      </c>
      <c r="E718" s="129" t="s">
        <v>1758</v>
      </c>
      <c r="F718" s="130">
        <v>150.0</v>
      </c>
      <c r="G718" s="129"/>
      <c r="H718" s="44" t="b">
        <v>1</v>
      </c>
    </row>
    <row r="719" hidden="1" outlineLevel="1">
      <c r="A719" s="125">
        <v>45707.0</v>
      </c>
      <c r="B719" s="126">
        <f t="shared" ref="B719:B721" si="293">A719</f>
        <v>45707</v>
      </c>
      <c r="C719" s="129" t="s">
        <v>118</v>
      </c>
      <c r="D719" s="129" t="s">
        <v>1756</v>
      </c>
      <c r="E719" s="129" t="s">
        <v>1758</v>
      </c>
      <c r="F719" s="130">
        <v>150.0</v>
      </c>
      <c r="G719" s="129"/>
      <c r="H719" s="44" t="b">
        <v>1</v>
      </c>
    </row>
    <row r="720" hidden="1" outlineLevel="1">
      <c r="A720" s="125">
        <v>45708.0</v>
      </c>
      <c r="B720" s="126">
        <f t="shared" si="293"/>
        <v>45708</v>
      </c>
      <c r="C720" s="129" t="s">
        <v>118</v>
      </c>
      <c r="D720" s="129" t="s">
        <v>1756</v>
      </c>
      <c r="E720" s="129" t="s">
        <v>1758</v>
      </c>
      <c r="F720" s="130">
        <v>150.0</v>
      </c>
      <c r="G720" s="129"/>
      <c r="H720" s="44" t="b">
        <v>1</v>
      </c>
    </row>
    <row r="721" hidden="1" outlineLevel="1">
      <c r="A721" s="102">
        <v>45709.0</v>
      </c>
      <c r="B721" s="97">
        <f t="shared" si="293"/>
        <v>45709</v>
      </c>
      <c r="C721" s="129" t="s">
        <v>118</v>
      </c>
      <c r="D721" s="129" t="s">
        <v>1756</v>
      </c>
      <c r="E721" s="129" t="s">
        <v>469</v>
      </c>
      <c r="F721" s="130">
        <v>150.0</v>
      </c>
      <c r="G721" s="129"/>
      <c r="H721" s="44" t="b">
        <v>1</v>
      </c>
    </row>
    <row r="722" hidden="1" outlineLevel="1">
      <c r="A722" s="10"/>
      <c r="B722" s="10"/>
      <c r="C722" s="129" t="s">
        <v>118</v>
      </c>
      <c r="D722" s="129" t="s">
        <v>183</v>
      </c>
      <c r="E722" s="129" t="s">
        <v>1758</v>
      </c>
      <c r="F722" s="130">
        <v>150.0</v>
      </c>
      <c r="G722" s="129"/>
      <c r="H722" s="44" t="b">
        <v>1</v>
      </c>
    </row>
    <row r="723" hidden="1" outlineLevel="1">
      <c r="A723" s="125">
        <v>45710.0</v>
      </c>
      <c r="B723" s="126">
        <f t="shared" ref="B723:B724" si="294">A723</f>
        <v>45710</v>
      </c>
      <c r="C723" s="129" t="s">
        <v>118</v>
      </c>
      <c r="D723" s="129" t="s">
        <v>1756</v>
      </c>
      <c r="E723" s="129" t="s">
        <v>1758</v>
      </c>
      <c r="F723" s="130">
        <v>150.0</v>
      </c>
      <c r="G723" s="129"/>
      <c r="H723" s="44" t="b">
        <v>1</v>
      </c>
    </row>
    <row r="724" hidden="1" outlineLevel="1">
      <c r="A724" s="102">
        <v>45711.0</v>
      </c>
      <c r="B724" s="97">
        <f t="shared" si="294"/>
        <v>45711</v>
      </c>
      <c r="C724" s="129" t="s">
        <v>118</v>
      </c>
      <c r="D724" s="129" t="s">
        <v>1828</v>
      </c>
      <c r="E724" s="129" t="s">
        <v>1758</v>
      </c>
      <c r="F724" s="130">
        <v>200.0</v>
      </c>
      <c r="G724" s="129"/>
      <c r="H724" s="44" t="b">
        <v>1</v>
      </c>
    </row>
    <row r="725" hidden="1" outlineLevel="1">
      <c r="A725" s="10"/>
      <c r="B725" s="10"/>
      <c r="C725" s="129" t="s">
        <v>136</v>
      </c>
      <c r="D725" s="129" t="s">
        <v>363</v>
      </c>
      <c r="E725" s="129" t="s">
        <v>1758</v>
      </c>
      <c r="F725" s="130">
        <v>200.0</v>
      </c>
      <c r="G725" s="129"/>
      <c r="H725" s="44" t="b">
        <v>1</v>
      </c>
    </row>
    <row r="726" hidden="1" outlineLevel="1">
      <c r="A726" s="125">
        <v>45712.0</v>
      </c>
      <c r="B726" s="126">
        <f t="shared" ref="B726:B727" si="295">A726</f>
        <v>45712</v>
      </c>
      <c r="C726" s="129" t="s">
        <v>118</v>
      </c>
      <c r="D726" s="129" t="s">
        <v>1756</v>
      </c>
      <c r="E726" s="129" t="s">
        <v>1758</v>
      </c>
      <c r="F726" s="130">
        <v>150.0</v>
      </c>
      <c r="G726" s="129"/>
      <c r="H726" s="44" t="b">
        <v>1</v>
      </c>
    </row>
    <row r="727" hidden="1" outlineLevel="1">
      <c r="A727" s="102">
        <v>45713.0</v>
      </c>
      <c r="B727" s="97">
        <f t="shared" si="295"/>
        <v>45713</v>
      </c>
      <c r="C727" s="129" t="s">
        <v>118</v>
      </c>
      <c r="D727" s="129" t="s">
        <v>1756</v>
      </c>
      <c r="E727" s="129" t="s">
        <v>469</v>
      </c>
      <c r="F727" s="130">
        <v>150.0</v>
      </c>
      <c r="G727" s="129"/>
      <c r="H727" s="44" t="b">
        <v>1</v>
      </c>
    </row>
    <row r="728" hidden="1" outlineLevel="1">
      <c r="A728" s="10"/>
      <c r="B728" s="10"/>
      <c r="C728" s="129" t="s">
        <v>118</v>
      </c>
      <c r="D728" s="129" t="s">
        <v>183</v>
      </c>
      <c r="E728" s="129" t="s">
        <v>1758</v>
      </c>
      <c r="F728" s="130">
        <v>150.0</v>
      </c>
      <c r="G728" s="129"/>
      <c r="H728" s="44" t="b">
        <v>1</v>
      </c>
    </row>
    <row r="729" hidden="1" outlineLevel="1">
      <c r="A729" s="125">
        <v>45714.0</v>
      </c>
      <c r="B729" s="126">
        <f t="shared" ref="B729:B731" si="296">A729</f>
        <v>45714</v>
      </c>
      <c r="C729" s="129" t="s">
        <v>118</v>
      </c>
      <c r="D729" s="129" t="s">
        <v>1756</v>
      </c>
      <c r="E729" s="129" t="s">
        <v>1758</v>
      </c>
      <c r="F729" s="130">
        <v>150.0</v>
      </c>
      <c r="G729" s="129"/>
      <c r="H729" s="44" t="b">
        <v>1</v>
      </c>
    </row>
    <row r="730" hidden="1" outlineLevel="1">
      <c r="A730" s="125">
        <v>45715.0</v>
      </c>
      <c r="B730" s="126">
        <f t="shared" si="296"/>
        <v>45715</v>
      </c>
      <c r="C730" s="129" t="s">
        <v>118</v>
      </c>
      <c r="D730" s="129" t="s">
        <v>1756</v>
      </c>
      <c r="E730" s="129" t="s">
        <v>1758</v>
      </c>
      <c r="F730" s="130">
        <v>150.0</v>
      </c>
      <c r="G730" s="129"/>
      <c r="H730" s="44" t="b">
        <v>1</v>
      </c>
    </row>
    <row r="731" hidden="1" outlineLevel="1">
      <c r="A731" s="102">
        <v>45716.0</v>
      </c>
      <c r="B731" s="97">
        <f t="shared" si="296"/>
        <v>45716</v>
      </c>
      <c r="C731" s="129" t="s">
        <v>118</v>
      </c>
      <c r="D731" s="129" t="s">
        <v>1756</v>
      </c>
      <c r="E731" s="129" t="s">
        <v>469</v>
      </c>
      <c r="F731" s="130">
        <v>150.0</v>
      </c>
      <c r="G731" s="129"/>
      <c r="H731" s="44" t="b">
        <v>1</v>
      </c>
    </row>
    <row r="732" hidden="1" outlineLevel="1">
      <c r="A732" s="10"/>
      <c r="B732" s="10"/>
      <c r="C732" s="129" t="s">
        <v>118</v>
      </c>
      <c r="D732" s="129" t="s">
        <v>183</v>
      </c>
      <c r="E732" s="129" t="s">
        <v>1758</v>
      </c>
      <c r="F732" s="130">
        <v>150.0</v>
      </c>
      <c r="G732" s="129"/>
      <c r="H732" s="44" t="b">
        <v>1</v>
      </c>
    </row>
    <row r="733">
      <c r="A733" s="484" t="s">
        <v>195</v>
      </c>
      <c r="B733" s="27"/>
      <c r="C733" s="27"/>
      <c r="D733" s="27"/>
      <c r="E733" s="28"/>
      <c r="F733" s="485">
        <f>SUM(F692:F732)</f>
        <v>5900</v>
      </c>
      <c r="G733" s="486"/>
      <c r="H733" s="28"/>
    </row>
    <row r="734" collapsed="1">
      <c r="A734" s="339" t="s">
        <v>960</v>
      </c>
      <c r="B734" s="246"/>
      <c r="C734" s="246"/>
      <c r="D734" s="246"/>
      <c r="E734" s="246"/>
      <c r="F734" s="246"/>
      <c r="G734" s="246"/>
      <c r="H734" s="247"/>
    </row>
    <row r="735" hidden="1" outlineLevel="1">
      <c r="A735" s="125">
        <v>45717.0</v>
      </c>
      <c r="B735" s="126">
        <f t="shared" ref="B735:B736" si="297">A735</f>
        <v>45717</v>
      </c>
      <c r="C735" s="129" t="s">
        <v>118</v>
      </c>
      <c r="D735" s="129" t="s">
        <v>1756</v>
      </c>
      <c r="E735" s="129" t="s">
        <v>1758</v>
      </c>
      <c r="F735" s="130">
        <v>150.0</v>
      </c>
      <c r="G735" s="129"/>
      <c r="H735" s="44" t="b">
        <v>1</v>
      </c>
      <c r="K735" s="440" t="s">
        <v>2064</v>
      </c>
      <c r="L735" s="27"/>
      <c r="M735" s="27"/>
      <c r="N735" s="27"/>
      <c r="O735" s="27"/>
      <c r="P735" s="27"/>
      <c r="Q735" s="28"/>
    </row>
    <row r="736" hidden="1" outlineLevel="1">
      <c r="A736" s="102">
        <v>45718.0</v>
      </c>
      <c r="B736" s="97">
        <f t="shared" si="297"/>
        <v>45718</v>
      </c>
      <c r="C736" s="129" t="s">
        <v>118</v>
      </c>
      <c r="D736" s="129" t="s">
        <v>1818</v>
      </c>
      <c r="E736" s="129" t="s">
        <v>1758</v>
      </c>
      <c r="F736" s="130">
        <v>200.0</v>
      </c>
      <c r="G736" s="129"/>
      <c r="H736" s="44" t="b">
        <v>1</v>
      </c>
      <c r="K736" s="441" t="s">
        <v>1749</v>
      </c>
      <c r="L736" s="441" t="s">
        <v>1758</v>
      </c>
      <c r="M736" s="441" t="s">
        <v>469</v>
      </c>
      <c r="N736" s="441" t="s">
        <v>195</v>
      </c>
      <c r="O736" s="441" t="s">
        <v>1764</v>
      </c>
      <c r="P736" s="441" t="s">
        <v>1765</v>
      </c>
      <c r="Q736" s="441" t="s">
        <v>1766</v>
      </c>
    </row>
    <row r="737" hidden="1" outlineLevel="1">
      <c r="A737" s="10"/>
      <c r="B737" s="10"/>
      <c r="C737" s="129" t="s">
        <v>136</v>
      </c>
      <c r="D737" s="129" t="s">
        <v>363</v>
      </c>
      <c r="E737" s="129" t="s">
        <v>1758</v>
      </c>
      <c r="F737" s="130">
        <v>200.0</v>
      </c>
      <c r="G737" s="129"/>
      <c r="H737" s="44" t="b">
        <v>1</v>
      </c>
      <c r="K737" s="91" t="s">
        <v>1756</v>
      </c>
      <c r="L737" s="90">
        <f t="shared" ref="L737:L749" si="298">COUNTIFS($D$735:$D$778, $K737,$E$735:$E$778,$L$736)</f>
        <v>15</v>
      </c>
      <c r="M737" s="90">
        <f t="shared" ref="M737:M749" si="299">COUNTIFS($D$735:$D$778, $K737,$E$735:$E$778,$M$736)</f>
        <v>8</v>
      </c>
      <c r="N737" s="90">
        <f t="shared" ref="N737:N748" si="300">L737+M737</f>
        <v>23</v>
      </c>
      <c r="O737" s="92">
        <f t="shared" ref="O737:O749" si="301">SUMIFS($F$735:$F$778,$D$735:$D$778,$K737)</f>
        <v>3450</v>
      </c>
      <c r="P737" s="92">
        <f t="shared" ref="P737:P749" si="302">SUMIFS($F$735:$F$778,$D$735:$D$778,$K737,$H$735:$H$778,TRUE)</f>
        <v>3450</v>
      </c>
      <c r="Q737" s="92">
        <f t="shared" ref="Q737:Q748" si="303">O737-P737</f>
        <v>0</v>
      </c>
    </row>
    <row r="738" hidden="1" outlineLevel="1">
      <c r="A738" s="299">
        <v>45719.0</v>
      </c>
      <c r="B738" s="197">
        <f t="shared" ref="B738:B739" si="304">A738</f>
        <v>45719</v>
      </c>
      <c r="C738" s="200" t="s">
        <v>118</v>
      </c>
      <c r="D738" s="200"/>
      <c r="E738" s="200"/>
      <c r="F738" s="201">
        <v>0.0</v>
      </c>
      <c r="G738" s="200" t="s">
        <v>421</v>
      </c>
      <c r="H738" s="557" t="b">
        <v>1</v>
      </c>
      <c r="K738" s="91" t="s">
        <v>1810</v>
      </c>
      <c r="L738" s="90">
        <f t="shared" si="298"/>
        <v>0</v>
      </c>
      <c r="M738" s="90">
        <f t="shared" si="299"/>
        <v>0</v>
      </c>
      <c r="N738" s="90">
        <f t="shared" si="300"/>
        <v>0</v>
      </c>
      <c r="O738" s="92">
        <f t="shared" si="301"/>
        <v>0</v>
      </c>
      <c r="P738" s="92">
        <f t="shared" si="302"/>
        <v>0</v>
      </c>
      <c r="Q738" s="92">
        <f t="shared" si="303"/>
        <v>0</v>
      </c>
    </row>
    <row r="739" hidden="1" outlineLevel="1">
      <c r="A739" s="569">
        <v>45720.0</v>
      </c>
      <c r="B739" s="570">
        <f t="shared" si="304"/>
        <v>45720</v>
      </c>
      <c r="C739" s="200" t="s">
        <v>118</v>
      </c>
      <c r="D739" s="200"/>
      <c r="E739" s="200"/>
      <c r="F739" s="201">
        <v>0.0</v>
      </c>
      <c r="G739" s="200" t="s">
        <v>421</v>
      </c>
      <c r="H739" s="557" t="b">
        <v>1</v>
      </c>
      <c r="K739" s="91" t="s">
        <v>1838</v>
      </c>
      <c r="L739" s="90">
        <f t="shared" si="298"/>
        <v>0</v>
      </c>
      <c r="M739" s="90">
        <f t="shared" si="299"/>
        <v>0</v>
      </c>
      <c r="N739" s="90">
        <f t="shared" si="300"/>
        <v>0</v>
      </c>
      <c r="O739" s="92">
        <f t="shared" si="301"/>
        <v>0</v>
      </c>
      <c r="P739" s="92">
        <f t="shared" si="302"/>
        <v>0</v>
      </c>
      <c r="Q739" s="92">
        <f t="shared" si="303"/>
        <v>0</v>
      </c>
    </row>
    <row r="740" hidden="1" outlineLevel="1">
      <c r="A740" s="10"/>
      <c r="B740" s="10"/>
      <c r="C740" s="200" t="s">
        <v>118</v>
      </c>
      <c r="D740" s="200"/>
      <c r="E740" s="200"/>
      <c r="F740" s="201">
        <v>0.0</v>
      </c>
      <c r="G740" s="200" t="s">
        <v>421</v>
      </c>
      <c r="H740" s="557" t="b">
        <v>1</v>
      </c>
      <c r="K740" s="91" t="s">
        <v>183</v>
      </c>
      <c r="L740" s="90">
        <f t="shared" si="298"/>
        <v>7</v>
      </c>
      <c r="M740" s="90">
        <f t="shared" si="299"/>
        <v>0</v>
      </c>
      <c r="N740" s="90">
        <f t="shared" si="300"/>
        <v>7</v>
      </c>
      <c r="O740" s="92">
        <f t="shared" si="301"/>
        <v>1050</v>
      </c>
      <c r="P740" s="92">
        <f t="shared" si="302"/>
        <v>1050</v>
      </c>
      <c r="Q740" s="92">
        <f t="shared" si="303"/>
        <v>0</v>
      </c>
    </row>
    <row r="741" hidden="1" outlineLevel="1">
      <c r="A741" s="125">
        <v>45721.0</v>
      </c>
      <c r="B741" s="126">
        <f t="shared" ref="B741:B743" si="305">A741</f>
        <v>45721</v>
      </c>
      <c r="C741" s="129" t="s">
        <v>118</v>
      </c>
      <c r="D741" s="129" t="s">
        <v>1828</v>
      </c>
      <c r="E741" s="129" t="s">
        <v>1758</v>
      </c>
      <c r="F741" s="130">
        <v>200.0</v>
      </c>
      <c r="G741" s="129" t="s">
        <v>969</v>
      </c>
      <c r="H741" s="44" t="b">
        <v>1</v>
      </c>
      <c r="K741" s="91" t="s">
        <v>363</v>
      </c>
      <c r="L741" s="90">
        <f t="shared" si="298"/>
        <v>3</v>
      </c>
      <c r="M741" s="90">
        <f t="shared" si="299"/>
        <v>0</v>
      </c>
      <c r="N741" s="90">
        <f t="shared" si="300"/>
        <v>3</v>
      </c>
      <c r="O741" s="92">
        <f t="shared" si="301"/>
        <v>600</v>
      </c>
      <c r="P741" s="92">
        <f t="shared" si="302"/>
        <v>600</v>
      </c>
      <c r="Q741" s="92">
        <f t="shared" si="303"/>
        <v>0</v>
      </c>
    </row>
    <row r="742" hidden="1" outlineLevel="1">
      <c r="A742" s="125">
        <v>45722.0</v>
      </c>
      <c r="B742" s="126">
        <f t="shared" si="305"/>
        <v>45722</v>
      </c>
      <c r="C742" s="129" t="s">
        <v>118</v>
      </c>
      <c r="D742" s="129" t="s">
        <v>1756</v>
      </c>
      <c r="E742" s="129" t="s">
        <v>1758</v>
      </c>
      <c r="F742" s="130">
        <v>150.0</v>
      </c>
      <c r="G742" s="129"/>
      <c r="H742" s="44" t="b">
        <v>1</v>
      </c>
      <c r="K742" s="91" t="s">
        <v>1851</v>
      </c>
      <c r="L742" s="90">
        <f t="shared" si="298"/>
        <v>1</v>
      </c>
      <c r="M742" s="90">
        <f t="shared" si="299"/>
        <v>0</v>
      </c>
      <c r="N742" s="90">
        <f t="shared" si="300"/>
        <v>1</v>
      </c>
      <c r="O742" s="92">
        <f t="shared" si="301"/>
        <v>200</v>
      </c>
      <c r="P742" s="92">
        <f t="shared" si="302"/>
        <v>200</v>
      </c>
      <c r="Q742" s="92">
        <f t="shared" si="303"/>
        <v>0</v>
      </c>
    </row>
    <row r="743" hidden="1" outlineLevel="1">
      <c r="A743" s="102">
        <v>45723.0</v>
      </c>
      <c r="B743" s="97">
        <f t="shared" si="305"/>
        <v>45723</v>
      </c>
      <c r="C743" s="129" t="s">
        <v>118</v>
      </c>
      <c r="D743" s="129" t="s">
        <v>1756</v>
      </c>
      <c r="E743" s="129" t="s">
        <v>469</v>
      </c>
      <c r="F743" s="130">
        <v>150.0</v>
      </c>
      <c r="G743" s="129"/>
      <c r="H743" s="44" t="b">
        <v>1</v>
      </c>
      <c r="K743" s="91" t="s">
        <v>1842</v>
      </c>
      <c r="L743" s="90">
        <f t="shared" si="298"/>
        <v>0</v>
      </c>
      <c r="M743" s="90">
        <f t="shared" si="299"/>
        <v>0</v>
      </c>
      <c r="N743" s="90">
        <f t="shared" si="300"/>
        <v>0</v>
      </c>
      <c r="O743" s="92">
        <f t="shared" si="301"/>
        <v>0</v>
      </c>
      <c r="P743" s="92">
        <f t="shared" si="302"/>
        <v>0</v>
      </c>
      <c r="Q743" s="92">
        <f t="shared" si="303"/>
        <v>0</v>
      </c>
    </row>
    <row r="744" hidden="1" outlineLevel="1">
      <c r="A744" s="10"/>
      <c r="B744" s="10"/>
      <c r="C744" s="129" t="s">
        <v>118</v>
      </c>
      <c r="D744" s="129" t="s">
        <v>183</v>
      </c>
      <c r="E744" s="129" t="s">
        <v>1758</v>
      </c>
      <c r="F744" s="130">
        <v>150.0</v>
      </c>
      <c r="G744" s="129"/>
      <c r="H744" s="44" t="b">
        <v>1</v>
      </c>
      <c r="K744" s="91" t="s">
        <v>1820</v>
      </c>
      <c r="L744" s="90">
        <f t="shared" si="298"/>
        <v>0</v>
      </c>
      <c r="M744" s="90">
        <f t="shared" si="299"/>
        <v>0</v>
      </c>
      <c r="N744" s="90">
        <f t="shared" si="300"/>
        <v>0</v>
      </c>
      <c r="O744" s="92">
        <f t="shared" si="301"/>
        <v>0</v>
      </c>
      <c r="P744" s="92">
        <f t="shared" si="302"/>
        <v>0</v>
      </c>
      <c r="Q744" s="92">
        <f t="shared" si="303"/>
        <v>0</v>
      </c>
    </row>
    <row r="745" hidden="1" outlineLevel="1">
      <c r="A745" s="125">
        <v>45724.0</v>
      </c>
      <c r="B745" s="126">
        <f t="shared" ref="B745:B746" si="306">A745</f>
        <v>45724</v>
      </c>
      <c r="C745" s="129" t="s">
        <v>118</v>
      </c>
      <c r="D745" s="129" t="s">
        <v>1756</v>
      </c>
      <c r="E745" s="129" t="s">
        <v>1758</v>
      </c>
      <c r="F745" s="130">
        <v>150.0</v>
      </c>
      <c r="G745" s="129"/>
      <c r="H745" s="44" t="b">
        <v>1</v>
      </c>
      <c r="K745" s="91" t="s">
        <v>1828</v>
      </c>
      <c r="L745" s="90">
        <f t="shared" si="298"/>
        <v>2</v>
      </c>
      <c r="M745" s="90">
        <f t="shared" si="299"/>
        <v>0</v>
      </c>
      <c r="N745" s="90">
        <f t="shared" si="300"/>
        <v>2</v>
      </c>
      <c r="O745" s="92">
        <f t="shared" si="301"/>
        <v>400</v>
      </c>
      <c r="P745" s="92">
        <f t="shared" si="302"/>
        <v>400</v>
      </c>
      <c r="Q745" s="92">
        <f t="shared" si="303"/>
        <v>0</v>
      </c>
    </row>
    <row r="746" hidden="1" outlineLevel="1">
      <c r="A746" s="102">
        <v>45725.0</v>
      </c>
      <c r="B746" s="97">
        <f t="shared" si="306"/>
        <v>45725</v>
      </c>
      <c r="C746" s="129" t="s">
        <v>118</v>
      </c>
      <c r="D746" s="129" t="s">
        <v>1851</v>
      </c>
      <c r="E746" s="129" t="s">
        <v>1758</v>
      </c>
      <c r="F746" s="130">
        <v>200.0</v>
      </c>
      <c r="G746" s="129"/>
      <c r="H746" s="44" t="b">
        <v>1</v>
      </c>
      <c r="K746" s="91" t="s">
        <v>1845</v>
      </c>
      <c r="L746" s="90">
        <f t="shared" si="298"/>
        <v>2</v>
      </c>
      <c r="M746" s="90">
        <f t="shared" si="299"/>
        <v>0</v>
      </c>
      <c r="N746" s="90">
        <f t="shared" si="300"/>
        <v>2</v>
      </c>
      <c r="O746" s="92">
        <f t="shared" si="301"/>
        <v>400</v>
      </c>
      <c r="P746" s="92">
        <f t="shared" si="302"/>
        <v>400</v>
      </c>
      <c r="Q746" s="92">
        <f t="shared" si="303"/>
        <v>0</v>
      </c>
    </row>
    <row r="747" hidden="1" outlineLevel="1">
      <c r="A747" s="10"/>
      <c r="B747" s="10"/>
      <c r="C747" s="129" t="s">
        <v>136</v>
      </c>
      <c r="D747" s="129" t="s">
        <v>1845</v>
      </c>
      <c r="E747" s="129" t="s">
        <v>1758</v>
      </c>
      <c r="F747" s="130">
        <v>200.0</v>
      </c>
      <c r="G747" s="129"/>
      <c r="H747" s="44" t="b">
        <v>1</v>
      </c>
      <c r="K747" s="91" t="s">
        <v>1818</v>
      </c>
      <c r="L747" s="90">
        <f t="shared" si="298"/>
        <v>1</v>
      </c>
      <c r="M747" s="90">
        <f t="shared" si="299"/>
        <v>0</v>
      </c>
      <c r="N747" s="90">
        <f t="shared" si="300"/>
        <v>1</v>
      </c>
      <c r="O747" s="92">
        <f t="shared" si="301"/>
        <v>200</v>
      </c>
      <c r="P747" s="92">
        <f t="shared" si="302"/>
        <v>200</v>
      </c>
      <c r="Q747" s="92">
        <f t="shared" si="303"/>
        <v>0</v>
      </c>
    </row>
    <row r="748" hidden="1" outlineLevel="1">
      <c r="A748" s="125">
        <v>45726.0</v>
      </c>
      <c r="B748" s="126">
        <f t="shared" ref="B748:B749" si="307">A748</f>
        <v>45726</v>
      </c>
      <c r="C748" s="129" t="s">
        <v>118</v>
      </c>
      <c r="D748" s="129" t="s">
        <v>1756</v>
      </c>
      <c r="E748" s="129" t="s">
        <v>1758</v>
      </c>
      <c r="F748" s="130">
        <v>150.0</v>
      </c>
      <c r="G748" s="129"/>
      <c r="H748" s="44" t="b">
        <v>1</v>
      </c>
      <c r="K748" s="91" t="s">
        <v>562</v>
      </c>
      <c r="L748" s="90">
        <f t="shared" si="298"/>
        <v>1</v>
      </c>
      <c r="M748" s="90">
        <f t="shared" si="299"/>
        <v>0</v>
      </c>
      <c r="N748" s="90">
        <f t="shared" si="300"/>
        <v>1</v>
      </c>
      <c r="O748" s="92">
        <f t="shared" si="301"/>
        <v>200</v>
      </c>
      <c r="P748" s="92">
        <f t="shared" si="302"/>
        <v>200</v>
      </c>
      <c r="Q748" s="92">
        <f t="shared" si="303"/>
        <v>0</v>
      </c>
    </row>
    <row r="749" hidden="1" outlineLevel="1">
      <c r="A749" s="102">
        <v>45727.0</v>
      </c>
      <c r="B749" s="97">
        <f t="shared" si="307"/>
        <v>45727</v>
      </c>
      <c r="C749" s="129" t="s">
        <v>118</v>
      </c>
      <c r="D749" s="129" t="s">
        <v>1756</v>
      </c>
      <c r="E749" s="129" t="s">
        <v>469</v>
      </c>
      <c r="F749" s="130">
        <v>150.0</v>
      </c>
      <c r="G749" s="129"/>
      <c r="H749" s="44" t="b">
        <v>1</v>
      </c>
      <c r="K749" s="91"/>
      <c r="L749" s="90">
        <f t="shared" si="298"/>
        <v>0</v>
      </c>
      <c r="M749" s="90">
        <f t="shared" si="299"/>
        <v>0</v>
      </c>
      <c r="N749" s="90"/>
      <c r="O749" s="92">
        <f t="shared" si="301"/>
        <v>0</v>
      </c>
      <c r="P749" s="92">
        <f t="shared" si="302"/>
        <v>0</v>
      </c>
      <c r="Q749" s="90"/>
    </row>
    <row r="750" hidden="1" outlineLevel="1">
      <c r="A750" s="10"/>
      <c r="B750" s="10"/>
      <c r="C750" s="129" t="s">
        <v>118</v>
      </c>
      <c r="D750" s="129" t="s">
        <v>183</v>
      </c>
      <c r="E750" s="129" t="s">
        <v>1758</v>
      </c>
      <c r="F750" s="130">
        <v>150.0</v>
      </c>
      <c r="G750" s="129"/>
      <c r="H750" s="44" t="b">
        <v>1</v>
      </c>
      <c r="K750" s="91"/>
      <c r="L750" s="90"/>
      <c r="M750" s="90"/>
      <c r="N750" s="90"/>
      <c r="O750" s="92"/>
      <c r="P750" s="92"/>
      <c r="Q750" s="90"/>
    </row>
    <row r="751" hidden="1" outlineLevel="1">
      <c r="A751" s="125">
        <v>45728.0</v>
      </c>
      <c r="B751" s="126">
        <f t="shared" ref="B751:B753" si="308">A751</f>
        <v>45728</v>
      </c>
      <c r="C751" s="129" t="s">
        <v>118</v>
      </c>
      <c r="D751" s="129" t="s">
        <v>1756</v>
      </c>
      <c r="E751" s="129" t="s">
        <v>1758</v>
      </c>
      <c r="F751" s="130">
        <v>150.0</v>
      </c>
      <c r="G751" s="129"/>
      <c r="H751" s="44" t="b">
        <v>1</v>
      </c>
      <c r="K751" s="276"/>
      <c r="L751" s="90"/>
      <c r="M751" s="276"/>
      <c r="N751" s="276"/>
      <c r="O751" s="276"/>
      <c r="P751" s="276"/>
      <c r="Q751" s="276"/>
    </row>
    <row r="752" hidden="1" outlineLevel="1">
      <c r="A752" s="125">
        <v>45729.0</v>
      </c>
      <c r="B752" s="126">
        <f t="shared" si="308"/>
        <v>45729</v>
      </c>
      <c r="C752" s="129" t="s">
        <v>118</v>
      </c>
      <c r="D752" s="129" t="s">
        <v>1756</v>
      </c>
      <c r="E752" s="129" t="s">
        <v>1758</v>
      </c>
      <c r="F752" s="130">
        <v>150.0</v>
      </c>
      <c r="G752" s="129"/>
      <c r="H752" s="44" t="b">
        <v>1</v>
      </c>
      <c r="K752" s="276"/>
      <c r="L752" s="90"/>
      <c r="M752" s="276"/>
      <c r="N752" s="276"/>
      <c r="O752" s="276"/>
      <c r="P752" s="276"/>
      <c r="Q752" s="276"/>
    </row>
    <row r="753" hidden="1" outlineLevel="1">
      <c r="A753" s="102">
        <v>45730.0</v>
      </c>
      <c r="B753" s="97">
        <f t="shared" si="308"/>
        <v>45730</v>
      </c>
      <c r="C753" s="129" t="s">
        <v>118</v>
      </c>
      <c r="D753" s="129" t="s">
        <v>1756</v>
      </c>
      <c r="E753" s="129" t="s">
        <v>469</v>
      </c>
      <c r="F753" s="130">
        <v>150.0</v>
      </c>
      <c r="G753" s="129"/>
      <c r="H753" s="44" t="b">
        <v>1</v>
      </c>
      <c r="K753" s="91"/>
      <c r="L753" s="90"/>
      <c r="M753" s="90"/>
      <c r="N753" s="90"/>
      <c r="O753" s="92"/>
      <c r="P753" s="92"/>
      <c r="Q753" s="90"/>
    </row>
    <row r="754" hidden="1" outlineLevel="1">
      <c r="A754" s="10"/>
      <c r="B754" s="10"/>
      <c r="C754" s="129" t="s">
        <v>118</v>
      </c>
      <c r="D754" s="129" t="s">
        <v>183</v>
      </c>
      <c r="E754" s="129" t="s">
        <v>1758</v>
      </c>
      <c r="F754" s="130">
        <v>150.0</v>
      </c>
      <c r="G754" s="129"/>
      <c r="H754" s="44" t="b">
        <v>1</v>
      </c>
      <c r="K754" s="477" t="s">
        <v>195</v>
      </c>
      <c r="L754" s="478">
        <f t="shared" ref="L754:Q754" si="309">SUM(L737:L753)</f>
        <v>32</v>
      </c>
      <c r="M754" s="478">
        <f t="shared" si="309"/>
        <v>8</v>
      </c>
      <c r="N754" s="478">
        <f t="shared" si="309"/>
        <v>40</v>
      </c>
      <c r="O754" s="479">
        <f t="shared" si="309"/>
        <v>6500</v>
      </c>
      <c r="P754" s="479">
        <f t="shared" si="309"/>
        <v>6500</v>
      </c>
      <c r="Q754" s="479">
        <f t="shared" si="309"/>
        <v>0</v>
      </c>
    </row>
    <row r="755" hidden="1" outlineLevel="1">
      <c r="A755" s="125">
        <v>45731.0</v>
      </c>
      <c r="B755" s="126">
        <f t="shared" ref="B755:B756" si="310">A755</f>
        <v>45731</v>
      </c>
      <c r="C755" s="129" t="s">
        <v>118</v>
      </c>
      <c r="D755" s="129" t="s">
        <v>1756</v>
      </c>
      <c r="E755" s="129" t="s">
        <v>469</v>
      </c>
      <c r="F755" s="130">
        <v>150.0</v>
      </c>
      <c r="G755" s="129"/>
      <c r="H755" s="44" t="b">
        <v>1</v>
      </c>
    </row>
    <row r="756" hidden="1" outlineLevel="1">
      <c r="A756" s="102">
        <v>45732.0</v>
      </c>
      <c r="B756" s="97">
        <f t="shared" si="310"/>
        <v>45732</v>
      </c>
      <c r="C756" s="129" t="s">
        <v>118</v>
      </c>
      <c r="D756" s="129" t="s">
        <v>562</v>
      </c>
      <c r="E756" s="129" t="s">
        <v>1758</v>
      </c>
      <c r="F756" s="130">
        <v>200.0</v>
      </c>
      <c r="G756" s="129"/>
      <c r="H756" s="44" t="b">
        <v>1</v>
      </c>
    </row>
    <row r="757" hidden="1" outlineLevel="1">
      <c r="A757" s="10"/>
      <c r="B757" s="10"/>
      <c r="C757" s="129" t="s">
        <v>136</v>
      </c>
      <c r="D757" s="129" t="s">
        <v>363</v>
      </c>
      <c r="E757" s="129" t="s">
        <v>1758</v>
      </c>
      <c r="F757" s="130">
        <v>200.0</v>
      </c>
      <c r="G757" s="129"/>
      <c r="H757" s="44" t="b">
        <v>1</v>
      </c>
    </row>
    <row r="758" hidden="1" outlineLevel="1">
      <c r="A758" s="125">
        <v>45733.0</v>
      </c>
      <c r="B758" s="126">
        <f t="shared" ref="B758:B759" si="311">A758</f>
        <v>45733</v>
      </c>
      <c r="C758" s="129" t="s">
        <v>118</v>
      </c>
      <c r="D758" s="129" t="s">
        <v>1756</v>
      </c>
      <c r="E758" s="129" t="s">
        <v>1758</v>
      </c>
      <c r="F758" s="130">
        <v>150.0</v>
      </c>
      <c r="G758" s="129"/>
      <c r="H758" s="44" t="b">
        <v>1</v>
      </c>
    </row>
    <row r="759" hidden="1" outlineLevel="1">
      <c r="A759" s="102">
        <v>45734.0</v>
      </c>
      <c r="B759" s="97">
        <f t="shared" si="311"/>
        <v>45734</v>
      </c>
      <c r="C759" s="129" t="s">
        <v>118</v>
      </c>
      <c r="D759" s="129" t="s">
        <v>1756</v>
      </c>
      <c r="E759" s="129" t="s">
        <v>469</v>
      </c>
      <c r="F759" s="130">
        <v>150.0</v>
      </c>
      <c r="G759" s="129"/>
      <c r="H759" s="44" t="b">
        <v>1</v>
      </c>
    </row>
    <row r="760" hidden="1" outlineLevel="1">
      <c r="A760" s="10"/>
      <c r="B760" s="10"/>
      <c r="C760" s="129" t="s">
        <v>118</v>
      </c>
      <c r="D760" s="129" t="s">
        <v>183</v>
      </c>
      <c r="E760" s="129" t="s">
        <v>1758</v>
      </c>
      <c r="F760" s="130">
        <v>150.0</v>
      </c>
      <c r="G760" s="129"/>
      <c r="H760" s="44" t="b">
        <v>1</v>
      </c>
    </row>
    <row r="761" hidden="1" outlineLevel="1">
      <c r="A761" s="125">
        <v>45735.0</v>
      </c>
      <c r="B761" s="126">
        <f t="shared" ref="B761:B763" si="312">A761</f>
        <v>45735</v>
      </c>
      <c r="C761" s="129" t="s">
        <v>118</v>
      </c>
      <c r="D761" s="129" t="s">
        <v>1756</v>
      </c>
      <c r="E761" s="129" t="s">
        <v>1758</v>
      </c>
      <c r="F761" s="130">
        <v>150.0</v>
      </c>
      <c r="G761" s="129"/>
      <c r="H761" s="44" t="b">
        <v>1</v>
      </c>
    </row>
    <row r="762" hidden="1" outlineLevel="1">
      <c r="A762" s="125">
        <v>45736.0</v>
      </c>
      <c r="B762" s="126">
        <f t="shared" si="312"/>
        <v>45736</v>
      </c>
      <c r="C762" s="129" t="s">
        <v>118</v>
      </c>
      <c r="D762" s="129" t="s">
        <v>1756</v>
      </c>
      <c r="E762" s="129" t="s">
        <v>1758</v>
      </c>
      <c r="F762" s="130">
        <v>150.0</v>
      </c>
      <c r="G762" s="129"/>
      <c r="H762" s="44" t="b">
        <v>1</v>
      </c>
    </row>
    <row r="763" hidden="1" outlineLevel="1">
      <c r="A763" s="102">
        <v>45737.0</v>
      </c>
      <c r="B763" s="97">
        <f t="shared" si="312"/>
        <v>45737</v>
      </c>
      <c r="C763" s="129" t="s">
        <v>118</v>
      </c>
      <c r="D763" s="129" t="s">
        <v>1756</v>
      </c>
      <c r="E763" s="129" t="s">
        <v>469</v>
      </c>
      <c r="F763" s="130">
        <v>150.0</v>
      </c>
      <c r="G763" s="129"/>
      <c r="H763" s="44" t="b">
        <v>1</v>
      </c>
    </row>
    <row r="764" hidden="1" outlineLevel="1">
      <c r="A764" s="10"/>
      <c r="B764" s="10"/>
      <c r="C764" s="129" t="s">
        <v>118</v>
      </c>
      <c r="D764" s="129" t="s">
        <v>183</v>
      </c>
      <c r="E764" s="129" t="s">
        <v>1758</v>
      </c>
      <c r="F764" s="130">
        <v>150.0</v>
      </c>
      <c r="G764" s="129"/>
      <c r="H764" s="44" t="b">
        <v>1</v>
      </c>
    </row>
    <row r="765" hidden="1" outlineLevel="1">
      <c r="A765" s="125">
        <v>45738.0</v>
      </c>
      <c r="B765" s="126">
        <f t="shared" ref="B765:B766" si="313">A765</f>
        <v>45738</v>
      </c>
      <c r="C765" s="129" t="s">
        <v>118</v>
      </c>
      <c r="D765" s="129" t="s">
        <v>1756</v>
      </c>
      <c r="E765" s="129" t="s">
        <v>1758</v>
      </c>
      <c r="F765" s="130">
        <v>150.0</v>
      </c>
      <c r="G765" s="129"/>
      <c r="H765" s="44" t="b">
        <v>1</v>
      </c>
    </row>
    <row r="766" hidden="1" outlineLevel="1">
      <c r="A766" s="102">
        <v>45739.0</v>
      </c>
      <c r="B766" s="97">
        <f t="shared" si="313"/>
        <v>45739</v>
      </c>
      <c r="C766" s="200" t="s">
        <v>118</v>
      </c>
      <c r="D766" s="200"/>
      <c r="E766" s="200"/>
      <c r="F766" s="201">
        <v>0.0</v>
      </c>
      <c r="G766" s="200" t="s">
        <v>457</v>
      </c>
      <c r="H766" s="557" t="b">
        <v>1</v>
      </c>
    </row>
    <row r="767" hidden="1" outlineLevel="1">
      <c r="A767" s="10"/>
      <c r="B767" s="10"/>
      <c r="C767" s="129" t="s">
        <v>136</v>
      </c>
      <c r="D767" s="129" t="s">
        <v>363</v>
      </c>
      <c r="E767" s="129" t="s">
        <v>1758</v>
      </c>
      <c r="F767" s="130">
        <v>200.0</v>
      </c>
      <c r="G767" s="129"/>
      <c r="H767" s="44" t="b">
        <v>1</v>
      </c>
    </row>
    <row r="768" hidden="1" outlineLevel="1">
      <c r="A768" s="125">
        <v>45740.0</v>
      </c>
      <c r="B768" s="126">
        <f t="shared" ref="B768:B769" si="314">A768</f>
        <v>45740</v>
      </c>
      <c r="C768" s="129" t="s">
        <v>118</v>
      </c>
      <c r="D768" s="129" t="s">
        <v>1756</v>
      </c>
      <c r="E768" s="129" t="s">
        <v>1758</v>
      </c>
      <c r="F768" s="130">
        <v>150.0</v>
      </c>
      <c r="G768" s="129"/>
      <c r="H768" s="44" t="b">
        <v>1</v>
      </c>
    </row>
    <row r="769" hidden="1" outlineLevel="1">
      <c r="A769" s="102">
        <v>45741.0</v>
      </c>
      <c r="B769" s="97">
        <f t="shared" si="314"/>
        <v>45741</v>
      </c>
      <c r="C769" s="129" t="s">
        <v>118</v>
      </c>
      <c r="D769" s="129" t="s">
        <v>1756</v>
      </c>
      <c r="E769" s="129" t="s">
        <v>469</v>
      </c>
      <c r="F769" s="130">
        <v>150.0</v>
      </c>
      <c r="G769" s="129"/>
      <c r="H769" s="44" t="b">
        <v>1</v>
      </c>
    </row>
    <row r="770" hidden="1" outlineLevel="1">
      <c r="A770" s="10"/>
      <c r="B770" s="10"/>
      <c r="C770" s="129" t="s">
        <v>118</v>
      </c>
      <c r="D770" s="129" t="s">
        <v>183</v>
      </c>
      <c r="E770" s="129" t="s">
        <v>1758</v>
      </c>
      <c r="F770" s="130">
        <v>150.0</v>
      </c>
      <c r="G770" s="129"/>
      <c r="H770" s="44" t="b">
        <v>1</v>
      </c>
    </row>
    <row r="771" hidden="1" outlineLevel="1">
      <c r="A771" s="125">
        <v>45742.0</v>
      </c>
      <c r="B771" s="126">
        <f t="shared" ref="B771:B773" si="315">A771</f>
        <v>45742</v>
      </c>
      <c r="C771" s="129" t="s">
        <v>118</v>
      </c>
      <c r="D771" s="129" t="s">
        <v>1756</v>
      </c>
      <c r="E771" s="129" t="s">
        <v>1758</v>
      </c>
      <c r="F771" s="130">
        <v>150.0</v>
      </c>
      <c r="G771" s="129"/>
      <c r="H771" s="44" t="b">
        <v>1</v>
      </c>
    </row>
    <row r="772" hidden="1" outlineLevel="1">
      <c r="A772" s="125">
        <v>45743.0</v>
      </c>
      <c r="B772" s="126">
        <f t="shared" si="315"/>
        <v>45743</v>
      </c>
      <c r="C772" s="129" t="s">
        <v>118</v>
      </c>
      <c r="D772" s="129" t="s">
        <v>1756</v>
      </c>
      <c r="E772" s="129" t="s">
        <v>1758</v>
      </c>
      <c r="F772" s="130">
        <v>150.0</v>
      </c>
      <c r="G772" s="129"/>
      <c r="H772" s="44" t="b">
        <v>1</v>
      </c>
    </row>
    <row r="773" hidden="1" outlineLevel="1">
      <c r="A773" s="102">
        <v>45744.0</v>
      </c>
      <c r="B773" s="97">
        <f t="shared" si="315"/>
        <v>45744</v>
      </c>
      <c r="C773" s="129" t="s">
        <v>118</v>
      </c>
      <c r="D773" s="129" t="s">
        <v>1756</v>
      </c>
      <c r="E773" s="129" t="s">
        <v>469</v>
      </c>
      <c r="F773" s="130">
        <v>150.0</v>
      </c>
      <c r="G773" s="129"/>
      <c r="H773" s="44" t="b">
        <v>1</v>
      </c>
    </row>
    <row r="774" hidden="1" outlineLevel="1">
      <c r="A774" s="10"/>
      <c r="B774" s="10"/>
      <c r="C774" s="129" t="s">
        <v>118</v>
      </c>
      <c r="D774" s="129" t="s">
        <v>183</v>
      </c>
      <c r="E774" s="129" t="s">
        <v>1758</v>
      </c>
      <c r="F774" s="130">
        <v>150.0</v>
      </c>
      <c r="G774" s="129"/>
      <c r="H774" s="44" t="b">
        <v>1</v>
      </c>
    </row>
    <row r="775" hidden="1" outlineLevel="1">
      <c r="A775" s="125">
        <v>45745.0</v>
      </c>
      <c r="B775" s="126">
        <f t="shared" ref="B775:B776" si="316">A775</f>
        <v>45745</v>
      </c>
      <c r="C775" s="129" t="s">
        <v>118</v>
      </c>
      <c r="D775" s="129" t="s">
        <v>1756</v>
      </c>
      <c r="E775" s="129" t="s">
        <v>1758</v>
      </c>
      <c r="F775" s="130">
        <v>150.0</v>
      </c>
      <c r="G775" s="129"/>
      <c r="H775" s="44" t="b">
        <v>1</v>
      </c>
    </row>
    <row r="776" hidden="1" outlineLevel="1">
      <c r="A776" s="102">
        <v>45746.0</v>
      </c>
      <c r="B776" s="97">
        <f t="shared" si="316"/>
        <v>45746</v>
      </c>
      <c r="C776" s="129" t="s">
        <v>118</v>
      </c>
      <c r="D776" s="129" t="s">
        <v>1828</v>
      </c>
      <c r="E776" s="129" t="s">
        <v>1758</v>
      </c>
      <c r="F776" s="130">
        <v>200.0</v>
      </c>
      <c r="G776" s="129"/>
      <c r="H776" s="44" t="b">
        <v>1</v>
      </c>
    </row>
    <row r="777" hidden="1" outlineLevel="1">
      <c r="A777" s="10"/>
      <c r="B777" s="10"/>
      <c r="C777" s="129" t="s">
        <v>136</v>
      </c>
      <c r="D777" s="129" t="s">
        <v>1845</v>
      </c>
      <c r="E777" s="129" t="s">
        <v>1758</v>
      </c>
      <c r="F777" s="130">
        <v>200.0</v>
      </c>
      <c r="G777" s="129"/>
      <c r="H777" s="44" t="b">
        <v>1</v>
      </c>
    </row>
    <row r="778" hidden="1" outlineLevel="1">
      <c r="A778" s="125">
        <v>45747.0</v>
      </c>
      <c r="B778" s="126">
        <f>A778</f>
        <v>45747</v>
      </c>
      <c r="C778" s="129" t="s">
        <v>118</v>
      </c>
      <c r="D778" s="129" t="s">
        <v>1756</v>
      </c>
      <c r="E778" s="129" t="s">
        <v>1758</v>
      </c>
      <c r="F778" s="130">
        <v>150.0</v>
      </c>
      <c r="G778" s="129"/>
      <c r="H778" s="44" t="b">
        <v>1</v>
      </c>
    </row>
    <row r="779">
      <c r="A779" s="484" t="s">
        <v>195</v>
      </c>
      <c r="B779" s="27"/>
      <c r="C779" s="27"/>
      <c r="D779" s="27"/>
      <c r="E779" s="28"/>
      <c r="F779" s="485">
        <f>SUM(F735:F778)</f>
        <v>6500</v>
      </c>
      <c r="G779" s="486"/>
      <c r="H779" s="28"/>
    </row>
    <row r="780" collapsed="1">
      <c r="A780" s="339" t="s">
        <v>991</v>
      </c>
      <c r="B780" s="246"/>
      <c r="C780" s="246"/>
      <c r="D780" s="246"/>
      <c r="E780" s="246"/>
      <c r="F780" s="246"/>
      <c r="G780" s="246"/>
      <c r="H780" s="247"/>
    </row>
    <row r="781" hidden="1" outlineLevel="1">
      <c r="A781" s="102">
        <v>45748.0</v>
      </c>
      <c r="B781" s="97">
        <f>A781</f>
        <v>45748</v>
      </c>
      <c r="C781" s="129" t="s">
        <v>118</v>
      </c>
      <c r="D781" s="129" t="s">
        <v>1756</v>
      </c>
      <c r="E781" s="129" t="s">
        <v>469</v>
      </c>
      <c r="F781" s="130">
        <v>150.0</v>
      </c>
      <c r="G781" s="129"/>
      <c r="H781" s="44" t="b">
        <v>1</v>
      </c>
      <c r="K781" s="440" t="s">
        <v>2065</v>
      </c>
      <c r="L781" s="27"/>
      <c r="M781" s="27"/>
      <c r="N781" s="27"/>
      <c r="O781" s="27"/>
      <c r="P781" s="27"/>
      <c r="Q781" s="28"/>
    </row>
    <row r="782" hidden="1" outlineLevel="1">
      <c r="A782" s="58"/>
      <c r="B782" s="58"/>
      <c r="C782" s="129" t="s">
        <v>118</v>
      </c>
      <c r="D782" s="129" t="s">
        <v>183</v>
      </c>
      <c r="E782" s="129" t="s">
        <v>1758</v>
      </c>
      <c r="F782" s="130">
        <v>150.0</v>
      </c>
      <c r="G782" s="129"/>
      <c r="H782" s="44" t="b">
        <v>1</v>
      </c>
      <c r="K782" s="441" t="s">
        <v>1749</v>
      </c>
      <c r="L782" s="441" t="s">
        <v>1758</v>
      </c>
      <c r="M782" s="441" t="s">
        <v>469</v>
      </c>
      <c r="N782" s="441" t="s">
        <v>195</v>
      </c>
      <c r="O782" s="441" t="s">
        <v>1764</v>
      </c>
      <c r="P782" s="441" t="s">
        <v>1765</v>
      </c>
      <c r="Q782" s="441" t="s">
        <v>1766</v>
      </c>
    </row>
    <row r="783" hidden="1" outlineLevel="1">
      <c r="A783" s="10"/>
      <c r="B783" s="10"/>
      <c r="C783" s="129" t="s">
        <v>994</v>
      </c>
      <c r="D783" s="129" t="s">
        <v>1849</v>
      </c>
      <c r="E783" s="129" t="s">
        <v>1758</v>
      </c>
      <c r="F783" s="130">
        <v>150.0</v>
      </c>
      <c r="G783" s="129"/>
      <c r="H783" s="44" t="b">
        <v>1</v>
      </c>
      <c r="K783" s="91" t="s">
        <v>1756</v>
      </c>
      <c r="L783" s="90">
        <f t="shared" ref="L783:L793" si="317">COUNTIFS($D$781:$D$847, $K783,$E$781:$E$847,$L$782)</f>
        <v>15</v>
      </c>
      <c r="M783" s="90">
        <f t="shared" ref="M783:M793" si="318">COUNTIFS($D$781:$D$847, $K783,$E$781:$E$847,$M$782)</f>
        <v>8</v>
      </c>
      <c r="N783" s="90">
        <f t="shared" ref="N783:N793" si="319">L783+M783</f>
        <v>23</v>
      </c>
      <c r="O783" s="92">
        <f t="shared" ref="O783:O793" si="320">SUMIFS($F$781:$F$847,$D$781:$D$847,$K783)</f>
        <v>3450</v>
      </c>
      <c r="P783" s="92">
        <f t="shared" ref="P783:P793" si="321">SUMIFS($F$781:$F$847,$D$781:$D$847,$K783,$H$781:$H$847,TRUE)</f>
        <v>3450</v>
      </c>
      <c r="Q783" s="92">
        <f t="shared" ref="Q783:Q793" si="322">O783-P783</f>
        <v>0</v>
      </c>
      <c r="R783" s="571" t="s">
        <v>2066</v>
      </c>
    </row>
    <row r="784" hidden="1" outlineLevel="1">
      <c r="A784" s="102">
        <v>45749.0</v>
      </c>
      <c r="B784" s="97">
        <f>A784</f>
        <v>45749</v>
      </c>
      <c r="C784" s="129" t="s">
        <v>118</v>
      </c>
      <c r="D784" s="129" t="s">
        <v>1756</v>
      </c>
      <c r="E784" s="129" t="s">
        <v>1758</v>
      </c>
      <c r="F784" s="130">
        <v>150.0</v>
      </c>
      <c r="G784" s="129"/>
      <c r="H784" s="44" t="b">
        <v>1</v>
      </c>
      <c r="K784" s="91" t="s">
        <v>1810</v>
      </c>
      <c r="L784" s="90">
        <f t="shared" si="317"/>
        <v>0</v>
      </c>
      <c r="M784" s="90">
        <f t="shared" si="318"/>
        <v>0</v>
      </c>
      <c r="N784" s="90">
        <f t="shared" si="319"/>
        <v>0</v>
      </c>
      <c r="O784" s="92">
        <f t="shared" si="320"/>
        <v>0</v>
      </c>
      <c r="P784" s="92">
        <f t="shared" si="321"/>
        <v>0</v>
      </c>
      <c r="Q784" s="92">
        <f t="shared" si="322"/>
        <v>0</v>
      </c>
    </row>
    <row r="785" hidden="1" outlineLevel="1">
      <c r="A785" s="10"/>
      <c r="B785" s="10"/>
      <c r="C785" s="129" t="s">
        <v>118</v>
      </c>
      <c r="D785" s="129" t="s">
        <v>1849</v>
      </c>
      <c r="E785" s="129" t="s">
        <v>1758</v>
      </c>
      <c r="F785" s="130">
        <v>150.0</v>
      </c>
      <c r="G785" s="129"/>
      <c r="H785" s="44" t="b">
        <v>1</v>
      </c>
      <c r="K785" s="91" t="s">
        <v>1840</v>
      </c>
      <c r="L785" s="90">
        <f t="shared" si="317"/>
        <v>1</v>
      </c>
      <c r="M785" s="90">
        <f t="shared" si="318"/>
        <v>0</v>
      </c>
      <c r="N785" s="90">
        <f t="shared" si="319"/>
        <v>1</v>
      </c>
      <c r="O785" s="92">
        <f t="shared" si="320"/>
        <v>200</v>
      </c>
      <c r="P785" s="92">
        <f t="shared" si="321"/>
        <v>200</v>
      </c>
      <c r="Q785" s="92">
        <f t="shared" si="322"/>
        <v>0</v>
      </c>
    </row>
    <row r="786" hidden="1" outlineLevel="1">
      <c r="A786" s="102">
        <v>45750.0</v>
      </c>
      <c r="B786" s="97">
        <f>A786</f>
        <v>45750</v>
      </c>
      <c r="C786" s="129" t="s">
        <v>118</v>
      </c>
      <c r="D786" s="129" t="s">
        <v>1756</v>
      </c>
      <c r="E786" s="129" t="s">
        <v>1758</v>
      </c>
      <c r="F786" s="130">
        <v>150.0</v>
      </c>
      <c r="G786" s="129"/>
      <c r="H786" s="44" t="b">
        <v>1</v>
      </c>
      <c r="K786" s="91" t="s">
        <v>183</v>
      </c>
      <c r="L786" s="90">
        <f t="shared" si="317"/>
        <v>8</v>
      </c>
      <c r="M786" s="90">
        <f t="shared" si="318"/>
        <v>0</v>
      </c>
      <c r="N786" s="90">
        <f t="shared" si="319"/>
        <v>8</v>
      </c>
      <c r="O786" s="92">
        <f t="shared" si="320"/>
        <v>1200</v>
      </c>
      <c r="P786" s="92">
        <f t="shared" si="321"/>
        <v>1200</v>
      </c>
      <c r="Q786" s="92">
        <f t="shared" si="322"/>
        <v>0</v>
      </c>
    </row>
    <row r="787" hidden="1" outlineLevel="1">
      <c r="A787" s="10"/>
      <c r="B787" s="10"/>
      <c r="C787" s="129" t="s">
        <v>994</v>
      </c>
      <c r="D787" s="129" t="s">
        <v>562</v>
      </c>
      <c r="E787" s="129" t="s">
        <v>1758</v>
      </c>
      <c r="F787" s="130">
        <v>150.0</v>
      </c>
      <c r="G787" s="129"/>
      <c r="H787" s="44" t="b">
        <v>1</v>
      </c>
      <c r="K787" s="91" t="s">
        <v>363</v>
      </c>
      <c r="L787" s="90">
        <f t="shared" si="317"/>
        <v>2</v>
      </c>
      <c r="M787" s="90">
        <f t="shared" si="318"/>
        <v>0</v>
      </c>
      <c r="N787" s="90">
        <f t="shared" si="319"/>
        <v>2</v>
      </c>
      <c r="O787" s="92">
        <f t="shared" si="320"/>
        <v>400</v>
      </c>
      <c r="P787" s="92">
        <f t="shared" si="321"/>
        <v>400</v>
      </c>
      <c r="Q787" s="92">
        <f t="shared" si="322"/>
        <v>0</v>
      </c>
    </row>
    <row r="788" hidden="1" outlineLevel="1">
      <c r="A788" s="102">
        <v>45751.0</v>
      </c>
      <c r="B788" s="97">
        <f>A788</f>
        <v>45751</v>
      </c>
      <c r="C788" s="129" t="s">
        <v>118</v>
      </c>
      <c r="D788" s="129" t="s">
        <v>1756</v>
      </c>
      <c r="E788" s="129" t="s">
        <v>469</v>
      </c>
      <c r="F788" s="130">
        <v>150.0</v>
      </c>
      <c r="G788" s="129"/>
      <c r="H788" s="44" t="b">
        <v>1</v>
      </c>
      <c r="K788" s="91" t="s">
        <v>1785</v>
      </c>
      <c r="L788" s="90">
        <f t="shared" si="317"/>
        <v>2</v>
      </c>
      <c r="M788" s="90">
        <f t="shared" si="318"/>
        <v>0</v>
      </c>
      <c r="N788" s="90">
        <f t="shared" si="319"/>
        <v>2</v>
      </c>
      <c r="O788" s="92">
        <f t="shared" si="320"/>
        <v>500</v>
      </c>
      <c r="P788" s="92">
        <f t="shared" si="321"/>
        <v>500</v>
      </c>
      <c r="Q788" s="92">
        <f t="shared" si="322"/>
        <v>0</v>
      </c>
    </row>
    <row r="789" hidden="1" outlineLevel="1">
      <c r="A789" s="58"/>
      <c r="B789" s="58"/>
      <c r="C789" s="129" t="s">
        <v>118</v>
      </c>
      <c r="D789" s="129" t="s">
        <v>183</v>
      </c>
      <c r="E789" s="129" t="s">
        <v>1758</v>
      </c>
      <c r="F789" s="130">
        <v>150.0</v>
      </c>
      <c r="G789" s="129"/>
      <c r="H789" s="44" t="b">
        <v>1</v>
      </c>
      <c r="K789" s="91" t="s">
        <v>1842</v>
      </c>
      <c r="L789" s="90">
        <f t="shared" si="317"/>
        <v>0</v>
      </c>
      <c r="M789" s="90">
        <f t="shared" si="318"/>
        <v>0</v>
      </c>
      <c r="N789" s="90">
        <f t="shared" si="319"/>
        <v>0</v>
      </c>
      <c r="O789" s="92">
        <f t="shared" si="320"/>
        <v>0</v>
      </c>
      <c r="P789" s="92">
        <f t="shared" si="321"/>
        <v>0</v>
      </c>
      <c r="Q789" s="92">
        <f t="shared" si="322"/>
        <v>0</v>
      </c>
    </row>
    <row r="790" hidden="1" outlineLevel="1">
      <c r="A790" s="10"/>
      <c r="B790" s="10"/>
      <c r="C790" s="129" t="s">
        <v>994</v>
      </c>
      <c r="D790" s="129" t="s">
        <v>1849</v>
      </c>
      <c r="E790" s="129" t="s">
        <v>1758</v>
      </c>
      <c r="F790" s="130">
        <v>150.0</v>
      </c>
      <c r="G790" s="129"/>
      <c r="H790" s="44" t="b">
        <v>1</v>
      </c>
      <c r="K790" s="91" t="s">
        <v>562</v>
      </c>
      <c r="L790" s="90">
        <f t="shared" si="317"/>
        <v>4</v>
      </c>
      <c r="M790" s="90">
        <f t="shared" si="318"/>
        <v>0</v>
      </c>
      <c r="N790" s="90">
        <f t="shared" si="319"/>
        <v>4</v>
      </c>
      <c r="O790" s="92">
        <f t="shared" si="320"/>
        <v>650</v>
      </c>
      <c r="P790" s="92">
        <f t="shared" si="321"/>
        <v>650</v>
      </c>
      <c r="Q790" s="92">
        <f t="shared" si="322"/>
        <v>0</v>
      </c>
    </row>
    <row r="791" hidden="1" outlineLevel="1">
      <c r="A791" s="125">
        <v>45752.0</v>
      </c>
      <c r="B791" s="126">
        <f t="shared" ref="B791:B792" si="323">A791</f>
        <v>45752</v>
      </c>
      <c r="C791" s="129" t="s">
        <v>118</v>
      </c>
      <c r="D791" s="129" t="s">
        <v>1756</v>
      </c>
      <c r="E791" s="129" t="s">
        <v>1758</v>
      </c>
      <c r="F791" s="130">
        <v>150.0</v>
      </c>
      <c r="G791" s="129"/>
      <c r="H791" s="44" t="b">
        <v>1</v>
      </c>
      <c r="K791" s="91" t="s">
        <v>1828</v>
      </c>
      <c r="L791" s="90">
        <f t="shared" si="317"/>
        <v>8</v>
      </c>
      <c r="M791" s="90">
        <f t="shared" si="318"/>
        <v>0</v>
      </c>
      <c r="N791" s="90">
        <f t="shared" si="319"/>
        <v>8</v>
      </c>
      <c r="O791" s="92">
        <f t="shared" si="320"/>
        <v>1550</v>
      </c>
      <c r="P791" s="92">
        <f t="shared" si="321"/>
        <v>1550</v>
      </c>
      <c r="Q791" s="92">
        <f t="shared" si="322"/>
        <v>0</v>
      </c>
    </row>
    <row r="792" hidden="1" outlineLevel="1">
      <c r="A792" s="102">
        <v>45753.0</v>
      </c>
      <c r="B792" s="97">
        <f t="shared" si="323"/>
        <v>45753</v>
      </c>
      <c r="C792" s="129" t="s">
        <v>118</v>
      </c>
      <c r="D792" s="129" t="s">
        <v>1828</v>
      </c>
      <c r="E792" s="129" t="s">
        <v>1758</v>
      </c>
      <c r="F792" s="130">
        <v>200.0</v>
      </c>
      <c r="G792" s="129"/>
      <c r="H792" s="44" t="b">
        <v>1</v>
      </c>
      <c r="K792" s="91" t="s">
        <v>1845</v>
      </c>
      <c r="L792" s="90">
        <f t="shared" si="317"/>
        <v>1</v>
      </c>
      <c r="M792" s="90">
        <f t="shared" si="318"/>
        <v>0</v>
      </c>
      <c r="N792" s="90">
        <f t="shared" si="319"/>
        <v>1</v>
      </c>
      <c r="O792" s="92">
        <f t="shared" si="320"/>
        <v>200</v>
      </c>
      <c r="P792" s="92">
        <f t="shared" si="321"/>
        <v>200</v>
      </c>
      <c r="Q792" s="92">
        <f t="shared" si="322"/>
        <v>0</v>
      </c>
    </row>
    <row r="793" hidden="1" outlineLevel="1">
      <c r="A793" s="10"/>
      <c r="B793" s="10"/>
      <c r="C793" s="129" t="s">
        <v>136</v>
      </c>
      <c r="D793" s="129" t="s">
        <v>363</v>
      </c>
      <c r="E793" s="129" t="s">
        <v>1758</v>
      </c>
      <c r="F793" s="130">
        <v>200.0</v>
      </c>
      <c r="G793" s="129"/>
      <c r="H793" s="44" t="b">
        <v>1</v>
      </c>
      <c r="K793" s="91" t="s">
        <v>1849</v>
      </c>
      <c r="L793" s="90">
        <f t="shared" si="317"/>
        <v>17</v>
      </c>
      <c r="M793" s="90">
        <f t="shared" si="318"/>
        <v>0</v>
      </c>
      <c r="N793" s="90">
        <f t="shared" si="319"/>
        <v>17</v>
      </c>
      <c r="O793" s="92">
        <f t="shared" si="320"/>
        <v>2550</v>
      </c>
      <c r="P793" s="92">
        <f t="shared" si="321"/>
        <v>2550</v>
      </c>
      <c r="Q793" s="92">
        <f t="shared" si="322"/>
        <v>0</v>
      </c>
    </row>
    <row r="794" hidden="1" outlineLevel="1">
      <c r="A794" s="102">
        <v>45754.0</v>
      </c>
      <c r="B794" s="97">
        <f>A794</f>
        <v>45754</v>
      </c>
      <c r="C794" s="129" t="s">
        <v>118</v>
      </c>
      <c r="D794" s="129" t="s">
        <v>1756</v>
      </c>
      <c r="E794" s="129" t="s">
        <v>1758</v>
      </c>
      <c r="F794" s="130">
        <v>150.0</v>
      </c>
      <c r="G794" s="129"/>
      <c r="H794" s="44" t="b">
        <v>1</v>
      </c>
      <c r="K794" s="91"/>
      <c r="L794" s="90"/>
      <c r="M794" s="90"/>
      <c r="N794" s="90"/>
      <c r="O794" s="92"/>
      <c r="P794" s="92"/>
      <c r="Q794" s="90"/>
    </row>
    <row r="795" hidden="1" outlineLevel="1">
      <c r="A795" s="10"/>
      <c r="B795" s="10"/>
      <c r="C795" s="129" t="s">
        <v>994</v>
      </c>
      <c r="D795" s="129" t="s">
        <v>1849</v>
      </c>
      <c r="E795" s="129" t="s">
        <v>1758</v>
      </c>
      <c r="F795" s="130">
        <v>150.0</v>
      </c>
      <c r="G795" s="129"/>
      <c r="H795" s="44" t="b">
        <v>1</v>
      </c>
      <c r="K795" s="91"/>
      <c r="L795" s="90"/>
      <c r="M795" s="90"/>
      <c r="N795" s="90"/>
      <c r="O795" s="92"/>
      <c r="P795" s="92"/>
      <c r="Q795" s="90"/>
    </row>
    <row r="796" hidden="1" outlineLevel="1">
      <c r="A796" s="102">
        <v>45755.0</v>
      </c>
      <c r="B796" s="97">
        <f>A796</f>
        <v>45755</v>
      </c>
      <c r="C796" s="129" t="s">
        <v>118</v>
      </c>
      <c r="D796" s="129" t="s">
        <v>1756</v>
      </c>
      <c r="E796" s="129" t="s">
        <v>469</v>
      </c>
      <c r="F796" s="130">
        <v>150.0</v>
      </c>
      <c r="G796" s="129"/>
      <c r="H796" s="44" t="b">
        <v>1</v>
      </c>
      <c r="K796" s="91"/>
      <c r="L796" s="90"/>
      <c r="M796" s="90"/>
      <c r="N796" s="90"/>
      <c r="O796" s="92"/>
      <c r="P796" s="92"/>
      <c r="Q796" s="90"/>
    </row>
    <row r="797" hidden="1" outlineLevel="1">
      <c r="A797" s="58"/>
      <c r="B797" s="58"/>
      <c r="C797" s="129" t="s">
        <v>118</v>
      </c>
      <c r="D797" s="129" t="s">
        <v>183</v>
      </c>
      <c r="E797" s="129" t="s">
        <v>1758</v>
      </c>
      <c r="F797" s="130">
        <v>150.0</v>
      </c>
      <c r="G797" s="129"/>
      <c r="H797" s="44" t="b">
        <v>1</v>
      </c>
      <c r="K797" s="276"/>
      <c r="L797" s="90"/>
      <c r="M797" s="276"/>
      <c r="N797" s="276"/>
      <c r="O797" s="276"/>
      <c r="P797" s="276"/>
      <c r="Q797" s="276"/>
    </row>
    <row r="798" hidden="1" outlineLevel="1">
      <c r="A798" s="10"/>
      <c r="B798" s="10"/>
      <c r="C798" s="129" t="s">
        <v>994</v>
      </c>
      <c r="D798" s="129" t="s">
        <v>1849</v>
      </c>
      <c r="E798" s="129" t="s">
        <v>1758</v>
      </c>
      <c r="F798" s="130">
        <v>150.0</v>
      </c>
      <c r="G798" s="129"/>
      <c r="H798" s="44" t="b">
        <v>1</v>
      </c>
      <c r="K798" s="276"/>
      <c r="L798" s="90"/>
      <c r="M798" s="276"/>
      <c r="N798" s="276"/>
      <c r="O798" s="276"/>
      <c r="P798" s="276"/>
      <c r="Q798" s="276"/>
    </row>
    <row r="799" hidden="1" outlineLevel="1">
      <c r="A799" s="102">
        <v>45756.0</v>
      </c>
      <c r="B799" s="97">
        <f>A799</f>
        <v>45756</v>
      </c>
      <c r="C799" s="129" t="s">
        <v>118</v>
      </c>
      <c r="D799" s="129" t="s">
        <v>1756</v>
      </c>
      <c r="E799" s="129" t="s">
        <v>1758</v>
      </c>
      <c r="F799" s="130">
        <v>150.0</v>
      </c>
      <c r="G799" s="129"/>
      <c r="H799" s="44" t="b">
        <v>1</v>
      </c>
      <c r="K799" s="91"/>
      <c r="L799" s="90"/>
      <c r="M799" s="90"/>
      <c r="N799" s="90"/>
      <c r="O799" s="92"/>
      <c r="P799" s="92"/>
      <c r="Q799" s="90"/>
    </row>
    <row r="800" hidden="1" outlineLevel="1">
      <c r="A800" s="10"/>
      <c r="B800" s="10"/>
      <c r="C800" s="129" t="s">
        <v>994</v>
      </c>
      <c r="D800" s="129" t="s">
        <v>1849</v>
      </c>
      <c r="E800" s="129" t="s">
        <v>1758</v>
      </c>
      <c r="F800" s="130">
        <v>150.0</v>
      </c>
      <c r="G800" s="129"/>
      <c r="H800" s="44" t="b">
        <v>1</v>
      </c>
      <c r="K800" s="477" t="s">
        <v>195</v>
      </c>
      <c r="L800" s="478">
        <f t="shared" ref="L800:Q800" si="324">SUM(L783:L799)</f>
        <v>58</v>
      </c>
      <c r="M800" s="478">
        <f t="shared" si="324"/>
        <v>8</v>
      </c>
      <c r="N800" s="478">
        <f t="shared" si="324"/>
        <v>66</v>
      </c>
      <c r="O800" s="479">
        <f t="shared" si="324"/>
        <v>10700</v>
      </c>
      <c r="P800" s="479">
        <f t="shared" si="324"/>
        <v>10700</v>
      </c>
      <c r="Q800" s="479">
        <f t="shared" si="324"/>
        <v>0</v>
      </c>
    </row>
    <row r="801" hidden="1" outlineLevel="1">
      <c r="A801" s="102">
        <v>45757.0</v>
      </c>
      <c r="B801" s="97">
        <f>A801</f>
        <v>45757</v>
      </c>
      <c r="C801" s="129" t="s">
        <v>118</v>
      </c>
      <c r="D801" s="129" t="s">
        <v>1756</v>
      </c>
      <c r="E801" s="129" t="s">
        <v>1758</v>
      </c>
      <c r="F801" s="130">
        <v>150.0</v>
      </c>
      <c r="G801" s="129"/>
      <c r="H801" s="44" t="b">
        <v>1</v>
      </c>
    </row>
    <row r="802" hidden="1" outlineLevel="1">
      <c r="A802" s="10"/>
      <c r="B802" s="10"/>
      <c r="C802" s="129" t="s">
        <v>994</v>
      </c>
      <c r="D802" s="129" t="s">
        <v>562</v>
      </c>
      <c r="E802" s="129" t="s">
        <v>1758</v>
      </c>
      <c r="F802" s="130">
        <v>150.0</v>
      </c>
      <c r="G802" s="129"/>
      <c r="H802" s="44" t="b">
        <v>1</v>
      </c>
    </row>
    <row r="803" hidden="1" outlineLevel="1">
      <c r="A803" s="102">
        <v>45758.0</v>
      </c>
      <c r="B803" s="97">
        <f>A803</f>
        <v>45758</v>
      </c>
      <c r="C803" s="129" t="s">
        <v>118</v>
      </c>
      <c r="D803" s="129" t="s">
        <v>1756</v>
      </c>
      <c r="E803" s="129" t="s">
        <v>469</v>
      </c>
      <c r="F803" s="130">
        <v>150.0</v>
      </c>
      <c r="G803" s="129"/>
      <c r="H803" s="44" t="b">
        <v>1</v>
      </c>
    </row>
    <row r="804" hidden="1" outlineLevel="1">
      <c r="A804" s="58"/>
      <c r="B804" s="58"/>
      <c r="C804" s="129" t="s">
        <v>118</v>
      </c>
      <c r="D804" s="129" t="s">
        <v>183</v>
      </c>
      <c r="E804" s="129" t="s">
        <v>1758</v>
      </c>
      <c r="F804" s="130">
        <v>150.0</v>
      </c>
      <c r="G804" s="129"/>
      <c r="H804" s="44" t="b">
        <v>1</v>
      </c>
    </row>
    <row r="805" hidden="1" outlineLevel="1">
      <c r="A805" s="10"/>
      <c r="B805" s="10"/>
      <c r="C805" s="129" t="s">
        <v>994</v>
      </c>
      <c r="D805" s="129" t="s">
        <v>1849</v>
      </c>
      <c r="E805" s="129" t="s">
        <v>1758</v>
      </c>
      <c r="F805" s="130">
        <v>150.0</v>
      </c>
      <c r="G805" s="129"/>
      <c r="H805" s="44" t="b">
        <v>1</v>
      </c>
    </row>
    <row r="806" hidden="1" outlineLevel="1">
      <c r="A806" s="125">
        <v>45759.0</v>
      </c>
      <c r="B806" s="126">
        <f t="shared" ref="B806:B807" si="325">A806</f>
        <v>45759</v>
      </c>
      <c r="C806" s="129" t="s">
        <v>118</v>
      </c>
      <c r="D806" s="129" t="s">
        <v>1756</v>
      </c>
      <c r="E806" s="129" t="s">
        <v>1758</v>
      </c>
      <c r="F806" s="130">
        <v>150.0</v>
      </c>
      <c r="G806" s="129"/>
      <c r="H806" s="44" t="b">
        <v>1</v>
      </c>
    </row>
    <row r="807" hidden="1" outlineLevel="1">
      <c r="A807" s="102">
        <v>45760.0</v>
      </c>
      <c r="B807" s="97">
        <f t="shared" si="325"/>
        <v>45760</v>
      </c>
      <c r="C807" s="129" t="s">
        <v>118</v>
      </c>
      <c r="D807" s="129" t="s">
        <v>1828</v>
      </c>
      <c r="E807" s="129" t="s">
        <v>1758</v>
      </c>
      <c r="F807" s="130">
        <v>200.0</v>
      </c>
      <c r="G807" s="129"/>
      <c r="H807" s="44" t="b">
        <v>1</v>
      </c>
    </row>
    <row r="808" hidden="1" outlineLevel="1">
      <c r="A808" s="58"/>
      <c r="B808" s="58"/>
      <c r="C808" s="129" t="s">
        <v>994</v>
      </c>
      <c r="D808" s="129" t="s">
        <v>562</v>
      </c>
      <c r="E808" s="129" t="s">
        <v>1758</v>
      </c>
      <c r="F808" s="130">
        <v>200.0</v>
      </c>
      <c r="G808" s="129"/>
      <c r="H808" s="44" t="b">
        <v>1</v>
      </c>
    </row>
    <row r="809" hidden="1" outlineLevel="1">
      <c r="A809" s="10"/>
      <c r="B809" s="10"/>
      <c r="C809" s="129" t="s">
        <v>136</v>
      </c>
      <c r="D809" s="129" t="s">
        <v>1845</v>
      </c>
      <c r="E809" s="129" t="s">
        <v>1758</v>
      </c>
      <c r="F809" s="130">
        <v>200.0</v>
      </c>
      <c r="G809" s="129"/>
      <c r="H809" s="44" t="b">
        <v>1</v>
      </c>
    </row>
    <row r="810" hidden="1" outlineLevel="1">
      <c r="A810" s="102">
        <v>45761.0</v>
      </c>
      <c r="B810" s="97">
        <f>A810</f>
        <v>45761</v>
      </c>
      <c r="C810" s="129" t="s">
        <v>118</v>
      </c>
      <c r="D810" s="129" t="s">
        <v>1756</v>
      </c>
      <c r="E810" s="129" t="s">
        <v>1758</v>
      </c>
      <c r="F810" s="130">
        <v>150.0</v>
      </c>
      <c r="G810" s="129"/>
      <c r="H810" s="44" t="b">
        <v>1</v>
      </c>
    </row>
    <row r="811" hidden="1" outlineLevel="1">
      <c r="A811" s="58"/>
      <c r="B811" s="58"/>
      <c r="C811" s="129" t="s">
        <v>994</v>
      </c>
      <c r="D811" s="129" t="s">
        <v>1849</v>
      </c>
      <c r="E811" s="129" t="s">
        <v>1758</v>
      </c>
      <c r="F811" s="130">
        <v>150.0</v>
      </c>
      <c r="G811" s="129"/>
      <c r="H811" s="44" t="b">
        <v>1</v>
      </c>
    </row>
    <row r="812" hidden="1" outlineLevel="1">
      <c r="A812" s="10"/>
      <c r="B812" s="10"/>
      <c r="C812" s="129" t="s">
        <v>136</v>
      </c>
      <c r="D812" s="129" t="s">
        <v>1785</v>
      </c>
      <c r="E812" s="129" t="s">
        <v>1793</v>
      </c>
      <c r="F812" s="130">
        <v>100.0</v>
      </c>
      <c r="G812" s="129" t="s">
        <v>2067</v>
      </c>
      <c r="H812" s="44" t="b">
        <v>1</v>
      </c>
    </row>
    <row r="813" hidden="1" outlineLevel="1">
      <c r="A813" s="102">
        <v>45762.0</v>
      </c>
      <c r="B813" s="97">
        <f>A813</f>
        <v>45762</v>
      </c>
      <c r="C813" s="129" t="s">
        <v>118</v>
      </c>
      <c r="D813" s="129" t="s">
        <v>1756</v>
      </c>
      <c r="E813" s="129" t="s">
        <v>469</v>
      </c>
      <c r="F813" s="130">
        <v>150.0</v>
      </c>
      <c r="G813" s="129"/>
      <c r="H813" s="44" t="b">
        <v>1</v>
      </c>
    </row>
    <row r="814" hidden="1" outlineLevel="1">
      <c r="A814" s="58"/>
      <c r="B814" s="58"/>
      <c r="C814" s="129" t="s">
        <v>118</v>
      </c>
      <c r="D814" s="129" t="s">
        <v>183</v>
      </c>
      <c r="E814" s="129" t="s">
        <v>1758</v>
      </c>
      <c r="F814" s="130">
        <v>150.0</v>
      </c>
      <c r="G814" s="129"/>
      <c r="H814" s="44" t="b">
        <v>1</v>
      </c>
    </row>
    <row r="815" hidden="1" outlineLevel="1">
      <c r="A815" s="10"/>
      <c r="B815" s="10"/>
      <c r="C815" s="129" t="s">
        <v>994</v>
      </c>
      <c r="D815" s="129" t="s">
        <v>1849</v>
      </c>
      <c r="E815" s="129" t="s">
        <v>1758</v>
      </c>
      <c r="F815" s="130">
        <v>150.0</v>
      </c>
      <c r="G815" s="129"/>
      <c r="H815" s="44" t="b">
        <v>1</v>
      </c>
    </row>
    <row r="816" hidden="1" outlineLevel="1">
      <c r="A816" s="102">
        <v>45763.0</v>
      </c>
      <c r="B816" s="97">
        <f>A816</f>
        <v>45763</v>
      </c>
      <c r="C816" s="129" t="s">
        <v>118</v>
      </c>
      <c r="D816" s="129" t="s">
        <v>1756</v>
      </c>
      <c r="E816" s="129" t="s">
        <v>1758</v>
      </c>
      <c r="F816" s="130">
        <v>150.0</v>
      </c>
      <c r="G816" s="129"/>
      <c r="H816" s="44" t="b">
        <v>1</v>
      </c>
    </row>
    <row r="817" hidden="1" outlineLevel="1">
      <c r="A817" s="58"/>
      <c r="B817" s="58"/>
      <c r="C817" s="129" t="s">
        <v>994</v>
      </c>
      <c r="D817" s="129" t="s">
        <v>1849</v>
      </c>
      <c r="E817" s="129" t="s">
        <v>1758</v>
      </c>
      <c r="F817" s="130">
        <v>150.0</v>
      </c>
      <c r="G817" s="129"/>
      <c r="H817" s="44" t="b">
        <v>1</v>
      </c>
    </row>
    <row r="818" hidden="1" outlineLevel="1">
      <c r="A818" s="10"/>
      <c r="B818" s="10"/>
      <c r="C818" s="129" t="s">
        <v>136</v>
      </c>
      <c r="D818" s="129" t="s">
        <v>1828</v>
      </c>
      <c r="E818" s="129" t="s">
        <v>1758</v>
      </c>
      <c r="F818" s="130">
        <v>150.0</v>
      </c>
      <c r="G818" s="129"/>
      <c r="H818" s="44" t="b">
        <v>1</v>
      </c>
    </row>
    <row r="819" hidden="1" outlineLevel="1">
      <c r="A819" s="125">
        <v>45764.0</v>
      </c>
      <c r="B819" s="126">
        <f t="shared" ref="B819:B822" si="326">A819</f>
        <v>45764</v>
      </c>
      <c r="C819" s="129" t="s">
        <v>118</v>
      </c>
      <c r="D819" s="129" t="s">
        <v>1828</v>
      </c>
      <c r="E819" s="129" t="s">
        <v>1758</v>
      </c>
      <c r="F819" s="130">
        <v>200.0</v>
      </c>
      <c r="G819" s="129"/>
      <c r="H819" s="44" t="b">
        <v>1</v>
      </c>
    </row>
    <row r="820" hidden="1" outlineLevel="1">
      <c r="A820" s="125">
        <v>45765.0</v>
      </c>
      <c r="B820" s="126">
        <f t="shared" si="326"/>
        <v>45765</v>
      </c>
      <c r="C820" s="129" t="s">
        <v>118</v>
      </c>
      <c r="D820" s="129" t="s">
        <v>1828</v>
      </c>
      <c r="E820" s="129" t="s">
        <v>1758</v>
      </c>
      <c r="F820" s="130">
        <v>200.0</v>
      </c>
      <c r="G820" s="129"/>
      <c r="H820" s="44" t="b">
        <v>1</v>
      </c>
    </row>
    <row r="821" hidden="1" outlineLevel="1">
      <c r="A821" s="125">
        <v>45766.0</v>
      </c>
      <c r="B821" s="126">
        <f t="shared" si="326"/>
        <v>45766</v>
      </c>
      <c r="C821" s="129" t="s">
        <v>118</v>
      </c>
      <c r="D821" s="129" t="s">
        <v>1828</v>
      </c>
      <c r="E821" s="129" t="s">
        <v>1758</v>
      </c>
      <c r="F821" s="130">
        <v>200.0</v>
      </c>
      <c r="G821" s="129"/>
      <c r="H821" s="44" t="b">
        <v>1</v>
      </c>
    </row>
    <row r="822" hidden="1" outlineLevel="1">
      <c r="A822" s="102">
        <v>45767.0</v>
      </c>
      <c r="B822" s="97">
        <f t="shared" si="326"/>
        <v>45767</v>
      </c>
      <c r="C822" s="129" t="s">
        <v>118</v>
      </c>
      <c r="D822" s="129" t="s">
        <v>1828</v>
      </c>
      <c r="E822" s="129" t="s">
        <v>1758</v>
      </c>
      <c r="F822" s="130">
        <v>200.0</v>
      </c>
      <c r="G822" s="129"/>
      <c r="H822" s="44" t="b">
        <v>1</v>
      </c>
    </row>
    <row r="823" hidden="1" outlineLevel="1">
      <c r="A823" s="58"/>
      <c r="B823" s="58"/>
      <c r="C823" s="129" t="s">
        <v>994</v>
      </c>
      <c r="D823" s="129" t="s">
        <v>1785</v>
      </c>
      <c r="E823" s="129" t="s">
        <v>1758</v>
      </c>
      <c r="F823" s="130">
        <v>200.0</v>
      </c>
      <c r="G823" s="129"/>
      <c r="H823" s="44" t="b">
        <v>1</v>
      </c>
    </row>
    <row r="824" hidden="1" outlineLevel="1">
      <c r="A824" s="10"/>
      <c r="B824" s="10"/>
      <c r="C824" s="129" t="s">
        <v>136</v>
      </c>
      <c r="D824" s="129" t="s">
        <v>363</v>
      </c>
      <c r="E824" s="129" t="s">
        <v>1758</v>
      </c>
      <c r="F824" s="130">
        <v>200.0</v>
      </c>
      <c r="G824" s="129"/>
      <c r="H824" s="44" t="b">
        <v>1</v>
      </c>
    </row>
    <row r="825" hidden="1" outlineLevel="1">
      <c r="A825" s="102">
        <v>45768.0</v>
      </c>
      <c r="B825" s="97">
        <f>A825</f>
        <v>45768</v>
      </c>
      <c r="C825" s="129" t="s">
        <v>118</v>
      </c>
      <c r="D825" s="129" t="s">
        <v>1756</v>
      </c>
      <c r="E825" s="129" t="s">
        <v>1758</v>
      </c>
      <c r="F825" s="130">
        <v>150.0</v>
      </c>
      <c r="G825" s="129"/>
      <c r="H825" s="44" t="b">
        <v>1</v>
      </c>
    </row>
    <row r="826" hidden="1" outlineLevel="1">
      <c r="A826" s="10"/>
      <c r="B826" s="10"/>
      <c r="C826" s="129" t="s">
        <v>994</v>
      </c>
      <c r="D826" s="129" t="s">
        <v>1849</v>
      </c>
      <c r="E826" s="129" t="s">
        <v>1758</v>
      </c>
      <c r="F826" s="130">
        <v>150.0</v>
      </c>
      <c r="G826" s="129"/>
      <c r="H826" s="44" t="b">
        <v>1</v>
      </c>
    </row>
    <row r="827" hidden="1" outlineLevel="1">
      <c r="A827" s="102">
        <v>45769.0</v>
      </c>
      <c r="B827" s="97">
        <f>A827</f>
        <v>45769</v>
      </c>
      <c r="C827" s="129" t="s">
        <v>118</v>
      </c>
      <c r="D827" s="129" t="s">
        <v>1756</v>
      </c>
      <c r="E827" s="129" t="s">
        <v>469</v>
      </c>
      <c r="F827" s="130">
        <v>150.0</v>
      </c>
      <c r="G827" s="129"/>
      <c r="H827" s="44" t="b">
        <v>1</v>
      </c>
    </row>
    <row r="828" hidden="1" outlineLevel="1">
      <c r="A828" s="58"/>
      <c r="B828" s="58"/>
      <c r="C828" s="129" t="s">
        <v>118</v>
      </c>
      <c r="D828" s="129" t="s">
        <v>183</v>
      </c>
      <c r="E828" s="129" t="s">
        <v>1758</v>
      </c>
      <c r="F828" s="130">
        <v>150.0</v>
      </c>
      <c r="G828" s="129"/>
      <c r="H828" s="44" t="b">
        <v>1</v>
      </c>
    </row>
    <row r="829" hidden="1" outlineLevel="1">
      <c r="A829" s="10"/>
      <c r="B829" s="10"/>
      <c r="C829" s="129" t="s">
        <v>994</v>
      </c>
      <c r="D829" s="129" t="s">
        <v>1849</v>
      </c>
      <c r="E829" s="129" t="s">
        <v>1758</v>
      </c>
      <c r="F829" s="130">
        <v>150.0</v>
      </c>
      <c r="G829" s="129"/>
      <c r="H829" s="44" t="b">
        <v>1</v>
      </c>
    </row>
    <row r="830" hidden="1" outlineLevel="1">
      <c r="A830" s="102">
        <v>45770.0</v>
      </c>
      <c r="B830" s="97">
        <f>A830</f>
        <v>45770</v>
      </c>
      <c r="C830" s="129" t="s">
        <v>118</v>
      </c>
      <c r="D830" s="129" t="s">
        <v>1756</v>
      </c>
      <c r="E830" s="129" t="s">
        <v>1758</v>
      </c>
      <c r="F830" s="130">
        <v>150.0</v>
      </c>
      <c r="G830" s="129"/>
      <c r="H830" s="44" t="b">
        <v>1</v>
      </c>
    </row>
    <row r="831" hidden="1" outlineLevel="1">
      <c r="A831" s="10"/>
      <c r="B831" s="10"/>
      <c r="C831" s="129" t="s">
        <v>994</v>
      </c>
      <c r="D831" s="129" t="s">
        <v>1849</v>
      </c>
      <c r="E831" s="129" t="s">
        <v>1758</v>
      </c>
      <c r="F831" s="130">
        <v>150.0</v>
      </c>
      <c r="G831" s="129"/>
      <c r="H831" s="44" t="b">
        <v>1</v>
      </c>
    </row>
    <row r="832" hidden="1" outlineLevel="1">
      <c r="A832" s="102">
        <v>45771.0</v>
      </c>
      <c r="B832" s="97">
        <f>A832</f>
        <v>45771</v>
      </c>
      <c r="C832" s="129" t="s">
        <v>118</v>
      </c>
      <c r="D832" s="129" t="s">
        <v>1756</v>
      </c>
      <c r="E832" s="129" t="s">
        <v>1758</v>
      </c>
      <c r="F832" s="130">
        <v>150.0</v>
      </c>
      <c r="G832" s="129"/>
      <c r="H832" s="44" t="b">
        <v>1</v>
      </c>
    </row>
    <row r="833" hidden="1" outlineLevel="1">
      <c r="A833" s="10"/>
      <c r="B833" s="10"/>
      <c r="C833" s="129" t="s">
        <v>994</v>
      </c>
      <c r="D833" s="129" t="s">
        <v>562</v>
      </c>
      <c r="E833" s="129" t="s">
        <v>1758</v>
      </c>
      <c r="F833" s="130">
        <v>150.0</v>
      </c>
      <c r="G833" s="129"/>
      <c r="H833" s="44" t="b">
        <v>1</v>
      </c>
    </row>
    <row r="834" hidden="1" outlineLevel="1">
      <c r="A834" s="102">
        <v>45772.0</v>
      </c>
      <c r="B834" s="97">
        <f>A834</f>
        <v>45772</v>
      </c>
      <c r="C834" s="129" t="s">
        <v>118</v>
      </c>
      <c r="D834" s="129" t="s">
        <v>1756</v>
      </c>
      <c r="E834" s="129" t="s">
        <v>469</v>
      </c>
      <c r="F834" s="130">
        <v>150.0</v>
      </c>
      <c r="G834" s="129"/>
      <c r="H834" s="44" t="b">
        <v>1</v>
      </c>
    </row>
    <row r="835" hidden="1" outlineLevel="1">
      <c r="A835" s="58"/>
      <c r="B835" s="58"/>
      <c r="C835" s="129" t="s">
        <v>118</v>
      </c>
      <c r="D835" s="129" t="s">
        <v>183</v>
      </c>
      <c r="E835" s="129" t="s">
        <v>1758</v>
      </c>
      <c r="F835" s="130">
        <v>150.0</v>
      </c>
      <c r="G835" s="129"/>
      <c r="H835" s="44" t="b">
        <v>1</v>
      </c>
    </row>
    <row r="836" hidden="1" outlineLevel="1">
      <c r="A836" s="10"/>
      <c r="B836" s="10"/>
      <c r="C836" s="129" t="s">
        <v>994</v>
      </c>
      <c r="D836" s="129" t="s">
        <v>1849</v>
      </c>
      <c r="E836" s="129" t="s">
        <v>1758</v>
      </c>
      <c r="F836" s="130">
        <v>150.0</v>
      </c>
      <c r="G836" s="129"/>
      <c r="H836" s="44" t="b">
        <v>1</v>
      </c>
    </row>
    <row r="837" hidden="1" outlineLevel="1">
      <c r="A837" s="125">
        <v>45773.0</v>
      </c>
      <c r="B837" s="126">
        <f t="shared" ref="B837:B838" si="327">A837</f>
        <v>45773</v>
      </c>
      <c r="C837" s="129" t="s">
        <v>118</v>
      </c>
      <c r="D837" s="129" t="s">
        <v>1756</v>
      </c>
      <c r="E837" s="129" t="s">
        <v>1758</v>
      </c>
      <c r="F837" s="130">
        <v>150.0</v>
      </c>
      <c r="G837" s="129"/>
      <c r="H837" s="44" t="b">
        <v>1</v>
      </c>
    </row>
    <row r="838" hidden="1" outlineLevel="1">
      <c r="A838" s="102">
        <v>45774.0</v>
      </c>
      <c r="B838" s="97">
        <f t="shared" si="327"/>
        <v>45774</v>
      </c>
      <c r="C838" s="129" t="s">
        <v>118</v>
      </c>
      <c r="D838" s="129" t="s">
        <v>1828</v>
      </c>
      <c r="E838" s="129" t="s">
        <v>1758</v>
      </c>
      <c r="F838" s="130">
        <v>200.0</v>
      </c>
      <c r="G838" s="129"/>
      <c r="H838" s="44" t="b">
        <v>1</v>
      </c>
    </row>
    <row r="839" hidden="1" outlineLevel="1">
      <c r="A839" s="58"/>
      <c r="B839" s="58"/>
      <c r="C839" s="129" t="s">
        <v>994</v>
      </c>
      <c r="D839" s="129" t="s">
        <v>1785</v>
      </c>
      <c r="E839" s="129" t="s">
        <v>1758</v>
      </c>
      <c r="F839" s="130">
        <v>200.0</v>
      </c>
      <c r="G839" s="129"/>
      <c r="H839" s="44" t="b">
        <v>1</v>
      </c>
    </row>
    <row r="840" hidden="1" outlineLevel="1">
      <c r="A840" s="10"/>
      <c r="B840" s="10"/>
      <c r="C840" s="129" t="s">
        <v>136</v>
      </c>
      <c r="D840" s="129" t="s">
        <v>1840</v>
      </c>
      <c r="E840" s="129" t="s">
        <v>1758</v>
      </c>
      <c r="F840" s="130">
        <v>200.0</v>
      </c>
      <c r="G840" s="129"/>
      <c r="H840" s="44" t="b">
        <v>1</v>
      </c>
    </row>
    <row r="841" hidden="1" outlineLevel="1">
      <c r="A841" s="102">
        <v>45775.0</v>
      </c>
      <c r="B841" s="97">
        <f>A841</f>
        <v>45775</v>
      </c>
      <c r="C841" s="129" t="s">
        <v>118</v>
      </c>
      <c r="D841" s="129" t="s">
        <v>1756</v>
      </c>
      <c r="E841" s="129" t="s">
        <v>1758</v>
      </c>
      <c r="F841" s="130">
        <v>150.0</v>
      </c>
      <c r="G841" s="129"/>
      <c r="H841" s="44" t="b">
        <v>1</v>
      </c>
    </row>
    <row r="842" hidden="1" outlineLevel="1">
      <c r="A842" s="10"/>
      <c r="B842" s="10"/>
      <c r="C842" s="129" t="s">
        <v>994</v>
      </c>
      <c r="D842" s="129" t="s">
        <v>1849</v>
      </c>
      <c r="E842" s="129" t="s">
        <v>1758</v>
      </c>
      <c r="F842" s="130">
        <v>150.0</v>
      </c>
      <c r="G842" s="129"/>
      <c r="H842" s="44" t="b">
        <v>1</v>
      </c>
    </row>
    <row r="843" hidden="1" outlineLevel="1">
      <c r="A843" s="102">
        <v>45776.0</v>
      </c>
      <c r="B843" s="97">
        <f>A843</f>
        <v>45776</v>
      </c>
      <c r="C843" s="129" t="s">
        <v>118</v>
      </c>
      <c r="D843" s="129" t="s">
        <v>1756</v>
      </c>
      <c r="E843" s="129" t="s">
        <v>469</v>
      </c>
      <c r="F843" s="130">
        <v>150.0</v>
      </c>
      <c r="G843" s="129"/>
      <c r="H843" s="44" t="b">
        <v>1</v>
      </c>
    </row>
    <row r="844" hidden="1" outlineLevel="1">
      <c r="A844" s="58"/>
      <c r="B844" s="58"/>
      <c r="C844" s="129" t="s">
        <v>118</v>
      </c>
      <c r="D844" s="129" t="s">
        <v>183</v>
      </c>
      <c r="E844" s="129" t="s">
        <v>1758</v>
      </c>
      <c r="F844" s="130">
        <v>150.0</v>
      </c>
      <c r="G844" s="129"/>
      <c r="H844" s="44" t="b">
        <v>1</v>
      </c>
    </row>
    <row r="845" hidden="1" outlineLevel="1">
      <c r="A845" s="10"/>
      <c r="B845" s="10"/>
      <c r="C845" s="129" t="s">
        <v>994</v>
      </c>
      <c r="D845" s="129" t="s">
        <v>1849</v>
      </c>
      <c r="E845" s="129" t="s">
        <v>1758</v>
      </c>
      <c r="F845" s="130">
        <v>150.0</v>
      </c>
      <c r="G845" s="129"/>
      <c r="H845" s="44" t="b">
        <v>1</v>
      </c>
    </row>
    <row r="846" hidden="1" outlineLevel="1">
      <c r="A846" s="102">
        <v>45777.0</v>
      </c>
      <c r="B846" s="97">
        <f>A846</f>
        <v>45777</v>
      </c>
      <c r="C846" s="129" t="s">
        <v>118</v>
      </c>
      <c r="D846" s="129" t="s">
        <v>1756</v>
      </c>
      <c r="E846" s="129" t="s">
        <v>1758</v>
      </c>
      <c r="F846" s="130">
        <v>150.0</v>
      </c>
      <c r="G846" s="129"/>
      <c r="H846" s="44" t="b">
        <v>1</v>
      </c>
    </row>
    <row r="847" hidden="1" outlineLevel="1">
      <c r="A847" s="10"/>
      <c r="B847" s="10"/>
      <c r="C847" s="129" t="s">
        <v>994</v>
      </c>
      <c r="D847" s="129" t="s">
        <v>1849</v>
      </c>
      <c r="E847" s="129" t="s">
        <v>1758</v>
      </c>
      <c r="F847" s="130">
        <v>150.0</v>
      </c>
      <c r="G847" s="129"/>
      <c r="H847" s="44" t="b">
        <v>1</v>
      </c>
    </row>
    <row r="848">
      <c r="A848" s="484" t="s">
        <v>195</v>
      </c>
      <c r="B848" s="27"/>
      <c r="C848" s="27"/>
      <c r="D848" s="27"/>
      <c r="E848" s="28"/>
      <c r="F848" s="485">
        <f>SUM(F781:F847)</f>
        <v>10700</v>
      </c>
      <c r="G848" s="486"/>
      <c r="H848" s="28"/>
    </row>
    <row r="849" collapsed="1">
      <c r="A849" s="339" t="s">
        <v>1035</v>
      </c>
      <c r="B849" s="246"/>
      <c r="C849" s="246"/>
      <c r="D849" s="246"/>
      <c r="E849" s="246"/>
      <c r="F849" s="246"/>
      <c r="G849" s="246"/>
      <c r="H849" s="247"/>
    </row>
    <row r="850" hidden="1" outlineLevel="1">
      <c r="A850" s="102">
        <v>45778.0</v>
      </c>
      <c r="B850" s="97">
        <f>A850</f>
        <v>45778</v>
      </c>
      <c r="C850" s="313">
        <v>0.2916666666666667</v>
      </c>
      <c r="D850" s="129" t="s">
        <v>1756</v>
      </c>
      <c r="E850" s="129" t="s">
        <v>1758</v>
      </c>
      <c r="F850" s="130">
        <v>150.0</v>
      </c>
      <c r="G850" s="129"/>
      <c r="H850" s="44" t="b">
        <v>1</v>
      </c>
      <c r="K850" s="440" t="s">
        <v>2068</v>
      </c>
      <c r="L850" s="27"/>
      <c r="M850" s="27"/>
      <c r="N850" s="27"/>
      <c r="O850" s="27"/>
      <c r="P850" s="27"/>
      <c r="Q850" s="28"/>
    </row>
    <row r="851" hidden="1" outlineLevel="1">
      <c r="A851" s="10"/>
      <c r="B851" s="10"/>
      <c r="C851" s="313">
        <v>0.5069444444444444</v>
      </c>
      <c r="D851" s="129" t="s">
        <v>562</v>
      </c>
      <c r="E851" s="129" t="s">
        <v>1758</v>
      </c>
      <c r="F851" s="130">
        <v>150.0</v>
      </c>
      <c r="G851" s="129"/>
      <c r="H851" s="44" t="b">
        <v>1</v>
      </c>
      <c r="K851" s="441" t="s">
        <v>1749</v>
      </c>
      <c r="L851" s="441" t="s">
        <v>1758</v>
      </c>
      <c r="M851" s="441" t="s">
        <v>469</v>
      </c>
      <c r="N851" s="441" t="s">
        <v>195</v>
      </c>
      <c r="O851" s="441" t="s">
        <v>1764</v>
      </c>
      <c r="P851" s="441" t="s">
        <v>1765</v>
      </c>
      <c r="Q851" s="441" t="s">
        <v>1766</v>
      </c>
    </row>
    <row r="852" hidden="1" outlineLevel="1">
      <c r="A852" s="102">
        <v>45779.0</v>
      </c>
      <c r="B852" s="97">
        <f>A852</f>
        <v>45779</v>
      </c>
      <c r="C852" s="398">
        <v>0.2916666666666667</v>
      </c>
      <c r="D852" s="129" t="s">
        <v>1756</v>
      </c>
      <c r="E852" s="129" t="s">
        <v>469</v>
      </c>
      <c r="F852" s="130">
        <v>150.0</v>
      </c>
      <c r="G852" s="129"/>
      <c r="H852" s="44" t="b">
        <v>1</v>
      </c>
      <c r="K852" s="91" t="s">
        <v>1756</v>
      </c>
      <c r="L852" s="90">
        <f t="shared" ref="L852:L863" si="328">COUNTIFS($D$850:$D$919, $K852,$E$850:$E$919,$L$851)</f>
        <v>18</v>
      </c>
      <c r="M852" s="90">
        <f t="shared" ref="M852:M863" si="329">COUNTIFS($D$850:$D$919, $K852,$E$850:$E$919,$M$851)</f>
        <v>9</v>
      </c>
      <c r="N852" s="90">
        <f t="shared" ref="N852:N863" si="330">L852+M852</f>
        <v>27</v>
      </c>
      <c r="O852" s="92">
        <f t="shared" ref="O852:O863" si="331">SUMIFS($F$850:$F$919,$D$850:$D$919,$K852)</f>
        <v>4050</v>
      </c>
      <c r="P852" s="92">
        <f t="shared" ref="P852:P863" si="332">SUMIFS($F$850:$F$919,$D$850:$D$919,$K852,$H$850:$H$919,TRUE)</f>
        <v>4050</v>
      </c>
      <c r="Q852" s="92">
        <f t="shared" ref="Q852:Q863" si="333">O852-P852</f>
        <v>0</v>
      </c>
    </row>
    <row r="853" hidden="1" outlineLevel="1">
      <c r="A853" s="58"/>
      <c r="B853" s="58"/>
      <c r="C853" s="10"/>
      <c r="D853" s="129" t="s">
        <v>183</v>
      </c>
      <c r="E853" s="129" t="s">
        <v>1758</v>
      </c>
      <c r="F853" s="130">
        <v>150.0</v>
      </c>
      <c r="G853" s="129"/>
      <c r="H853" s="44" t="b">
        <v>1</v>
      </c>
      <c r="K853" s="91" t="s">
        <v>1810</v>
      </c>
      <c r="L853" s="90">
        <f t="shared" si="328"/>
        <v>0</v>
      </c>
      <c r="M853" s="90">
        <f t="shared" si="329"/>
        <v>0</v>
      </c>
      <c r="N853" s="90">
        <f t="shared" si="330"/>
        <v>0</v>
      </c>
      <c r="O853" s="92">
        <f t="shared" si="331"/>
        <v>0</v>
      </c>
      <c r="P853" s="92">
        <f t="shared" si="332"/>
        <v>0</v>
      </c>
      <c r="Q853" s="92">
        <f t="shared" si="333"/>
        <v>0</v>
      </c>
    </row>
    <row r="854" hidden="1" outlineLevel="1">
      <c r="A854" s="10"/>
      <c r="B854" s="10"/>
      <c r="C854" s="313">
        <v>0.5069444444444444</v>
      </c>
      <c r="D854" s="129" t="s">
        <v>1849</v>
      </c>
      <c r="E854" s="129" t="s">
        <v>1758</v>
      </c>
      <c r="F854" s="130">
        <v>150.0</v>
      </c>
      <c r="G854" s="129"/>
      <c r="H854" s="44" t="b">
        <v>1</v>
      </c>
      <c r="K854" s="91" t="s">
        <v>1840</v>
      </c>
      <c r="L854" s="90">
        <f t="shared" si="328"/>
        <v>1</v>
      </c>
      <c r="M854" s="90">
        <f t="shared" si="329"/>
        <v>0</v>
      </c>
      <c r="N854" s="90">
        <f t="shared" si="330"/>
        <v>1</v>
      </c>
      <c r="O854" s="92">
        <f t="shared" si="331"/>
        <v>200</v>
      </c>
      <c r="P854" s="92">
        <f t="shared" si="332"/>
        <v>200</v>
      </c>
      <c r="Q854" s="92">
        <f t="shared" si="333"/>
        <v>0</v>
      </c>
    </row>
    <row r="855" hidden="1" outlineLevel="1">
      <c r="A855" s="125">
        <v>45780.0</v>
      </c>
      <c r="B855" s="126">
        <f t="shared" ref="B855:B856" si="334">A855</f>
        <v>45780</v>
      </c>
      <c r="C855" s="313">
        <v>0.3333333333333333</v>
      </c>
      <c r="D855" s="129" t="s">
        <v>1756</v>
      </c>
      <c r="E855" s="129" t="s">
        <v>1758</v>
      </c>
      <c r="F855" s="130">
        <v>150.0</v>
      </c>
      <c r="G855" s="129"/>
      <c r="H855" s="44" t="b">
        <v>1</v>
      </c>
      <c r="K855" s="91" t="s">
        <v>183</v>
      </c>
      <c r="L855" s="90">
        <f t="shared" si="328"/>
        <v>9</v>
      </c>
      <c r="M855" s="90">
        <f t="shared" si="329"/>
        <v>0</v>
      </c>
      <c r="N855" s="90">
        <f t="shared" si="330"/>
        <v>9</v>
      </c>
      <c r="O855" s="92">
        <f t="shared" si="331"/>
        <v>1350</v>
      </c>
      <c r="P855" s="92">
        <f t="shared" si="332"/>
        <v>1350</v>
      </c>
      <c r="Q855" s="92">
        <f t="shared" si="333"/>
        <v>0</v>
      </c>
    </row>
    <row r="856" hidden="1" outlineLevel="1">
      <c r="A856" s="102">
        <v>45781.0</v>
      </c>
      <c r="B856" s="97">
        <f t="shared" si="334"/>
        <v>45781</v>
      </c>
      <c r="C856" s="313">
        <v>0.3333333333333333</v>
      </c>
      <c r="D856" s="129" t="s">
        <v>1828</v>
      </c>
      <c r="E856" s="129" t="s">
        <v>1758</v>
      </c>
      <c r="F856" s="130">
        <v>200.0</v>
      </c>
      <c r="G856" s="129"/>
      <c r="H856" s="44" t="b">
        <v>1</v>
      </c>
      <c r="K856" s="91" t="s">
        <v>363</v>
      </c>
      <c r="L856" s="90">
        <f t="shared" si="328"/>
        <v>1</v>
      </c>
      <c r="M856" s="90">
        <f t="shared" si="329"/>
        <v>0</v>
      </c>
      <c r="N856" s="90">
        <f t="shared" si="330"/>
        <v>1</v>
      </c>
      <c r="O856" s="92">
        <f t="shared" si="331"/>
        <v>200</v>
      </c>
      <c r="P856" s="92">
        <f t="shared" si="332"/>
        <v>200</v>
      </c>
      <c r="Q856" s="92">
        <f t="shared" si="333"/>
        <v>0</v>
      </c>
    </row>
    <row r="857" hidden="1" outlineLevel="1">
      <c r="A857" s="58"/>
      <c r="B857" s="58"/>
      <c r="C857" s="313">
        <v>0.4583333333333333</v>
      </c>
      <c r="D857" s="129" t="s">
        <v>1785</v>
      </c>
      <c r="E857" s="129" t="s">
        <v>1758</v>
      </c>
      <c r="F857" s="130">
        <v>200.0</v>
      </c>
      <c r="G857" s="129"/>
      <c r="H857" s="44" t="b">
        <v>1</v>
      </c>
      <c r="K857" s="91" t="s">
        <v>1785</v>
      </c>
      <c r="L857" s="90">
        <f t="shared" si="328"/>
        <v>2</v>
      </c>
      <c r="M857" s="90">
        <f t="shared" si="329"/>
        <v>0</v>
      </c>
      <c r="N857" s="90">
        <f t="shared" si="330"/>
        <v>2</v>
      </c>
      <c r="O857" s="92">
        <f t="shared" si="331"/>
        <v>400</v>
      </c>
      <c r="P857" s="92">
        <f t="shared" si="332"/>
        <v>400</v>
      </c>
      <c r="Q857" s="92">
        <f t="shared" si="333"/>
        <v>0</v>
      </c>
    </row>
    <row r="858" hidden="1" outlineLevel="1">
      <c r="A858" s="10"/>
      <c r="B858" s="10"/>
      <c r="C858" s="313">
        <v>0.7708333333333334</v>
      </c>
      <c r="D858" s="129" t="s">
        <v>363</v>
      </c>
      <c r="E858" s="129" t="s">
        <v>1758</v>
      </c>
      <c r="F858" s="130">
        <v>200.0</v>
      </c>
      <c r="G858" s="129"/>
      <c r="H858" s="44" t="b">
        <v>1</v>
      </c>
      <c r="K858" s="91" t="s">
        <v>1842</v>
      </c>
      <c r="L858" s="90">
        <f t="shared" si="328"/>
        <v>0</v>
      </c>
      <c r="M858" s="90">
        <f t="shared" si="329"/>
        <v>0</v>
      </c>
      <c r="N858" s="90">
        <f t="shared" si="330"/>
        <v>0</v>
      </c>
      <c r="O858" s="92">
        <f t="shared" si="331"/>
        <v>0</v>
      </c>
      <c r="P858" s="92">
        <f t="shared" si="332"/>
        <v>0</v>
      </c>
      <c r="Q858" s="92">
        <f t="shared" si="333"/>
        <v>0</v>
      </c>
    </row>
    <row r="859" hidden="1" outlineLevel="1">
      <c r="A859" s="102">
        <v>45782.0</v>
      </c>
      <c r="B859" s="97">
        <f>A859</f>
        <v>45782</v>
      </c>
      <c r="C859" s="313">
        <v>0.2916666666666667</v>
      </c>
      <c r="D859" s="129" t="s">
        <v>1756</v>
      </c>
      <c r="E859" s="129" t="s">
        <v>1758</v>
      </c>
      <c r="F859" s="130">
        <v>150.0</v>
      </c>
      <c r="G859" s="129"/>
      <c r="H859" s="44" t="b">
        <v>1</v>
      </c>
      <c r="K859" s="91" t="s">
        <v>562</v>
      </c>
      <c r="L859" s="90">
        <f t="shared" si="328"/>
        <v>7</v>
      </c>
      <c r="M859" s="90">
        <f t="shared" si="329"/>
        <v>0</v>
      </c>
      <c r="N859" s="90">
        <f t="shared" si="330"/>
        <v>7</v>
      </c>
      <c r="O859" s="92">
        <f t="shared" si="331"/>
        <v>1150</v>
      </c>
      <c r="P859" s="92">
        <f t="shared" si="332"/>
        <v>1150</v>
      </c>
      <c r="Q859" s="92">
        <f t="shared" si="333"/>
        <v>0</v>
      </c>
    </row>
    <row r="860" hidden="1" outlineLevel="1">
      <c r="A860" s="10"/>
      <c r="B860" s="10"/>
      <c r="C860" s="313">
        <v>0.5069444444444444</v>
      </c>
      <c r="D860" s="129" t="s">
        <v>1849</v>
      </c>
      <c r="E860" s="129" t="s">
        <v>1758</v>
      </c>
      <c r="F860" s="130">
        <v>150.0</v>
      </c>
      <c r="G860" s="129"/>
      <c r="H860" s="44" t="b">
        <v>1</v>
      </c>
      <c r="K860" s="91" t="s">
        <v>1828</v>
      </c>
      <c r="L860" s="90">
        <f t="shared" si="328"/>
        <v>3</v>
      </c>
      <c r="M860" s="90">
        <f t="shared" si="329"/>
        <v>0</v>
      </c>
      <c r="N860" s="90">
        <f t="shared" si="330"/>
        <v>3</v>
      </c>
      <c r="O860" s="92">
        <f t="shared" si="331"/>
        <v>600</v>
      </c>
      <c r="P860" s="92">
        <f t="shared" si="332"/>
        <v>600</v>
      </c>
      <c r="Q860" s="92">
        <f t="shared" si="333"/>
        <v>0</v>
      </c>
    </row>
    <row r="861" hidden="1" outlineLevel="1">
      <c r="A861" s="102">
        <v>45783.0</v>
      </c>
      <c r="B861" s="97">
        <f>A861</f>
        <v>45783</v>
      </c>
      <c r="C861" s="398">
        <v>0.2916666666666667</v>
      </c>
      <c r="D861" s="129" t="s">
        <v>1756</v>
      </c>
      <c r="E861" s="129" t="s">
        <v>469</v>
      </c>
      <c r="F861" s="130">
        <v>150.0</v>
      </c>
      <c r="G861" s="129"/>
      <c r="H861" s="44" t="b">
        <v>1</v>
      </c>
      <c r="K861" s="91" t="s">
        <v>1845</v>
      </c>
      <c r="L861" s="90">
        <f t="shared" si="328"/>
        <v>2</v>
      </c>
      <c r="M861" s="90">
        <f t="shared" si="329"/>
        <v>0</v>
      </c>
      <c r="N861" s="90">
        <f t="shared" si="330"/>
        <v>2</v>
      </c>
      <c r="O861" s="92">
        <f t="shared" si="331"/>
        <v>400</v>
      </c>
      <c r="P861" s="92">
        <f t="shared" si="332"/>
        <v>400</v>
      </c>
      <c r="Q861" s="92">
        <f t="shared" si="333"/>
        <v>0</v>
      </c>
    </row>
    <row r="862" hidden="1" outlineLevel="1">
      <c r="A862" s="58"/>
      <c r="B862" s="58"/>
      <c r="C862" s="10"/>
      <c r="D862" s="129" t="s">
        <v>183</v>
      </c>
      <c r="E862" s="129" t="s">
        <v>1758</v>
      </c>
      <c r="F862" s="130">
        <v>150.0</v>
      </c>
      <c r="G862" s="129"/>
      <c r="H862" s="44" t="b">
        <v>1</v>
      </c>
      <c r="K862" s="91" t="s">
        <v>1849</v>
      </c>
      <c r="L862" s="90">
        <f t="shared" si="328"/>
        <v>17</v>
      </c>
      <c r="M862" s="90">
        <f t="shared" si="329"/>
        <v>0</v>
      </c>
      <c r="N862" s="90">
        <f t="shared" si="330"/>
        <v>17</v>
      </c>
      <c r="O862" s="92">
        <f t="shared" si="331"/>
        <v>2550</v>
      </c>
      <c r="P862" s="92">
        <f t="shared" si="332"/>
        <v>2550</v>
      </c>
      <c r="Q862" s="92">
        <f t="shared" si="333"/>
        <v>0</v>
      </c>
    </row>
    <row r="863" hidden="1" outlineLevel="1">
      <c r="A863" s="10"/>
      <c r="B863" s="10"/>
      <c r="C863" s="313">
        <v>0.5069444444444444</v>
      </c>
      <c r="D863" s="129" t="s">
        <v>1849</v>
      </c>
      <c r="E863" s="129" t="s">
        <v>1758</v>
      </c>
      <c r="F863" s="130">
        <v>150.0</v>
      </c>
      <c r="G863" s="129"/>
      <c r="H863" s="44" t="b">
        <v>1</v>
      </c>
      <c r="K863" s="91" t="s">
        <v>1805</v>
      </c>
      <c r="L863" s="90">
        <f t="shared" si="328"/>
        <v>1</v>
      </c>
      <c r="M863" s="90">
        <f t="shared" si="329"/>
        <v>0</v>
      </c>
      <c r="N863" s="90">
        <f t="shared" si="330"/>
        <v>1</v>
      </c>
      <c r="O863" s="92">
        <f t="shared" si="331"/>
        <v>200</v>
      </c>
      <c r="P863" s="92">
        <f t="shared" si="332"/>
        <v>200</v>
      </c>
      <c r="Q863" s="92">
        <f t="shared" si="333"/>
        <v>0</v>
      </c>
    </row>
    <row r="864" hidden="1" outlineLevel="1">
      <c r="A864" s="102">
        <v>45784.0</v>
      </c>
      <c r="B864" s="97">
        <f>A864</f>
        <v>45784</v>
      </c>
      <c r="C864" s="313">
        <v>0.2916666666666667</v>
      </c>
      <c r="D864" s="129" t="s">
        <v>1756</v>
      </c>
      <c r="E864" s="129" t="s">
        <v>1758</v>
      </c>
      <c r="F864" s="130">
        <v>150.0</v>
      </c>
      <c r="G864" s="129"/>
      <c r="H864" s="44" t="b">
        <v>1</v>
      </c>
      <c r="K864" s="91"/>
      <c r="L864" s="90"/>
      <c r="M864" s="90"/>
      <c r="N864" s="90"/>
      <c r="O864" s="92"/>
      <c r="P864" s="92"/>
      <c r="Q864" s="90"/>
    </row>
    <row r="865" hidden="1" outlineLevel="1">
      <c r="A865" s="10"/>
      <c r="B865" s="10"/>
      <c r="C865" s="313">
        <v>0.5069444444444444</v>
      </c>
      <c r="D865" s="129" t="s">
        <v>1849</v>
      </c>
      <c r="E865" s="129" t="s">
        <v>1758</v>
      </c>
      <c r="F865" s="130">
        <v>150.0</v>
      </c>
      <c r="G865" s="129"/>
      <c r="H865" s="44" t="b">
        <v>1</v>
      </c>
      <c r="K865" s="91"/>
      <c r="L865" s="90"/>
      <c r="M865" s="90"/>
      <c r="N865" s="90"/>
      <c r="O865" s="92"/>
      <c r="P865" s="92"/>
      <c r="Q865" s="90"/>
    </row>
    <row r="866" hidden="1" outlineLevel="1">
      <c r="A866" s="102">
        <v>45785.0</v>
      </c>
      <c r="B866" s="97">
        <f>A866</f>
        <v>45785</v>
      </c>
      <c r="C866" s="313">
        <v>0.2916666666666667</v>
      </c>
      <c r="D866" s="129" t="s">
        <v>1756</v>
      </c>
      <c r="E866" s="129" t="s">
        <v>1758</v>
      </c>
      <c r="F866" s="130">
        <v>150.0</v>
      </c>
      <c r="G866" s="129"/>
      <c r="H866" s="44" t="b">
        <v>1</v>
      </c>
      <c r="K866" s="276"/>
      <c r="L866" s="90"/>
      <c r="M866" s="276"/>
      <c r="N866" s="276"/>
      <c r="O866" s="276"/>
      <c r="P866" s="276"/>
      <c r="Q866" s="276"/>
    </row>
    <row r="867" hidden="1" outlineLevel="1">
      <c r="A867" s="10"/>
      <c r="B867" s="10"/>
      <c r="C867" s="313">
        <v>0.5069444444444444</v>
      </c>
      <c r="D867" s="129" t="s">
        <v>562</v>
      </c>
      <c r="E867" s="129" t="s">
        <v>1758</v>
      </c>
      <c r="F867" s="130">
        <v>150.0</v>
      </c>
      <c r="G867" s="129"/>
      <c r="H867" s="44" t="b">
        <v>1</v>
      </c>
      <c r="K867" s="276"/>
      <c r="L867" s="90"/>
      <c r="M867" s="276"/>
      <c r="N867" s="276"/>
      <c r="O867" s="276"/>
      <c r="P867" s="276"/>
      <c r="Q867" s="276"/>
    </row>
    <row r="868" hidden="1" outlineLevel="1">
      <c r="A868" s="102">
        <v>45786.0</v>
      </c>
      <c r="B868" s="97">
        <f>A868</f>
        <v>45786</v>
      </c>
      <c r="C868" s="398">
        <v>0.2916666666666667</v>
      </c>
      <c r="D868" s="129" t="s">
        <v>1756</v>
      </c>
      <c r="E868" s="129" t="s">
        <v>469</v>
      </c>
      <c r="F868" s="130">
        <v>150.0</v>
      </c>
      <c r="G868" s="129"/>
      <c r="H868" s="44" t="b">
        <v>1</v>
      </c>
      <c r="K868" s="91"/>
      <c r="L868" s="90"/>
      <c r="M868" s="90"/>
      <c r="N868" s="90"/>
      <c r="O868" s="92"/>
      <c r="P868" s="92"/>
      <c r="Q868" s="90"/>
    </row>
    <row r="869" hidden="1" outlineLevel="1">
      <c r="A869" s="58"/>
      <c r="B869" s="58"/>
      <c r="C869" s="10"/>
      <c r="D869" s="129" t="s">
        <v>183</v>
      </c>
      <c r="E869" s="129" t="s">
        <v>1758</v>
      </c>
      <c r="F869" s="130">
        <v>150.0</v>
      </c>
      <c r="G869" s="129"/>
      <c r="H869" s="44" t="b">
        <v>1</v>
      </c>
      <c r="K869" s="477" t="s">
        <v>195</v>
      </c>
      <c r="L869" s="478">
        <f t="shared" ref="L869:Q869" si="335">SUM(L852:L868)</f>
        <v>61</v>
      </c>
      <c r="M869" s="478">
        <f t="shared" si="335"/>
        <v>9</v>
      </c>
      <c r="N869" s="478">
        <f t="shared" si="335"/>
        <v>70</v>
      </c>
      <c r="O869" s="479">
        <f t="shared" si="335"/>
        <v>11100</v>
      </c>
      <c r="P869" s="479">
        <f t="shared" si="335"/>
        <v>11100</v>
      </c>
      <c r="Q869" s="479">
        <f t="shared" si="335"/>
        <v>0</v>
      </c>
    </row>
    <row r="870" hidden="1" outlineLevel="1">
      <c r="A870" s="10"/>
      <c r="B870" s="10"/>
      <c r="C870" s="313">
        <v>0.5069444444444444</v>
      </c>
      <c r="D870" s="129" t="s">
        <v>1849</v>
      </c>
      <c r="E870" s="129" t="s">
        <v>1758</v>
      </c>
      <c r="F870" s="130">
        <v>150.0</v>
      </c>
      <c r="G870" s="129"/>
      <c r="H870" s="44" t="b">
        <v>1</v>
      </c>
    </row>
    <row r="871" hidden="1" outlineLevel="1">
      <c r="A871" s="125">
        <v>45787.0</v>
      </c>
      <c r="B871" s="126">
        <f t="shared" ref="B871:B872" si="336">A871</f>
        <v>45787</v>
      </c>
      <c r="C871" s="313">
        <v>0.3333333333333333</v>
      </c>
      <c r="D871" s="129" t="s">
        <v>1756</v>
      </c>
      <c r="E871" s="129" t="s">
        <v>1758</v>
      </c>
      <c r="F871" s="130">
        <v>150.0</v>
      </c>
      <c r="G871" s="129"/>
      <c r="H871" s="44" t="b">
        <v>1</v>
      </c>
    </row>
    <row r="872" hidden="1" outlineLevel="1">
      <c r="A872" s="102">
        <v>45788.0</v>
      </c>
      <c r="B872" s="97">
        <f t="shared" si="336"/>
        <v>45788</v>
      </c>
      <c r="C872" s="313">
        <v>0.3333333333333333</v>
      </c>
      <c r="D872" s="129" t="s">
        <v>1828</v>
      </c>
      <c r="E872" s="129" t="s">
        <v>1758</v>
      </c>
      <c r="F872" s="130">
        <v>200.0</v>
      </c>
      <c r="G872" s="129"/>
      <c r="H872" s="44" t="b">
        <v>1</v>
      </c>
    </row>
    <row r="873" hidden="1" outlineLevel="1">
      <c r="A873" s="58"/>
      <c r="B873" s="58"/>
      <c r="C873" s="313">
        <v>0.4583333333333333</v>
      </c>
      <c r="D873" s="129" t="s">
        <v>562</v>
      </c>
      <c r="E873" s="129" t="s">
        <v>1758</v>
      </c>
      <c r="F873" s="130">
        <v>200.0</v>
      </c>
      <c r="G873" s="129"/>
      <c r="H873" s="44" t="b">
        <v>1</v>
      </c>
    </row>
    <row r="874" hidden="1" outlineLevel="1">
      <c r="A874" s="10"/>
      <c r="B874" s="10"/>
      <c r="C874" s="313">
        <v>0.7708333333333334</v>
      </c>
      <c r="D874" s="129" t="s">
        <v>1845</v>
      </c>
      <c r="E874" s="129" t="s">
        <v>1758</v>
      </c>
      <c r="F874" s="130">
        <v>200.0</v>
      </c>
      <c r="G874" s="129"/>
      <c r="H874" s="44" t="b">
        <v>1</v>
      </c>
    </row>
    <row r="875" hidden="1" outlineLevel="1">
      <c r="A875" s="102">
        <v>45789.0</v>
      </c>
      <c r="B875" s="97">
        <f>A875</f>
        <v>45789</v>
      </c>
      <c r="C875" s="313">
        <v>0.2916666666666667</v>
      </c>
      <c r="D875" s="129" t="s">
        <v>1756</v>
      </c>
      <c r="E875" s="129" t="s">
        <v>1758</v>
      </c>
      <c r="F875" s="130">
        <v>150.0</v>
      </c>
      <c r="G875" s="129"/>
      <c r="H875" s="44" t="b">
        <v>1</v>
      </c>
    </row>
    <row r="876" hidden="1" outlineLevel="1">
      <c r="A876" s="10"/>
      <c r="B876" s="10"/>
      <c r="C876" s="313">
        <v>0.5069444444444444</v>
      </c>
      <c r="D876" s="129" t="s">
        <v>1849</v>
      </c>
      <c r="E876" s="129" t="s">
        <v>1758</v>
      </c>
      <c r="F876" s="130">
        <v>150.0</v>
      </c>
      <c r="G876" s="129"/>
      <c r="H876" s="44" t="b">
        <v>1</v>
      </c>
    </row>
    <row r="877" hidden="1" outlineLevel="1">
      <c r="A877" s="102">
        <v>45790.0</v>
      </c>
      <c r="B877" s="97">
        <f>A877</f>
        <v>45790</v>
      </c>
      <c r="C877" s="398">
        <v>0.2916666666666667</v>
      </c>
      <c r="D877" s="129" t="s">
        <v>1756</v>
      </c>
      <c r="E877" s="129" t="s">
        <v>469</v>
      </c>
      <c r="F877" s="130">
        <v>150.0</v>
      </c>
      <c r="G877" s="129"/>
      <c r="H877" s="44" t="b">
        <v>1</v>
      </c>
    </row>
    <row r="878" hidden="1" outlineLevel="1">
      <c r="A878" s="58"/>
      <c r="B878" s="58"/>
      <c r="C878" s="10"/>
      <c r="D878" s="129" t="s">
        <v>183</v>
      </c>
      <c r="E878" s="129" t="s">
        <v>1758</v>
      </c>
      <c r="F878" s="130">
        <v>150.0</v>
      </c>
      <c r="G878" s="129"/>
      <c r="H878" s="44" t="b">
        <v>1</v>
      </c>
    </row>
    <row r="879" hidden="1" outlineLevel="1">
      <c r="A879" s="10"/>
      <c r="B879" s="10"/>
      <c r="C879" s="313">
        <v>0.5069444444444444</v>
      </c>
      <c r="D879" s="129" t="s">
        <v>1849</v>
      </c>
      <c r="E879" s="129" t="s">
        <v>1758</v>
      </c>
      <c r="F879" s="130">
        <v>150.0</v>
      </c>
      <c r="G879" s="129"/>
      <c r="H879" s="44" t="b">
        <v>1</v>
      </c>
    </row>
    <row r="880" hidden="1" outlineLevel="1">
      <c r="A880" s="102">
        <v>45791.0</v>
      </c>
      <c r="B880" s="97">
        <f>A880</f>
        <v>45791</v>
      </c>
      <c r="C880" s="313">
        <v>0.2916666666666667</v>
      </c>
      <c r="D880" s="129" t="s">
        <v>1756</v>
      </c>
      <c r="E880" s="129" t="s">
        <v>1758</v>
      </c>
      <c r="F880" s="130">
        <v>150.0</v>
      </c>
      <c r="G880" s="129"/>
      <c r="H880" s="44" t="b">
        <v>1</v>
      </c>
    </row>
    <row r="881" hidden="1" outlineLevel="1">
      <c r="A881" s="10"/>
      <c r="B881" s="10"/>
      <c r="C881" s="313">
        <v>0.5069444444444444</v>
      </c>
      <c r="D881" s="129" t="s">
        <v>1849</v>
      </c>
      <c r="E881" s="129" t="s">
        <v>1758</v>
      </c>
      <c r="F881" s="130">
        <v>150.0</v>
      </c>
      <c r="G881" s="129"/>
      <c r="H881" s="44" t="b">
        <v>1</v>
      </c>
    </row>
    <row r="882" hidden="1" outlineLevel="1">
      <c r="A882" s="102">
        <v>45792.0</v>
      </c>
      <c r="B882" s="97">
        <f>A882</f>
        <v>45792</v>
      </c>
      <c r="C882" s="313">
        <v>0.2916666666666667</v>
      </c>
      <c r="D882" s="129" t="s">
        <v>1756</v>
      </c>
      <c r="E882" s="129" t="s">
        <v>1758</v>
      </c>
      <c r="F882" s="130">
        <v>150.0</v>
      </c>
      <c r="G882" s="129"/>
      <c r="H882" s="44" t="b">
        <v>1</v>
      </c>
    </row>
    <row r="883" hidden="1" outlineLevel="1">
      <c r="A883" s="10"/>
      <c r="B883" s="10"/>
      <c r="C883" s="313">
        <v>0.5069444444444444</v>
      </c>
      <c r="D883" s="129" t="s">
        <v>562</v>
      </c>
      <c r="E883" s="129" t="s">
        <v>1758</v>
      </c>
      <c r="F883" s="130">
        <v>150.0</v>
      </c>
      <c r="G883" s="129"/>
      <c r="H883" s="44" t="b">
        <v>1</v>
      </c>
    </row>
    <row r="884" hidden="1" outlineLevel="1">
      <c r="A884" s="102">
        <v>45793.0</v>
      </c>
      <c r="B884" s="97">
        <f>A884</f>
        <v>45793</v>
      </c>
      <c r="C884" s="398">
        <v>0.2916666666666667</v>
      </c>
      <c r="D884" s="129" t="s">
        <v>1756</v>
      </c>
      <c r="E884" s="129" t="s">
        <v>469</v>
      </c>
      <c r="F884" s="130">
        <v>150.0</v>
      </c>
      <c r="G884" s="129"/>
      <c r="H884" s="44" t="b">
        <v>1</v>
      </c>
    </row>
    <row r="885" hidden="1" outlineLevel="1">
      <c r="A885" s="58"/>
      <c r="B885" s="58"/>
      <c r="C885" s="10"/>
      <c r="D885" s="129" t="s">
        <v>183</v>
      </c>
      <c r="E885" s="129" t="s">
        <v>1758</v>
      </c>
      <c r="F885" s="130">
        <v>150.0</v>
      </c>
      <c r="G885" s="129"/>
      <c r="H885" s="44" t="b">
        <v>1</v>
      </c>
    </row>
    <row r="886" hidden="1" outlineLevel="1">
      <c r="A886" s="10"/>
      <c r="B886" s="10"/>
      <c r="C886" s="313">
        <v>0.5069444444444444</v>
      </c>
      <c r="D886" s="129" t="s">
        <v>1849</v>
      </c>
      <c r="E886" s="129" t="s">
        <v>1758</v>
      </c>
      <c r="F886" s="130">
        <v>150.0</v>
      </c>
      <c r="G886" s="129"/>
      <c r="H886" s="44" t="b">
        <v>1</v>
      </c>
    </row>
    <row r="887" hidden="1" outlineLevel="1">
      <c r="A887" s="125">
        <v>45794.0</v>
      </c>
      <c r="B887" s="126">
        <f t="shared" ref="B887:B888" si="337">A887</f>
        <v>45794</v>
      </c>
      <c r="C887" s="313">
        <v>0.3333333333333333</v>
      </c>
      <c r="D887" s="129" t="s">
        <v>1756</v>
      </c>
      <c r="E887" s="129" t="s">
        <v>1758</v>
      </c>
      <c r="F887" s="130">
        <v>150.0</v>
      </c>
      <c r="G887" s="129"/>
      <c r="H887" s="44" t="b">
        <v>1</v>
      </c>
    </row>
    <row r="888" hidden="1" outlineLevel="1">
      <c r="A888" s="102">
        <v>45795.0</v>
      </c>
      <c r="B888" s="97">
        <f t="shared" si="337"/>
        <v>45795</v>
      </c>
      <c r="C888" s="313">
        <v>0.3333333333333333</v>
      </c>
      <c r="D888" s="129" t="s">
        <v>1805</v>
      </c>
      <c r="E888" s="129" t="s">
        <v>1758</v>
      </c>
      <c r="F888" s="130">
        <v>200.0</v>
      </c>
      <c r="G888" s="129"/>
      <c r="H888" s="44" t="b">
        <v>1</v>
      </c>
    </row>
    <row r="889" hidden="1" outlineLevel="1">
      <c r="A889" s="58"/>
      <c r="B889" s="58"/>
      <c r="C889" s="313">
        <v>0.4583333333333333</v>
      </c>
      <c r="D889" s="129" t="s">
        <v>1785</v>
      </c>
      <c r="E889" s="129" t="s">
        <v>1758</v>
      </c>
      <c r="F889" s="130">
        <v>200.0</v>
      </c>
      <c r="G889" s="129"/>
      <c r="H889" s="44" t="b">
        <v>1</v>
      </c>
    </row>
    <row r="890" hidden="1" outlineLevel="1">
      <c r="A890" s="10"/>
      <c r="B890" s="10"/>
      <c r="C890" s="313">
        <v>0.7708333333333334</v>
      </c>
      <c r="D890" s="129" t="s">
        <v>1845</v>
      </c>
      <c r="E890" s="129" t="s">
        <v>1758</v>
      </c>
      <c r="F890" s="130">
        <v>200.0</v>
      </c>
      <c r="G890" s="129"/>
      <c r="H890" s="44" t="b">
        <v>1</v>
      </c>
    </row>
    <row r="891" hidden="1" outlineLevel="1">
      <c r="A891" s="102">
        <v>45796.0</v>
      </c>
      <c r="B891" s="97">
        <f>A891</f>
        <v>45796</v>
      </c>
      <c r="C891" s="313">
        <v>0.2916666666666667</v>
      </c>
      <c r="D891" s="129" t="s">
        <v>1756</v>
      </c>
      <c r="E891" s="129" t="s">
        <v>1758</v>
      </c>
      <c r="F891" s="130">
        <v>150.0</v>
      </c>
      <c r="G891" s="129"/>
      <c r="H891" s="44" t="b">
        <v>1</v>
      </c>
    </row>
    <row r="892" hidden="1" outlineLevel="1">
      <c r="A892" s="10"/>
      <c r="B892" s="10"/>
      <c r="C892" s="313">
        <v>0.5069444444444444</v>
      </c>
      <c r="D892" s="129" t="s">
        <v>1849</v>
      </c>
      <c r="E892" s="129" t="s">
        <v>1758</v>
      </c>
      <c r="F892" s="130">
        <v>150.0</v>
      </c>
      <c r="G892" s="129"/>
      <c r="H892" s="44" t="b">
        <v>1</v>
      </c>
    </row>
    <row r="893" hidden="1" outlineLevel="1">
      <c r="A893" s="102">
        <v>45797.0</v>
      </c>
      <c r="B893" s="97">
        <f>A893</f>
        <v>45797</v>
      </c>
      <c r="C893" s="398">
        <v>0.2916666666666667</v>
      </c>
      <c r="D893" s="129" t="s">
        <v>1756</v>
      </c>
      <c r="E893" s="129" t="s">
        <v>469</v>
      </c>
      <c r="F893" s="130">
        <v>150.0</v>
      </c>
      <c r="G893" s="129"/>
      <c r="H893" s="44" t="b">
        <v>1</v>
      </c>
    </row>
    <row r="894" hidden="1" outlineLevel="1">
      <c r="A894" s="58"/>
      <c r="B894" s="58"/>
      <c r="C894" s="10"/>
      <c r="D894" s="129" t="s">
        <v>183</v>
      </c>
      <c r="E894" s="129" t="s">
        <v>1758</v>
      </c>
      <c r="F894" s="130">
        <v>150.0</v>
      </c>
      <c r="G894" s="129"/>
      <c r="H894" s="44" t="b">
        <v>1</v>
      </c>
    </row>
    <row r="895" hidden="1" outlineLevel="1">
      <c r="A895" s="10"/>
      <c r="B895" s="10"/>
      <c r="C895" s="313">
        <v>0.5069444444444444</v>
      </c>
      <c r="D895" s="129" t="s">
        <v>1849</v>
      </c>
      <c r="E895" s="129" t="s">
        <v>1758</v>
      </c>
      <c r="F895" s="130">
        <v>150.0</v>
      </c>
      <c r="G895" s="129"/>
      <c r="H895" s="44" t="b">
        <v>1</v>
      </c>
    </row>
    <row r="896" hidden="1" outlineLevel="1">
      <c r="A896" s="102">
        <v>45798.0</v>
      </c>
      <c r="B896" s="97">
        <f>A896</f>
        <v>45798</v>
      </c>
      <c r="C896" s="313">
        <v>0.2916666666666667</v>
      </c>
      <c r="D896" s="129" t="s">
        <v>1756</v>
      </c>
      <c r="E896" s="129" t="s">
        <v>1758</v>
      </c>
      <c r="F896" s="130">
        <v>150.0</v>
      </c>
      <c r="G896" s="129"/>
      <c r="H896" s="44" t="b">
        <v>1</v>
      </c>
    </row>
    <row r="897" hidden="1" outlineLevel="1">
      <c r="A897" s="10"/>
      <c r="B897" s="10"/>
      <c r="C897" s="313">
        <v>0.5069444444444444</v>
      </c>
      <c r="D897" s="129" t="s">
        <v>1849</v>
      </c>
      <c r="E897" s="129" t="s">
        <v>1758</v>
      </c>
      <c r="F897" s="130">
        <v>150.0</v>
      </c>
      <c r="G897" s="129"/>
      <c r="H897" s="44" t="b">
        <v>1</v>
      </c>
    </row>
    <row r="898" hidden="1" outlineLevel="1">
      <c r="A898" s="102">
        <v>45799.0</v>
      </c>
      <c r="B898" s="97">
        <f>A898</f>
        <v>45799</v>
      </c>
      <c r="C898" s="313">
        <v>0.2916666666666667</v>
      </c>
      <c r="D898" s="129" t="s">
        <v>1756</v>
      </c>
      <c r="E898" s="129" t="s">
        <v>1758</v>
      </c>
      <c r="F898" s="130">
        <v>150.0</v>
      </c>
      <c r="G898" s="129"/>
      <c r="H898" s="44" t="b">
        <v>1</v>
      </c>
    </row>
    <row r="899" hidden="1" outlineLevel="1">
      <c r="A899" s="10"/>
      <c r="B899" s="10"/>
      <c r="C899" s="313">
        <v>0.5069444444444444</v>
      </c>
      <c r="D899" s="129" t="s">
        <v>562</v>
      </c>
      <c r="E899" s="129" t="s">
        <v>1758</v>
      </c>
      <c r="F899" s="130">
        <v>150.0</v>
      </c>
      <c r="G899" s="129"/>
      <c r="H899" s="44" t="b">
        <v>1</v>
      </c>
    </row>
    <row r="900" hidden="1" outlineLevel="1">
      <c r="A900" s="102">
        <v>45800.0</v>
      </c>
      <c r="B900" s="97">
        <f>A900</f>
        <v>45800</v>
      </c>
      <c r="C900" s="398">
        <v>0.2916666666666667</v>
      </c>
      <c r="D900" s="129" t="s">
        <v>1756</v>
      </c>
      <c r="E900" s="129" t="s">
        <v>469</v>
      </c>
      <c r="F900" s="130">
        <v>150.0</v>
      </c>
      <c r="G900" s="129"/>
      <c r="H900" s="44" t="b">
        <v>1</v>
      </c>
    </row>
    <row r="901" hidden="1" outlineLevel="1">
      <c r="A901" s="58"/>
      <c r="B901" s="58"/>
      <c r="C901" s="10"/>
      <c r="D901" s="129" t="s">
        <v>183</v>
      </c>
      <c r="E901" s="129" t="s">
        <v>1758</v>
      </c>
      <c r="F901" s="130">
        <v>150.0</v>
      </c>
      <c r="G901" s="129"/>
      <c r="H901" s="44" t="b">
        <v>1</v>
      </c>
    </row>
    <row r="902" hidden="1" outlineLevel="1">
      <c r="A902" s="10"/>
      <c r="B902" s="10"/>
      <c r="C902" s="313">
        <v>0.5069444444444444</v>
      </c>
      <c r="D902" s="129" t="s">
        <v>1849</v>
      </c>
      <c r="E902" s="129" t="s">
        <v>1758</v>
      </c>
      <c r="F902" s="130">
        <v>150.0</v>
      </c>
      <c r="G902" s="129"/>
      <c r="H902" s="44" t="b">
        <v>1</v>
      </c>
    </row>
    <row r="903" hidden="1" outlineLevel="1">
      <c r="A903" s="125">
        <v>45801.0</v>
      </c>
      <c r="B903" s="126">
        <f t="shared" ref="B903:B904" si="338">A903</f>
        <v>45801</v>
      </c>
      <c r="C903" s="313">
        <v>0.3333333333333333</v>
      </c>
      <c r="D903" s="129" t="s">
        <v>1756</v>
      </c>
      <c r="E903" s="129" t="s">
        <v>1758</v>
      </c>
      <c r="F903" s="130">
        <v>150.0</v>
      </c>
      <c r="G903" s="129"/>
      <c r="H903" s="44" t="b">
        <v>1</v>
      </c>
    </row>
    <row r="904" hidden="1" outlineLevel="1">
      <c r="A904" s="102">
        <v>45802.0</v>
      </c>
      <c r="B904" s="97">
        <f t="shared" si="338"/>
        <v>45802</v>
      </c>
      <c r="C904" s="313">
        <v>0.3333333333333333</v>
      </c>
      <c r="D904" s="129" t="s">
        <v>1828</v>
      </c>
      <c r="E904" s="129" t="s">
        <v>1758</v>
      </c>
      <c r="F904" s="130">
        <v>200.0</v>
      </c>
      <c r="G904" s="129"/>
      <c r="H904" s="44" t="b">
        <v>1</v>
      </c>
    </row>
    <row r="905" hidden="1" outlineLevel="1">
      <c r="A905" s="58"/>
      <c r="B905" s="58"/>
      <c r="C905" s="313">
        <v>0.4583333333333333</v>
      </c>
      <c r="D905" s="129" t="s">
        <v>562</v>
      </c>
      <c r="E905" s="129" t="s">
        <v>1758</v>
      </c>
      <c r="F905" s="130">
        <v>200.0</v>
      </c>
      <c r="G905" s="129"/>
      <c r="H905" s="44" t="b">
        <v>1</v>
      </c>
    </row>
    <row r="906" hidden="1" outlineLevel="1">
      <c r="A906" s="10"/>
      <c r="B906" s="10"/>
      <c r="C906" s="313">
        <v>0.7708333333333334</v>
      </c>
      <c r="D906" s="129" t="s">
        <v>1840</v>
      </c>
      <c r="E906" s="129" t="s">
        <v>1758</v>
      </c>
      <c r="F906" s="130">
        <v>200.0</v>
      </c>
      <c r="G906" s="129"/>
      <c r="H906" s="44" t="b">
        <v>1</v>
      </c>
    </row>
    <row r="907" hidden="1" outlineLevel="1">
      <c r="A907" s="102">
        <v>45803.0</v>
      </c>
      <c r="B907" s="97">
        <f>A907</f>
        <v>45803</v>
      </c>
      <c r="C907" s="313">
        <v>0.2916666666666667</v>
      </c>
      <c r="D907" s="129" t="s">
        <v>1756</v>
      </c>
      <c r="E907" s="129" t="s">
        <v>1758</v>
      </c>
      <c r="F907" s="130">
        <v>150.0</v>
      </c>
      <c r="G907" s="129"/>
      <c r="H907" s="44" t="b">
        <v>1</v>
      </c>
    </row>
    <row r="908" hidden="1" outlineLevel="1">
      <c r="A908" s="10"/>
      <c r="B908" s="10"/>
      <c r="C908" s="313">
        <v>0.5069444444444444</v>
      </c>
      <c r="D908" s="129" t="s">
        <v>1849</v>
      </c>
      <c r="E908" s="129" t="s">
        <v>1758</v>
      </c>
      <c r="F908" s="130">
        <v>150.0</v>
      </c>
      <c r="G908" s="129"/>
      <c r="H908" s="44" t="b">
        <v>1</v>
      </c>
    </row>
    <row r="909" hidden="1" outlineLevel="1">
      <c r="A909" s="102">
        <v>45804.0</v>
      </c>
      <c r="B909" s="97">
        <f>A909</f>
        <v>45804</v>
      </c>
      <c r="C909" s="398">
        <v>0.2916666666666667</v>
      </c>
      <c r="D909" s="129" t="s">
        <v>1756</v>
      </c>
      <c r="E909" s="129" t="s">
        <v>469</v>
      </c>
      <c r="F909" s="130">
        <v>150.0</v>
      </c>
      <c r="G909" s="129"/>
      <c r="H909" s="44" t="b">
        <v>1</v>
      </c>
    </row>
    <row r="910" hidden="1" outlineLevel="1">
      <c r="A910" s="58"/>
      <c r="B910" s="58"/>
      <c r="C910" s="10"/>
      <c r="D910" s="129" t="s">
        <v>183</v>
      </c>
      <c r="E910" s="129" t="s">
        <v>1758</v>
      </c>
      <c r="F910" s="130">
        <v>150.0</v>
      </c>
      <c r="G910" s="129"/>
      <c r="H910" s="44" t="b">
        <v>1</v>
      </c>
    </row>
    <row r="911" hidden="1" outlineLevel="1">
      <c r="A911" s="10"/>
      <c r="B911" s="10"/>
      <c r="C911" s="313">
        <v>0.5069444444444444</v>
      </c>
      <c r="D911" s="129" t="s">
        <v>1849</v>
      </c>
      <c r="E911" s="129" t="s">
        <v>1758</v>
      </c>
      <c r="F911" s="130">
        <v>150.0</v>
      </c>
      <c r="G911" s="129"/>
      <c r="H911" s="44" t="b">
        <v>1</v>
      </c>
    </row>
    <row r="912" hidden="1" outlineLevel="1">
      <c r="A912" s="102">
        <v>45805.0</v>
      </c>
      <c r="B912" s="97">
        <f>A912</f>
        <v>45805</v>
      </c>
      <c r="C912" s="313">
        <v>0.2916666666666667</v>
      </c>
      <c r="D912" s="129" t="s">
        <v>1756</v>
      </c>
      <c r="E912" s="129" t="s">
        <v>1758</v>
      </c>
      <c r="F912" s="130">
        <v>150.0</v>
      </c>
      <c r="G912" s="129"/>
      <c r="H912" s="44" t="b">
        <v>1</v>
      </c>
    </row>
    <row r="913" hidden="1" outlineLevel="1">
      <c r="A913" s="10"/>
      <c r="B913" s="10"/>
      <c r="C913" s="313">
        <v>0.5069444444444444</v>
      </c>
      <c r="D913" s="129" t="s">
        <v>1849</v>
      </c>
      <c r="E913" s="129" t="s">
        <v>1758</v>
      </c>
      <c r="F913" s="130">
        <v>150.0</v>
      </c>
      <c r="G913" s="129"/>
      <c r="H913" s="44" t="b">
        <v>1</v>
      </c>
    </row>
    <row r="914" hidden="1" outlineLevel="1">
      <c r="A914" s="102">
        <v>45806.0</v>
      </c>
      <c r="B914" s="97">
        <f>A914</f>
        <v>45806</v>
      </c>
      <c r="C914" s="313">
        <v>0.2916666666666667</v>
      </c>
      <c r="D914" s="129" t="s">
        <v>1756</v>
      </c>
      <c r="E914" s="129" t="s">
        <v>1758</v>
      </c>
      <c r="F914" s="130">
        <v>150.0</v>
      </c>
      <c r="G914" s="129"/>
      <c r="H914" s="44" t="b">
        <v>1</v>
      </c>
    </row>
    <row r="915" hidden="1" outlineLevel="1">
      <c r="A915" s="10"/>
      <c r="B915" s="10"/>
      <c r="C915" s="313">
        <v>0.5069444444444444</v>
      </c>
      <c r="D915" s="129" t="s">
        <v>562</v>
      </c>
      <c r="E915" s="129" t="s">
        <v>1758</v>
      </c>
      <c r="F915" s="130">
        <v>150.0</v>
      </c>
      <c r="G915" s="129"/>
      <c r="H915" s="44" t="b">
        <v>1</v>
      </c>
    </row>
    <row r="916" hidden="1" outlineLevel="1">
      <c r="A916" s="102">
        <v>45807.0</v>
      </c>
      <c r="B916" s="97">
        <f>A916</f>
        <v>45807</v>
      </c>
      <c r="C916" s="398">
        <v>0.2916666666666667</v>
      </c>
      <c r="D916" s="129" t="s">
        <v>1756</v>
      </c>
      <c r="E916" s="129" t="s">
        <v>469</v>
      </c>
      <c r="F916" s="130">
        <v>150.0</v>
      </c>
      <c r="G916" s="129"/>
      <c r="H916" s="44" t="b">
        <v>1</v>
      </c>
    </row>
    <row r="917" hidden="1" outlineLevel="1">
      <c r="A917" s="58"/>
      <c r="B917" s="58"/>
      <c r="C917" s="10"/>
      <c r="D917" s="129" t="s">
        <v>183</v>
      </c>
      <c r="E917" s="129" t="s">
        <v>1758</v>
      </c>
      <c r="F917" s="130">
        <v>150.0</v>
      </c>
      <c r="G917" s="129"/>
      <c r="H917" s="44" t="b">
        <v>1</v>
      </c>
    </row>
    <row r="918" hidden="1" outlineLevel="1">
      <c r="A918" s="10"/>
      <c r="B918" s="10"/>
      <c r="C918" s="313">
        <v>0.5069444444444444</v>
      </c>
      <c r="D918" s="129" t="s">
        <v>1849</v>
      </c>
      <c r="E918" s="129" t="s">
        <v>1758</v>
      </c>
      <c r="F918" s="130">
        <v>150.0</v>
      </c>
      <c r="G918" s="129"/>
      <c r="H918" s="44" t="b">
        <v>1</v>
      </c>
    </row>
    <row r="919" hidden="1" outlineLevel="1">
      <c r="A919" s="125">
        <v>45808.0</v>
      </c>
      <c r="B919" s="126">
        <f>A919</f>
        <v>45808</v>
      </c>
      <c r="C919" s="313">
        <v>0.3333333333333333</v>
      </c>
      <c r="D919" s="129" t="s">
        <v>1756</v>
      </c>
      <c r="E919" s="129" t="s">
        <v>1758</v>
      </c>
      <c r="F919" s="130">
        <v>150.0</v>
      </c>
      <c r="G919" s="129"/>
      <c r="H919" s="44" t="b">
        <v>1</v>
      </c>
    </row>
    <row r="920">
      <c r="A920" s="484" t="s">
        <v>195</v>
      </c>
      <c r="B920" s="27"/>
      <c r="C920" s="27"/>
      <c r="D920" s="27"/>
      <c r="E920" s="28"/>
      <c r="F920" s="485">
        <f>SUM(F850:F919)</f>
        <v>11100</v>
      </c>
      <c r="G920" s="486"/>
      <c r="H920" s="28"/>
    </row>
    <row r="921" collapsed="1">
      <c r="A921" s="339" t="s">
        <v>1084</v>
      </c>
      <c r="B921" s="246"/>
      <c r="C921" s="246"/>
      <c r="D921" s="246"/>
      <c r="E921" s="246"/>
      <c r="F921" s="246"/>
      <c r="G921" s="246"/>
      <c r="H921" s="247"/>
    </row>
    <row r="922" hidden="1" outlineLevel="1">
      <c r="A922" s="102">
        <v>45809.0</v>
      </c>
      <c r="B922" s="97">
        <f>A922</f>
        <v>45809</v>
      </c>
      <c r="C922" s="313">
        <v>0.3333333333333333</v>
      </c>
      <c r="D922" s="129" t="s">
        <v>1828</v>
      </c>
      <c r="E922" s="129" t="s">
        <v>1758</v>
      </c>
      <c r="F922" s="130">
        <v>200.0</v>
      </c>
      <c r="G922" s="129"/>
      <c r="H922" s="44" t="b">
        <v>1</v>
      </c>
      <c r="K922" s="440" t="s">
        <v>2069</v>
      </c>
      <c r="L922" s="27"/>
      <c r="M922" s="27"/>
      <c r="N922" s="27"/>
      <c r="O922" s="27"/>
      <c r="P922" s="27"/>
      <c r="Q922" s="28"/>
    </row>
    <row r="923" hidden="1" outlineLevel="1">
      <c r="A923" s="58"/>
      <c r="B923" s="58"/>
      <c r="C923" s="313">
        <v>0.4583333333333333</v>
      </c>
      <c r="D923" s="129" t="s">
        <v>1785</v>
      </c>
      <c r="E923" s="129" t="s">
        <v>1758</v>
      </c>
      <c r="F923" s="130">
        <v>200.0</v>
      </c>
      <c r="G923" s="129"/>
      <c r="H923" s="44" t="b">
        <v>1</v>
      </c>
      <c r="K923" s="441" t="s">
        <v>1749</v>
      </c>
      <c r="L923" s="441" t="s">
        <v>1758</v>
      </c>
      <c r="M923" s="441" t="s">
        <v>469</v>
      </c>
      <c r="N923" s="441" t="s">
        <v>195</v>
      </c>
      <c r="O923" s="441" t="s">
        <v>1764</v>
      </c>
      <c r="P923" s="441" t="s">
        <v>1765</v>
      </c>
      <c r="Q923" s="441" t="s">
        <v>1766</v>
      </c>
    </row>
    <row r="924" hidden="1" outlineLevel="1">
      <c r="A924" s="10"/>
      <c r="B924" s="10"/>
      <c r="C924" s="313">
        <v>0.7708333333333334</v>
      </c>
      <c r="D924" s="129" t="s">
        <v>1853</v>
      </c>
      <c r="E924" s="129" t="s">
        <v>1758</v>
      </c>
      <c r="F924" s="130">
        <v>200.0</v>
      </c>
      <c r="G924" s="129"/>
      <c r="H924" s="44" t="b">
        <v>1</v>
      </c>
      <c r="K924" s="91" t="s">
        <v>1756</v>
      </c>
      <c r="L924" s="90">
        <f t="shared" ref="L924:L935" si="339">COUNTIFS($D$922:$D$989, $K924,$E$922:$E$989,$L$923)</f>
        <v>16</v>
      </c>
      <c r="M924" s="90">
        <f t="shared" ref="M924:M935" si="340">COUNTIFS($D$922:$D$989, $K924,$E$922:$E$989,$M$923)</f>
        <v>8</v>
      </c>
      <c r="N924" s="90">
        <f t="shared" ref="N924:N935" si="341">L924+M924</f>
        <v>24</v>
      </c>
      <c r="O924" s="92">
        <f t="shared" ref="O924:O935" si="342">SUMIFS($F$922:$F$989,$D$922:$D$989,$K924)</f>
        <v>3600</v>
      </c>
      <c r="P924" s="92">
        <f t="shared" ref="P924:P935" si="343">SUMIFS($F$922:$F$989,$D$922:$D$989,$K924,$H$922:$H$989,TRUE)</f>
        <v>3600</v>
      </c>
      <c r="Q924" s="92">
        <f t="shared" ref="Q924:Q935" si="344">O924-P924</f>
        <v>0</v>
      </c>
    </row>
    <row r="925" hidden="1" outlineLevel="1">
      <c r="A925" s="102">
        <v>45810.0</v>
      </c>
      <c r="B925" s="97">
        <f>A925</f>
        <v>45810</v>
      </c>
      <c r="C925" s="313">
        <v>0.2916666666666667</v>
      </c>
      <c r="D925" s="129" t="s">
        <v>1756</v>
      </c>
      <c r="E925" s="129" t="s">
        <v>1758</v>
      </c>
      <c r="F925" s="130">
        <v>150.0</v>
      </c>
      <c r="G925" s="129"/>
      <c r="H925" s="44" t="b">
        <v>1</v>
      </c>
      <c r="K925" s="91" t="s">
        <v>1810</v>
      </c>
      <c r="L925" s="90">
        <f t="shared" si="339"/>
        <v>0</v>
      </c>
      <c r="M925" s="90">
        <f t="shared" si="340"/>
        <v>0</v>
      </c>
      <c r="N925" s="90">
        <f t="shared" si="341"/>
        <v>0</v>
      </c>
      <c r="O925" s="92">
        <f t="shared" si="342"/>
        <v>0</v>
      </c>
      <c r="P925" s="92">
        <f t="shared" si="343"/>
        <v>0</v>
      </c>
      <c r="Q925" s="92">
        <f t="shared" si="344"/>
        <v>0</v>
      </c>
    </row>
    <row r="926" hidden="1" outlineLevel="1">
      <c r="A926" s="10"/>
      <c r="B926" s="10"/>
      <c r="C926" s="313">
        <v>0.5069444444444444</v>
      </c>
      <c r="D926" s="129" t="s">
        <v>1849</v>
      </c>
      <c r="E926" s="129" t="s">
        <v>1758</v>
      </c>
      <c r="F926" s="130">
        <v>150.0</v>
      </c>
      <c r="G926" s="129"/>
      <c r="H926" s="44" t="b">
        <v>1</v>
      </c>
      <c r="K926" s="91" t="s">
        <v>1840</v>
      </c>
      <c r="L926" s="90">
        <f t="shared" si="339"/>
        <v>0</v>
      </c>
      <c r="M926" s="90">
        <f t="shared" si="340"/>
        <v>0</v>
      </c>
      <c r="N926" s="90">
        <f t="shared" si="341"/>
        <v>0</v>
      </c>
      <c r="O926" s="92">
        <f t="shared" si="342"/>
        <v>0</v>
      </c>
      <c r="P926" s="92">
        <f t="shared" si="343"/>
        <v>0</v>
      </c>
      <c r="Q926" s="92">
        <f t="shared" si="344"/>
        <v>0</v>
      </c>
    </row>
    <row r="927" hidden="1" outlineLevel="1">
      <c r="A927" s="102">
        <v>45811.0</v>
      </c>
      <c r="B927" s="97">
        <f>A927</f>
        <v>45811</v>
      </c>
      <c r="C927" s="398">
        <v>0.2916666666666667</v>
      </c>
      <c r="D927" s="129" t="s">
        <v>1756</v>
      </c>
      <c r="E927" s="129" t="s">
        <v>469</v>
      </c>
      <c r="F927" s="130">
        <v>150.0</v>
      </c>
      <c r="G927" s="129"/>
      <c r="H927" s="44" t="b">
        <v>1</v>
      </c>
      <c r="K927" s="91" t="s">
        <v>183</v>
      </c>
      <c r="L927" s="90">
        <f t="shared" si="339"/>
        <v>8</v>
      </c>
      <c r="M927" s="90">
        <f t="shared" si="340"/>
        <v>0</v>
      </c>
      <c r="N927" s="90">
        <f t="shared" si="341"/>
        <v>8</v>
      </c>
      <c r="O927" s="92">
        <f t="shared" si="342"/>
        <v>1200</v>
      </c>
      <c r="P927" s="92">
        <f t="shared" si="343"/>
        <v>1200</v>
      </c>
      <c r="Q927" s="92">
        <f t="shared" si="344"/>
        <v>0</v>
      </c>
    </row>
    <row r="928" hidden="1" outlineLevel="1">
      <c r="A928" s="58"/>
      <c r="B928" s="58"/>
      <c r="C928" s="10"/>
      <c r="D928" s="129" t="s">
        <v>183</v>
      </c>
      <c r="E928" s="129" t="s">
        <v>1758</v>
      </c>
      <c r="F928" s="130">
        <v>150.0</v>
      </c>
      <c r="G928" s="129"/>
      <c r="H928" s="44" t="b">
        <v>1</v>
      </c>
      <c r="K928" s="91" t="s">
        <v>363</v>
      </c>
      <c r="L928" s="90">
        <f t="shared" si="339"/>
        <v>2</v>
      </c>
      <c r="M928" s="90">
        <f t="shared" si="340"/>
        <v>0</v>
      </c>
      <c r="N928" s="90">
        <f t="shared" si="341"/>
        <v>2</v>
      </c>
      <c r="O928" s="92">
        <f t="shared" si="342"/>
        <v>400</v>
      </c>
      <c r="P928" s="92">
        <f t="shared" si="343"/>
        <v>400</v>
      </c>
      <c r="Q928" s="92">
        <f t="shared" si="344"/>
        <v>0</v>
      </c>
    </row>
    <row r="929" hidden="1" outlineLevel="1">
      <c r="A929" s="10"/>
      <c r="B929" s="10"/>
      <c r="C929" s="313">
        <v>0.5069444444444444</v>
      </c>
      <c r="D929" s="129" t="s">
        <v>1849</v>
      </c>
      <c r="E929" s="129" t="s">
        <v>1758</v>
      </c>
      <c r="F929" s="130">
        <v>150.0</v>
      </c>
      <c r="G929" s="129"/>
      <c r="H929" s="44" t="b">
        <v>1</v>
      </c>
      <c r="K929" s="91" t="s">
        <v>1785</v>
      </c>
      <c r="L929" s="90">
        <f t="shared" si="339"/>
        <v>3</v>
      </c>
      <c r="M929" s="90">
        <f t="shared" si="340"/>
        <v>0</v>
      </c>
      <c r="N929" s="90">
        <f t="shared" si="341"/>
        <v>3</v>
      </c>
      <c r="O929" s="92">
        <f t="shared" si="342"/>
        <v>600</v>
      </c>
      <c r="P929" s="92">
        <f t="shared" si="343"/>
        <v>600</v>
      </c>
      <c r="Q929" s="92">
        <f t="shared" si="344"/>
        <v>0</v>
      </c>
    </row>
    <row r="930" hidden="1" outlineLevel="1">
      <c r="A930" s="102">
        <v>45812.0</v>
      </c>
      <c r="B930" s="97">
        <f>A930</f>
        <v>45812</v>
      </c>
      <c r="C930" s="313">
        <v>0.2916666666666667</v>
      </c>
      <c r="D930" s="129" t="s">
        <v>1756</v>
      </c>
      <c r="E930" s="129" t="s">
        <v>1758</v>
      </c>
      <c r="F930" s="130">
        <v>150.0</v>
      </c>
      <c r="G930" s="129"/>
      <c r="H930" s="44" t="b">
        <v>1</v>
      </c>
      <c r="K930" s="91" t="s">
        <v>1842</v>
      </c>
      <c r="L930" s="90">
        <f t="shared" si="339"/>
        <v>0</v>
      </c>
      <c r="M930" s="90">
        <f t="shared" si="340"/>
        <v>0</v>
      </c>
      <c r="N930" s="90">
        <f t="shared" si="341"/>
        <v>0</v>
      </c>
      <c r="O930" s="92">
        <f t="shared" si="342"/>
        <v>0</v>
      </c>
      <c r="P930" s="92">
        <f t="shared" si="343"/>
        <v>0</v>
      </c>
      <c r="Q930" s="92">
        <f t="shared" si="344"/>
        <v>0</v>
      </c>
    </row>
    <row r="931" hidden="1" outlineLevel="1">
      <c r="A931" s="10"/>
      <c r="B931" s="10"/>
      <c r="C931" s="313">
        <v>0.5069444444444444</v>
      </c>
      <c r="D931" s="129" t="s">
        <v>1849</v>
      </c>
      <c r="E931" s="129" t="s">
        <v>1758</v>
      </c>
      <c r="F931" s="130">
        <v>150.0</v>
      </c>
      <c r="G931" s="129"/>
      <c r="H931" s="44" t="b">
        <v>1</v>
      </c>
      <c r="K931" s="91" t="s">
        <v>562</v>
      </c>
      <c r="L931" s="90">
        <f t="shared" si="339"/>
        <v>4</v>
      </c>
      <c r="M931" s="90">
        <f t="shared" si="340"/>
        <v>0</v>
      </c>
      <c r="N931" s="90">
        <f t="shared" si="341"/>
        <v>4</v>
      </c>
      <c r="O931" s="92">
        <f t="shared" si="342"/>
        <v>650</v>
      </c>
      <c r="P931" s="92">
        <f t="shared" si="343"/>
        <v>650</v>
      </c>
      <c r="Q931" s="92">
        <f t="shared" si="344"/>
        <v>0</v>
      </c>
    </row>
    <row r="932" hidden="1" outlineLevel="1">
      <c r="A932" s="102">
        <v>45813.0</v>
      </c>
      <c r="B932" s="97">
        <f>A932</f>
        <v>45813</v>
      </c>
      <c r="C932" s="313">
        <v>0.2916666666666667</v>
      </c>
      <c r="D932" s="129" t="s">
        <v>1756</v>
      </c>
      <c r="E932" s="129" t="s">
        <v>1758</v>
      </c>
      <c r="F932" s="130">
        <v>150.0</v>
      </c>
      <c r="G932" s="129"/>
      <c r="H932" s="44" t="b">
        <v>1</v>
      </c>
      <c r="K932" s="91" t="s">
        <v>1828</v>
      </c>
      <c r="L932" s="90">
        <f t="shared" si="339"/>
        <v>6</v>
      </c>
      <c r="M932" s="90">
        <f t="shared" si="340"/>
        <v>0</v>
      </c>
      <c r="N932" s="90">
        <f t="shared" si="341"/>
        <v>6</v>
      </c>
      <c r="O932" s="92">
        <f t="shared" si="342"/>
        <v>1200</v>
      </c>
      <c r="P932" s="92">
        <f t="shared" si="343"/>
        <v>1200</v>
      </c>
      <c r="Q932" s="92">
        <f t="shared" si="344"/>
        <v>0</v>
      </c>
    </row>
    <row r="933" hidden="1" outlineLevel="1">
      <c r="A933" s="10"/>
      <c r="B933" s="10"/>
      <c r="C933" s="313">
        <v>0.5069444444444444</v>
      </c>
      <c r="D933" s="129" t="s">
        <v>562</v>
      </c>
      <c r="E933" s="129" t="s">
        <v>1758</v>
      </c>
      <c r="F933" s="130">
        <v>150.0</v>
      </c>
      <c r="G933" s="129"/>
      <c r="H933" s="44" t="b">
        <v>1</v>
      </c>
      <c r="K933" s="91" t="s">
        <v>1845</v>
      </c>
      <c r="L933" s="90">
        <f t="shared" si="339"/>
        <v>2</v>
      </c>
      <c r="M933" s="90">
        <f t="shared" si="340"/>
        <v>0</v>
      </c>
      <c r="N933" s="90">
        <f t="shared" si="341"/>
        <v>2</v>
      </c>
      <c r="O933" s="92">
        <f t="shared" si="342"/>
        <v>400</v>
      </c>
      <c r="P933" s="92">
        <f t="shared" si="343"/>
        <v>400</v>
      </c>
      <c r="Q933" s="92">
        <f t="shared" si="344"/>
        <v>0</v>
      </c>
    </row>
    <row r="934" hidden="1" outlineLevel="1">
      <c r="A934" s="102">
        <v>45814.0</v>
      </c>
      <c r="B934" s="97">
        <f>A934</f>
        <v>45814</v>
      </c>
      <c r="C934" s="398">
        <v>0.2916666666666667</v>
      </c>
      <c r="D934" s="129" t="s">
        <v>1756</v>
      </c>
      <c r="E934" s="129" t="s">
        <v>469</v>
      </c>
      <c r="F934" s="130">
        <v>150.0</v>
      </c>
      <c r="G934" s="129"/>
      <c r="H934" s="44" t="b">
        <v>1</v>
      </c>
      <c r="K934" s="91" t="s">
        <v>1849</v>
      </c>
      <c r="L934" s="90">
        <f t="shared" si="339"/>
        <v>17</v>
      </c>
      <c r="M934" s="90">
        <f t="shared" si="340"/>
        <v>0</v>
      </c>
      <c r="N934" s="90">
        <f t="shared" si="341"/>
        <v>17</v>
      </c>
      <c r="O934" s="92">
        <f t="shared" si="342"/>
        <v>2550</v>
      </c>
      <c r="P934" s="92">
        <f t="shared" si="343"/>
        <v>2550</v>
      </c>
      <c r="Q934" s="92">
        <f t="shared" si="344"/>
        <v>0</v>
      </c>
    </row>
    <row r="935" hidden="1" outlineLevel="1">
      <c r="A935" s="58"/>
      <c r="B935" s="58"/>
      <c r="C935" s="10"/>
      <c r="D935" s="129" t="s">
        <v>183</v>
      </c>
      <c r="E935" s="129" t="s">
        <v>1758</v>
      </c>
      <c r="F935" s="130">
        <v>150.0</v>
      </c>
      <c r="G935" s="129"/>
      <c r="H935" s="44" t="b">
        <v>1</v>
      </c>
      <c r="K935" s="91" t="s">
        <v>1853</v>
      </c>
      <c r="L935" s="90">
        <f t="shared" si="339"/>
        <v>1</v>
      </c>
      <c r="M935" s="90">
        <f t="shared" si="340"/>
        <v>0</v>
      </c>
      <c r="N935" s="90">
        <f t="shared" si="341"/>
        <v>1</v>
      </c>
      <c r="O935" s="92">
        <f t="shared" si="342"/>
        <v>200</v>
      </c>
      <c r="P935" s="92">
        <f t="shared" si="343"/>
        <v>200</v>
      </c>
      <c r="Q935" s="92">
        <f t="shared" si="344"/>
        <v>0</v>
      </c>
    </row>
    <row r="936" hidden="1" outlineLevel="1">
      <c r="A936" s="10"/>
      <c r="B936" s="10"/>
      <c r="C936" s="313">
        <v>0.5069444444444444</v>
      </c>
      <c r="D936" s="129" t="s">
        <v>1849</v>
      </c>
      <c r="E936" s="129" t="s">
        <v>1758</v>
      </c>
      <c r="F936" s="130">
        <v>150.0</v>
      </c>
      <c r="G936" s="129"/>
      <c r="H936" s="44" t="b">
        <v>1</v>
      </c>
      <c r="K936" s="91"/>
      <c r="L936" s="90"/>
      <c r="M936" s="90"/>
      <c r="N936" s="90"/>
      <c r="O936" s="92"/>
      <c r="P936" s="92"/>
      <c r="Q936" s="90"/>
    </row>
    <row r="937" hidden="1" outlineLevel="1">
      <c r="A937" s="125">
        <v>45815.0</v>
      </c>
      <c r="B937" s="126">
        <f t="shared" ref="B937:B938" si="345">A937</f>
        <v>45815</v>
      </c>
      <c r="C937" s="313">
        <v>0.3333333333333333</v>
      </c>
      <c r="D937" s="129" t="s">
        <v>1756</v>
      </c>
      <c r="E937" s="129" t="s">
        <v>1758</v>
      </c>
      <c r="F937" s="130">
        <v>150.0</v>
      </c>
      <c r="G937" s="129"/>
      <c r="H937" s="44" t="b">
        <v>1</v>
      </c>
      <c r="K937" s="91"/>
      <c r="L937" s="90"/>
      <c r="M937" s="90"/>
      <c r="N937" s="90"/>
      <c r="O937" s="92"/>
      <c r="P937" s="92"/>
      <c r="Q937" s="90"/>
    </row>
    <row r="938" hidden="1" outlineLevel="1">
      <c r="A938" s="102">
        <v>45816.0</v>
      </c>
      <c r="B938" s="97">
        <f t="shared" si="345"/>
        <v>45816</v>
      </c>
      <c r="C938" s="313">
        <v>0.3333333333333333</v>
      </c>
      <c r="D938" s="129" t="s">
        <v>1828</v>
      </c>
      <c r="E938" s="129" t="s">
        <v>1758</v>
      </c>
      <c r="F938" s="130">
        <v>200.0</v>
      </c>
      <c r="G938" s="129"/>
      <c r="H938" s="44" t="b">
        <v>1</v>
      </c>
      <c r="K938" s="276"/>
      <c r="L938" s="90"/>
      <c r="M938" s="276"/>
      <c r="N938" s="276"/>
      <c r="O938" s="276"/>
      <c r="P938" s="276"/>
      <c r="Q938" s="276"/>
    </row>
    <row r="939" hidden="1" outlineLevel="1">
      <c r="A939" s="58"/>
      <c r="B939" s="58"/>
      <c r="C939" s="313">
        <v>0.4583333333333333</v>
      </c>
      <c r="D939" s="129" t="s">
        <v>1841</v>
      </c>
      <c r="E939" s="129" t="s">
        <v>1758</v>
      </c>
      <c r="F939" s="130">
        <v>0.0</v>
      </c>
      <c r="G939" s="129"/>
      <c r="H939" s="44" t="b">
        <v>1</v>
      </c>
      <c r="K939" s="276"/>
      <c r="L939" s="90"/>
      <c r="M939" s="276"/>
      <c r="N939" s="276"/>
      <c r="O939" s="276"/>
      <c r="P939" s="276"/>
      <c r="Q939" s="276"/>
    </row>
    <row r="940" hidden="1" outlineLevel="1">
      <c r="A940" s="10"/>
      <c r="B940" s="10"/>
      <c r="C940" s="313">
        <v>0.7708333333333334</v>
      </c>
      <c r="D940" s="129" t="s">
        <v>1845</v>
      </c>
      <c r="E940" s="129" t="s">
        <v>1758</v>
      </c>
      <c r="F940" s="130">
        <v>200.0</v>
      </c>
      <c r="G940" s="129"/>
      <c r="H940" s="44" t="b">
        <v>1</v>
      </c>
      <c r="K940" s="91"/>
      <c r="L940" s="90"/>
      <c r="M940" s="90"/>
      <c r="N940" s="90"/>
      <c r="O940" s="92"/>
      <c r="P940" s="92"/>
      <c r="Q940" s="90"/>
    </row>
    <row r="941" hidden="1" outlineLevel="1">
      <c r="A941" s="102">
        <v>45817.0</v>
      </c>
      <c r="B941" s="97">
        <f>A941</f>
        <v>45817</v>
      </c>
      <c r="C941" s="313">
        <v>0.2916666666666667</v>
      </c>
      <c r="D941" s="129" t="s">
        <v>1756</v>
      </c>
      <c r="E941" s="129" t="s">
        <v>1758</v>
      </c>
      <c r="F941" s="130">
        <v>150.0</v>
      </c>
      <c r="G941" s="129"/>
      <c r="H941" s="44" t="b">
        <v>1</v>
      </c>
      <c r="K941" s="477" t="s">
        <v>195</v>
      </c>
      <c r="L941" s="478">
        <f t="shared" ref="L941:Q941" si="346">SUM(L924:L940)</f>
        <v>59</v>
      </c>
      <c r="M941" s="478">
        <f t="shared" si="346"/>
        <v>8</v>
      </c>
      <c r="N941" s="478">
        <f t="shared" si="346"/>
        <v>67</v>
      </c>
      <c r="O941" s="479">
        <f t="shared" si="346"/>
        <v>10800</v>
      </c>
      <c r="P941" s="479">
        <f t="shared" si="346"/>
        <v>10800</v>
      </c>
      <c r="Q941" s="479">
        <f t="shared" si="346"/>
        <v>0</v>
      </c>
    </row>
    <row r="942" hidden="1" outlineLevel="1">
      <c r="A942" s="10"/>
      <c r="B942" s="10"/>
      <c r="C942" s="313">
        <v>0.5069444444444444</v>
      </c>
      <c r="D942" s="129" t="s">
        <v>1849</v>
      </c>
      <c r="E942" s="129" t="s">
        <v>1758</v>
      </c>
      <c r="F942" s="130">
        <v>150.0</v>
      </c>
      <c r="G942" s="129"/>
      <c r="H942" s="44" t="b">
        <v>1</v>
      </c>
    </row>
    <row r="943" hidden="1" outlineLevel="1">
      <c r="A943" s="102">
        <v>45818.0</v>
      </c>
      <c r="B943" s="97">
        <f>A943</f>
        <v>45818</v>
      </c>
      <c r="C943" s="398">
        <v>0.2916666666666667</v>
      </c>
      <c r="D943" s="129" t="s">
        <v>1756</v>
      </c>
      <c r="E943" s="129" t="s">
        <v>469</v>
      </c>
      <c r="F943" s="130">
        <v>150.0</v>
      </c>
      <c r="G943" s="129"/>
      <c r="H943" s="44" t="b">
        <v>1</v>
      </c>
    </row>
    <row r="944" hidden="1" outlineLevel="1">
      <c r="A944" s="58"/>
      <c r="B944" s="58"/>
      <c r="C944" s="10"/>
      <c r="D944" s="129" t="s">
        <v>183</v>
      </c>
      <c r="E944" s="129" t="s">
        <v>1758</v>
      </c>
      <c r="F944" s="130">
        <v>150.0</v>
      </c>
      <c r="G944" s="129"/>
      <c r="H944" s="44" t="b">
        <v>1</v>
      </c>
    </row>
    <row r="945" hidden="1" outlineLevel="1">
      <c r="A945" s="10"/>
      <c r="B945" s="10"/>
      <c r="C945" s="313">
        <v>0.5069444444444444</v>
      </c>
      <c r="D945" s="129" t="s">
        <v>1849</v>
      </c>
      <c r="E945" s="129" t="s">
        <v>1758</v>
      </c>
      <c r="F945" s="130">
        <v>150.0</v>
      </c>
      <c r="G945" s="129"/>
      <c r="H945" s="44" t="b">
        <v>1</v>
      </c>
    </row>
    <row r="946" hidden="1" outlineLevel="1">
      <c r="A946" s="102">
        <v>45819.0</v>
      </c>
      <c r="B946" s="97">
        <f>A946</f>
        <v>45819</v>
      </c>
      <c r="C946" s="313">
        <v>0.2916666666666667</v>
      </c>
      <c r="D946" s="129" t="s">
        <v>1756</v>
      </c>
      <c r="E946" s="129" t="s">
        <v>1758</v>
      </c>
      <c r="F946" s="130">
        <v>150.0</v>
      </c>
      <c r="G946" s="129"/>
      <c r="H946" s="44" t="b">
        <v>1</v>
      </c>
    </row>
    <row r="947" hidden="1" outlineLevel="1">
      <c r="A947" s="10"/>
      <c r="B947" s="10"/>
      <c r="C947" s="313">
        <v>0.5069444444444444</v>
      </c>
      <c r="D947" s="129" t="s">
        <v>1849</v>
      </c>
      <c r="E947" s="129" t="s">
        <v>1758</v>
      </c>
      <c r="F947" s="130">
        <v>150.0</v>
      </c>
      <c r="G947" s="129"/>
      <c r="H947" s="44" t="b">
        <v>1</v>
      </c>
    </row>
    <row r="948" hidden="1" outlineLevel="1">
      <c r="A948" s="102">
        <v>45820.0</v>
      </c>
      <c r="B948" s="97">
        <f>A948</f>
        <v>45820</v>
      </c>
      <c r="C948" s="313">
        <v>0.2916666666666667</v>
      </c>
      <c r="D948" s="129" t="s">
        <v>1756</v>
      </c>
      <c r="E948" s="129" t="s">
        <v>1758</v>
      </c>
      <c r="F948" s="130">
        <v>150.0</v>
      </c>
      <c r="G948" s="129"/>
      <c r="H948" s="44" t="b">
        <v>1</v>
      </c>
    </row>
    <row r="949" hidden="1" outlineLevel="1">
      <c r="A949" s="10"/>
      <c r="B949" s="10"/>
      <c r="C949" s="313">
        <v>0.5069444444444444</v>
      </c>
      <c r="D949" s="129" t="s">
        <v>562</v>
      </c>
      <c r="E949" s="129" t="s">
        <v>1758</v>
      </c>
      <c r="F949" s="130">
        <v>150.0</v>
      </c>
      <c r="G949" s="129"/>
      <c r="H949" s="44" t="b">
        <v>1</v>
      </c>
    </row>
    <row r="950" hidden="1" outlineLevel="1">
      <c r="A950" s="102">
        <v>45821.0</v>
      </c>
      <c r="B950" s="97">
        <f>A950</f>
        <v>45821</v>
      </c>
      <c r="C950" s="398">
        <v>0.2916666666666667</v>
      </c>
      <c r="D950" s="129" t="s">
        <v>1756</v>
      </c>
      <c r="E950" s="129" t="s">
        <v>469</v>
      </c>
      <c r="F950" s="130">
        <v>150.0</v>
      </c>
      <c r="G950" s="129"/>
      <c r="H950" s="44" t="b">
        <v>1</v>
      </c>
    </row>
    <row r="951" hidden="1" outlineLevel="1">
      <c r="A951" s="58"/>
      <c r="B951" s="58"/>
      <c r="C951" s="10"/>
      <c r="D951" s="129" t="s">
        <v>183</v>
      </c>
      <c r="E951" s="129" t="s">
        <v>1758</v>
      </c>
      <c r="F951" s="130">
        <v>150.0</v>
      </c>
      <c r="G951" s="129"/>
      <c r="H951" s="44" t="b">
        <v>1</v>
      </c>
    </row>
    <row r="952" hidden="1" outlineLevel="1">
      <c r="A952" s="10"/>
      <c r="B952" s="10"/>
      <c r="C952" s="313">
        <v>0.5069444444444444</v>
      </c>
      <c r="D952" s="129" t="s">
        <v>1849</v>
      </c>
      <c r="E952" s="129" t="s">
        <v>1758</v>
      </c>
      <c r="F952" s="130">
        <v>150.0</v>
      </c>
      <c r="G952" s="129"/>
      <c r="H952" s="44" t="b">
        <v>1</v>
      </c>
    </row>
    <row r="953" hidden="1" outlineLevel="1">
      <c r="A953" s="125">
        <v>45822.0</v>
      </c>
      <c r="B953" s="126">
        <f t="shared" ref="B953:B954" si="347">A953</f>
        <v>45822</v>
      </c>
      <c r="C953" s="313">
        <v>0.3333333333333333</v>
      </c>
      <c r="D953" s="129" t="s">
        <v>1756</v>
      </c>
      <c r="E953" s="129" t="s">
        <v>1758</v>
      </c>
      <c r="F953" s="130">
        <v>150.0</v>
      </c>
      <c r="G953" s="129"/>
      <c r="H953" s="44" t="b">
        <v>1</v>
      </c>
    </row>
    <row r="954" hidden="1" outlineLevel="1">
      <c r="A954" s="102">
        <v>45823.0</v>
      </c>
      <c r="B954" s="97">
        <f t="shared" si="347"/>
        <v>45823</v>
      </c>
      <c r="C954" s="313">
        <v>0.3333333333333333</v>
      </c>
      <c r="D954" s="129" t="s">
        <v>1828</v>
      </c>
      <c r="E954" s="129" t="s">
        <v>1758</v>
      </c>
      <c r="F954" s="130">
        <v>200.0</v>
      </c>
      <c r="G954" s="129"/>
      <c r="H954" s="44" t="b">
        <v>1</v>
      </c>
    </row>
    <row r="955" hidden="1" outlineLevel="1">
      <c r="A955" s="58"/>
      <c r="B955" s="58"/>
      <c r="C955" s="313">
        <v>0.4583333333333333</v>
      </c>
      <c r="D955" s="129" t="s">
        <v>1785</v>
      </c>
      <c r="E955" s="129" t="s">
        <v>1758</v>
      </c>
      <c r="F955" s="130">
        <v>200.0</v>
      </c>
      <c r="G955" s="129"/>
      <c r="H955" s="44" t="b">
        <v>1</v>
      </c>
    </row>
    <row r="956" hidden="1" outlineLevel="1">
      <c r="A956" s="10"/>
      <c r="B956" s="10"/>
      <c r="C956" s="313">
        <v>0.7708333333333334</v>
      </c>
      <c r="D956" s="129" t="s">
        <v>363</v>
      </c>
      <c r="E956" s="129" t="s">
        <v>1758</v>
      </c>
      <c r="F956" s="130">
        <v>200.0</v>
      </c>
      <c r="G956" s="129"/>
      <c r="H956" s="44" t="b">
        <v>1</v>
      </c>
    </row>
    <row r="957" hidden="1" outlineLevel="1">
      <c r="A957" s="102">
        <v>45824.0</v>
      </c>
      <c r="B957" s="97">
        <f>A957</f>
        <v>45824</v>
      </c>
      <c r="C957" s="313">
        <v>0.2916666666666667</v>
      </c>
      <c r="D957" s="129" t="s">
        <v>1756</v>
      </c>
      <c r="E957" s="129" t="s">
        <v>1758</v>
      </c>
      <c r="F957" s="130">
        <v>150.0</v>
      </c>
      <c r="G957" s="129"/>
      <c r="H957" s="44" t="b">
        <v>1</v>
      </c>
    </row>
    <row r="958" hidden="1" outlineLevel="1">
      <c r="A958" s="10"/>
      <c r="B958" s="10"/>
      <c r="C958" s="313">
        <v>0.5069444444444444</v>
      </c>
      <c r="D958" s="129" t="s">
        <v>1849</v>
      </c>
      <c r="E958" s="129" t="s">
        <v>1758</v>
      </c>
      <c r="F958" s="130">
        <v>150.0</v>
      </c>
      <c r="G958" s="129"/>
      <c r="H958" s="44" t="b">
        <v>1</v>
      </c>
    </row>
    <row r="959" hidden="1" outlineLevel="1">
      <c r="A959" s="102">
        <v>45825.0</v>
      </c>
      <c r="B959" s="97">
        <f>A959</f>
        <v>45825</v>
      </c>
      <c r="C959" s="398">
        <v>0.2916666666666667</v>
      </c>
      <c r="D959" s="129" t="s">
        <v>1756</v>
      </c>
      <c r="E959" s="129" t="s">
        <v>469</v>
      </c>
      <c r="F959" s="130">
        <v>150.0</v>
      </c>
      <c r="G959" s="129"/>
      <c r="H959" s="44" t="b">
        <v>1</v>
      </c>
    </row>
    <row r="960" hidden="1" outlineLevel="1">
      <c r="A960" s="58"/>
      <c r="B960" s="58"/>
      <c r="C960" s="10"/>
      <c r="D960" s="129" t="s">
        <v>183</v>
      </c>
      <c r="E960" s="129" t="s">
        <v>1758</v>
      </c>
      <c r="F960" s="130">
        <v>150.0</v>
      </c>
      <c r="G960" s="129"/>
      <c r="H960" s="44" t="b">
        <v>1</v>
      </c>
    </row>
    <row r="961" hidden="1" outlineLevel="1">
      <c r="A961" s="10"/>
      <c r="B961" s="10"/>
      <c r="C961" s="313">
        <v>0.5069444444444444</v>
      </c>
      <c r="D961" s="129" t="s">
        <v>1849</v>
      </c>
      <c r="E961" s="129" t="s">
        <v>1758</v>
      </c>
      <c r="F961" s="130">
        <v>150.0</v>
      </c>
      <c r="G961" s="129"/>
      <c r="H961" s="44" t="b">
        <v>1</v>
      </c>
    </row>
    <row r="962" hidden="1" outlineLevel="1">
      <c r="A962" s="102">
        <v>45826.0</v>
      </c>
      <c r="B962" s="97">
        <f>A962</f>
        <v>45826</v>
      </c>
      <c r="C962" s="313">
        <v>0.2916666666666667</v>
      </c>
      <c r="D962" s="129" t="s">
        <v>1756</v>
      </c>
      <c r="E962" s="129" t="s">
        <v>1758</v>
      </c>
      <c r="F962" s="130">
        <v>150.0</v>
      </c>
      <c r="G962" s="129"/>
      <c r="H962" s="44" t="b">
        <v>1</v>
      </c>
    </row>
    <row r="963" hidden="1" outlineLevel="1">
      <c r="A963" s="10"/>
      <c r="B963" s="10"/>
      <c r="C963" s="313">
        <v>0.5069444444444444</v>
      </c>
      <c r="D963" s="129" t="s">
        <v>1849</v>
      </c>
      <c r="E963" s="129" t="s">
        <v>1758</v>
      </c>
      <c r="F963" s="130">
        <v>150.0</v>
      </c>
      <c r="G963" s="129"/>
      <c r="H963" s="44" t="b">
        <v>1</v>
      </c>
    </row>
    <row r="964" hidden="1" outlineLevel="1">
      <c r="A964" s="125">
        <v>45827.0</v>
      </c>
      <c r="B964" s="126">
        <f t="shared" ref="B964:B965" si="348">A964</f>
        <v>45827</v>
      </c>
      <c r="C964" s="313">
        <v>0.3333333333333333</v>
      </c>
      <c r="D964" s="129" t="s">
        <v>1828</v>
      </c>
      <c r="E964" s="129" t="s">
        <v>1758</v>
      </c>
      <c r="F964" s="130">
        <v>200.0</v>
      </c>
      <c r="G964" s="129" t="s">
        <v>1119</v>
      </c>
      <c r="H964" s="44" t="b">
        <v>1</v>
      </c>
    </row>
    <row r="965" hidden="1" outlineLevel="1">
      <c r="A965" s="102">
        <v>45828.0</v>
      </c>
      <c r="B965" s="97">
        <f t="shared" si="348"/>
        <v>45828</v>
      </c>
      <c r="C965" s="398">
        <v>0.2916666666666667</v>
      </c>
      <c r="D965" s="129" t="s">
        <v>1756</v>
      </c>
      <c r="E965" s="129" t="s">
        <v>469</v>
      </c>
      <c r="F965" s="130">
        <v>150.0</v>
      </c>
      <c r="G965" s="129"/>
      <c r="H965" s="44" t="b">
        <v>1</v>
      </c>
    </row>
    <row r="966" hidden="1" outlineLevel="1">
      <c r="A966" s="58"/>
      <c r="B966" s="58"/>
      <c r="C966" s="10"/>
      <c r="D966" s="129" t="s">
        <v>183</v>
      </c>
      <c r="E966" s="129" t="s">
        <v>1758</v>
      </c>
      <c r="F966" s="130">
        <v>150.0</v>
      </c>
      <c r="G966" s="129"/>
      <c r="H966" s="44" t="b">
        <v>1</v>
      </c>
    </row>
    <row r="967" hidden="1" outlineLevel="1">
      <c r="A967" s="10"/>
      <c r="B967" s="10"/>
      <c r="C967" s="313">
        <v>0.5069444444444444</v>
      </c>
      <c r="D967" s="129" t="s">
        <v>1849</v>
      </c>
      <c r="E967" s="129" t="s">
        <v>1758</v>
      </c>
      <c r="F967" s="130">
        <v>150.0</v>
      </c>
      <c r="G967" s="129"/>
      <c r="H967" s="44" t="b">
        <v>1</v>
      </c>
    </row>
    <row r="968" hidden="1" outlineLevel="1">
      <c r="A968" s="125">
        <v>45829.0</v>
      </c>
      <c r="B968" s="126">
        <f t="shared" ref="B968:B969" si="349">A968</f>
        <v>45829</v>
      </c>
      <c r="C968" s="313">
        <v>0.3333333333333333</v>
      </c>
      <c r="D968" s="129" t="s">
        <v>1756</v>
      </c>
      <c r="E968" s="129" t="s">
        <v>1758</v>
      </c>
      <c r="F968" s="130">
        <v>150.0</v>
      </c>
      <c r="G968" s="129"/>
      <c r="H968" s="44" t="b">
        <v>1</v>
      </c>
    </row>
    <row r="969" hidden="1" outlineLevel="1">
      <c r="A969" s="102">
        <v>45830.0</v>
      </c>
      <c r="B969" s="97">
        <f t="shared" si="349"/>
        <v>45830</v>
      </c>
      <c r="C969" s="313">
        <v>0.3333333333333333</v>
      </c>
      <c r="D969" s="129" t="s">
        <v>1828</v>
      </c>
      <c r="E969" s="129" t="s">
        <v>1758</v>
      </c>
      <c r="F969" s="130">
        <v>200.0</v>
      </c>
      <c r="G969" s="129"/>
      <c r="H969" s="44" t="b">
        <v>1</v>
      </c>
    </row>
    <row r="970" hidden="1" outlineLevel="1">
      <c r="A970" s="58"/>
      <c r="B970" s="58"/>
      <c r="C970" s="313">
        <v>0.4583333333333333</v>
      </c>
      <c r="D970" s="129" t="s">
        <v>562</v>
      </c>
      <c r="E970" s="129" t="s">
        <v>1758</v>
      </c>
      <c r="F970" s="130">
        <v>200.0</v>
      </c>
      <c r="G970" s="129"/>
      <c r="H970" s="44" t="b">
        <v>1</v>
      </c>
    </row>
    <row r="971" hidden="1" outlineLevel="1">
      <c r="A971" s="10"/>
      <c r="B971" s="10"/>
      <c r="C971" s="313">
        <v>0.7708333333333334</v>
      </c>
      <c r="D971" s="129" t="s">
        <v>363</v>
      </c>
      <c r="E971" s="129" t="s">
        <v>1758</v>
      </c>
      <c r="F971" s="130">
        <v>200.0</v>
      </c>
      <c r="G971" s="129"/>
      <c r="H971" s="44" t="b">
        <v>1</v>
      </c>
    </row>
    <row r="972" hidden="1" outlineLevel="1">
      <c r="A972" s="102">
        <v>45831.0</v>
      </c>
      <c r="B972" s="97">
        <f>A972</f>
        <v>45831</v>
      </c>
      <c r="C972" s="313">
        <v>0.2916666666666667</v>
      </c>
      <c r="D972" s="129" t="s">
        <v>1756</v>
      </c>
      <c r="E972" s="129" t="s">
        <v>1758</v>
      </c>
      <c r="F972" s="130">
        <v>150.0</v>
      </c>
      <c r="G972" s="129"/>
      <c r="H972" s="44" t="b">
        <v>1</v>
      </c>
    </row>
    <row r="973" hidden="1" outlineLevel="1">
      <c r="A973" s="10"/>
      <c r="B973" s="10"/>
      <c r="C973" s="313">
        <v>0.5069444444444444</v>
      </c>
      <c r="D973" s="129" t="s">
        <v>1849</v>
      </c>
      <c r="E973" s="129" t="s">
        <v>1758</v>
      </c>
      <c r="F973" s="130">
        <v>150.0</v>
      </c>
      <c r="G973" s="129"/>
      <c r="H973" s="44" t="b">
        <v>1</v>
      </c>
    </row>
    <row r="974" hidden="1" outlineLevel="1">
      <c r="A974" s="102">
        <v>45832.0</v>
      </c>
      <c r="B974" s="97">
        <f>A974</f>
        <v>45832</v>
      </c>
      <c r="C974" s="398">
        <v>0.2916666666666667</v>
      </c>
      <c r="D974" s="129" t="s">
        <v>1756</v>
      </c>
      <c r="E974" s="129" t="s">
        <v>469</v>
      </c>
      <c r="F974" s="130">
        <v>150.0</v>
      </c>
      <c r="G974" s="129"/>
      <c r="H974" s="44" t="b">
        <v>1</v>
      </c>
    </row>
    <row r="975" hidden="1" outlineLevel="1">
      <c r="A975" s="58"/>
      <c r="B975" s="58"/>
      <c r="C975" s="10"/>
      <c r="D975" s="129" t="s">
        <v>183</v>
      </c>
      <c r="E975" s="129" t="s">
        <v>1758</v>
      </c>
      <c r="F975" s="130">
        <v>150.0</v>
      </c>
      <c r="G975" s="129"/>
      <c r="H975" s="44" t="b">
        <v>1</v>
      </c>
    </row>
    <row r="976" hidden="1" outlineLevel="1">
      <c r="A976" s="10"/>
      <c r="B976" s="10"/>
      <c r="C976" s="313">
        <v>0.5069444444444444</v>
      </c>
      <c r="D976" s="129" t="s">
        <v>1849</v>
      </c>
      <c r="E976" s="129" t="s">
        <v>1758</v>
      </c>
      <c r="F976" s="130">
        <v>150.0</v>
      </c>
      <c r="G976" s="129"/>
      <c r="H976" s="44" t="b">
        <v>1</v>
      </c>
    </row>
    <row r="977" hidden="1" outlineLevel="1">
      <c r="A977" s="102">
        <v>45833.0</v>
      </c>
      <c r="B977" s="97">
        <f>A977</f>
        <v>45833</v>
      </c>
      <c r="C977" s="313">
        <v>0.2916666666666667</v>
      </c>
      <c r="D977" s="129" t="s">
        <v>1756</v>
      </c>
      <c r="E977" s="129" t="s">
        <v>1758</v>
      </c>
      <c r="F977" s="130">
        <v>150.0</v>
      </c>
      <c r="G977" s="129"/>
      <c r="H977" s="44" t="b">
        <v>1</v>
      </c>
    </row>
    <row r="978" hidden="1" outlineLevel="1">
      <c r="A978" s="10"/>
      <c r="B978" s="10"/>
      <c r="C978" s="313">
        <v>0.5069444444444444</v>
      </c>
      <c r="D978" s="129" t="s">
        <v>1849</v>
      </c>
      <c r="E978" s="129" t="s">
        <v>1758</v>
      </c>
      <c r="F978" s="130">
        <v>150.0</v>
      </c>
      <c r="G978" s="129"/>
      <c r="H978" s="44" t="b">
        <v>1</v>
      </c>
    </row>
    <row r="979" hidden="1" outlineLevel="1">
      <c r="A979" s="102">
        <v>45834.0</v>
      </c>
      <c r="B979" s="97">
        <f>A979</f>
        <v>45834</v>
      </c>
      <c r="C979" s="313">
        <v>0.2916666666666667</v>
      </c>
      <c r="D979" s="129" t="s">
        <v>1756</v>
      </c>
      <c r="E979" s="129" t="s">
        <v>1758</v>
      </c>
      <c r="F979" s="130">
        <v>150.0</v>
      </c>
      <c r="G979" s="129"/>
      <c r="H979" s="44" t="b">
        <v>1</v>
      </c>
    </row>
    <row r="980" hidden="1" outlineLevel="1">
      <c r="A980" s="10"/>
      <c r="B980" s="10"/>
      <c r="C980" s="313">
        <v>0.5069444444444444</v>
      </c>
      <c r="D980" s="129" t="s">
        <v>562</v>
      </c>
      <c r="E980" s="129" t="s">
        <v>1758</v>
      </c>
      <c r="F980" s="130">
        <v>150.0</v>
      </c>
      <c r="G980" s="129"/>
      <c r="H980" s="44" t="b">
        <v>1</v>
      </c>
    </row>
    <row r="981" hidden="1" outlineLevel="1">
      <c r="A981" s="102">
        <v>45835.0</v>
      </c>
      <c r="B981" s="97">
        <f>A981</f>
        <v>45835</v>
      </c>
      <c r="C981" s="398">
        <v>0.2916666666666667</v>
      </c>
      <c r="D981" s="129" t="s">
        <v>1756</v>
      </c>
      <c r="E981" s="129" t="s">
        <v>469</v>
      </c>
      <c r="F981" s="130">
        <v>150.0</v>
      </c>
      <c r="G981" s="129"/>
      <c r="H981" s="44" t="b">
        <v>1</v>
      </c>
    </row>
    <row r="982" hidden="1" outlineLevel="1">
      <c r="A982" s="58"/>
      <c r="B982" s="58"/>
      <c r="C982" s="10"/>
      <c r="D982" s="129" t="s">
        <v>183</v>
      </c>
      <c r="E982" s="129" t="s">
        <v>1758</v>
      </c>
      <c r="F982" s="130">
        <v>150.0</v>
      </c>
      <c r="G982" s="129"/>
      <c r="H982" s="44" t="b">
        <v>1</v>
      </c>
    </row>
    <row r="983" hidden="1" outlineLevel="1">
      <c r="A983" s="10"/>
      <c r="B983" s="10"/>
      <c r="C983" s="313">
        <v>0.5069444444444444</v>
      </c>
      <c r="D983" s="129" t="s">
        <v>1849</v>
      </c>
      <c r="E983" s="129" t="s">
        <v>1758</v>
      </c>
      <c r="F983" s="130">
        <v>150.0</v>
      </c>
      <c r="G983" s="129"/>
      <c r="H983" s="44" t="b">
        <v>1</v>
      </c>
    </row>
    <row r="984" hidden="1" outlineLevel="1">
      <c r="A984" s="125">
        <v>45836.0</v>
      </c>
      <c r="B984" s="126">
        <f t="shared" ref="B984:B985" si="350">A984</f>
        <v>45836</v>
      </c>
      <c r="C984" s="313">
        <v>0.3333333333333333</v>
      </c>
      <c r="D984" s="129" t="s">
        <v>1756</v>
      </c>
      <c r="E984" s="129" t="s">
        <v>1758</v>
      </c>
      <c r="F984" s="130">
        <v>150.0</v>
      </c>
      <c r="G984" s="129"/>
      <c r="H984" s="44" t="b">
        <v>1</v>
      </c>
    </row>
    <row r="985" hidden="1" outlineLevel="1">
      <c r="A985" s="102">
        <v>45837.0</v>
      </c>
      <c r="B985" s="97">
        <f t="shared" si="350"/>
        <v>45837</v>
      </c>
      <c r="C985" s="313">
        <v>0.3333333333333333</v>
      </c>
      <c r="D985" s="129" t="s">
        <v>1828</v>
      </c>
      <c r="E985" s="129" t="s">
        <v>1758</v>
      </c>
      <c r="F985" s="130">
        <v>200.0</v>
      </c>
      <c r="G985" s="129"/>
      <c r="H985" s="44" t="b">
        <v>1</v>
      </c>
    </row>
    <row r="986" hidden="1" outlineLevel="1">
      <c r="A986" s="58"/>
      <c r="B986" s="58"/>
      <c r="C986" s="313">
        <v>0.4583333333333333</v>
      </c>
      <c r="D986" s="129" t="s">
        <v>1785</v>
      </c>
      <c r="E986" s="129" t="s">
        <v>1758</v>
      </c>
      <c r="F986" s="130">
        <v>200.0</v>
      </c>
      <c r="G986" s="129"/>
      <c r="H986" s="44" t="b">
        <v>1</v>
      </c>
    </row>
    <row r="987" hidden="1" outlineLevel="1">
      <c r="A987" s="10"/>
      <c r="B987" s="10"/>
      <c r="C987" s="313">
        <v>0.7708333333333334</v>
      </c>
      <c r="D987" s="129" t="s">
        <v>1845</v>
      </c>
      <c r="E987" s="129" t="s">
        <v>1758</v>
      </c>
      <c r="F987" s="130">
        <v>200.0</v>
      </c>
      <c r="G987" s="129"/>
      <c r="H987" s="44" t="b">
        <v>1</v>
      </c>
    </row>
    <row r="988" hidden="1" outlineLevel="1">
      <c r="A988" s="102">
        <v>45838.0</v>
      </c>
      <c r="B988" s="97">
        <f>A988</f>
        <v>45838</v>
      </c>
      <c r="C988" s="313">
        <v>0.2916666666666667</v>
      </c>
      <c r="D988" s="129" t="s">
        <v>1756</v>
      </c>
      <c r="E988" s="129" t="s">
        <v>1758</v>
      </c>
      <c r="F988" s="130">
        <v>150.0</v>
      </c>
      <c r="G988" s="129"/>
      <c r="H988" s="44" t="b">
        <v>1</v>
      </c>
    </row>
    <row r="989" hidden="1" outlineLevel="1">
      <c r="A989" s="10"/>
      <c r="B989" s="10"/>
      <c r="C989" s="313">
        <v>0.5069444444444444</v>
      </c>
      <c r="D989" s="129" t="s">
        <v>1849</v>
      </c>
      <c r="E989" s="129" t="s">
        <v>1758</v>
      </c>
      <c r="F989" s="130">
        <v>150.0</v>
      </c>
      <c r="G989" s="129"/>
      <c r="H989" s="44" t="b">
        <v>1</v>
      </c>
    </row>
    <row r="990">
      <c r="A990" s="484" t="s">
        <v>195</v>
      </c>
      <c r="B990" s="27"/>
      <c r="C990" s="27"/>
      <c r="D990" s="27"/>
      <c r="E990" s="28"/>
      <c r="F990" s="485">
        <f>SUM(F922:F989)</f>
        <v>10800</v>
      </c>
      <c r="G990" s="486"/>
      <c r="H990" s="28"/>
    </row>
    <row r="991" collapsed="1">
      <c r="A991" s="339" t="s">
        <v>1131</v>
      </c>
      <c r="B991" s="246"/>
      <c r="C991" s="246"/>
      <c r="D991" s="246"/>
      <c r="E991" s="246"/>
      <c r="F991" s="246"/>
      <c r="G991" s="246"/>
      <c r="H991" s="247"/>
    </row>
    <row r="992" hidden="1" outlineLevel="1">
      <c r="A992" s="102">
        <v>45839.0</v>
      </c>
      <c r="B992" s="97">
        <f>A992</f>
        <v>45839</v>
      </c>
      <c r="C992" s="398">
        <v>0.2916666666666667</v>
      </c>
      <c r="D992" s="129" t="s">
        <v>1756</v>
      </c>
      <c r="E992" s="129" t="s">
        <v>469</v>
      </c>
      <c r="F992" s="130">
        <v>150.0</v>
      </c>
      <c r="G992" s="129"/>
      <c r="H992" s="44" t="b">
        <v>1</v>
      </c>
      <c r="K992" s="440" t="s">
        <v>2070</v>
      </c>
      <c r="L992" s="27"/>
      <c r="M992" s="27"/>
      <c r="N992" s="27"/>
      <c r="O992" s="27"/>
      <c r="P992" s="27"/>
      <c r="Q992" s="28"/>
    </row>
    <row r="993" hidden="1" outlineLevel="1">
      <c r="A993" s="58"/>
      <c r="B993" s="58"/>
      <c r="C993" s="10"/>
      <c r="D993" s="129" t="s">
        <v>183</v>
      </c>
      <c r="E993" s="129" t="s">
        <v>1758</v>
      </c>
      <c r="F993" s="130">
        <v>150.0</v>
      </c>
      <c r="G993" s="129"/>
      <c r="H993" s="44" t="b">
        <v>1</v>
      </c>
      <c r="K993" s="441" t="s">
        <v>1749</v>
      </c>
      <c r="L993" s="441" t="s">
        <v>1758</v>
      </c>
      <c r="M993" s="441" t="s">
        <v>469</v>
      </c>
      <c r="N993" s="441" t="s">
        <v>195</v>
      </c>
      <c r="O993" s="441" t="s">
        <v>1764</v>
      </c>
      <c r="P993" s="441" t="s">
        <v>1765</v>
      </c>
      <c r="Q993" s="441" t="s">
        <v>1766</v>
      </c>
    </row>
    <row r="994" hidden="1" outlineLevel="1">
      <c r="A994" s="10"/>
      <c r="B994" s="10"/>
      <c r="C994" s="313">
        <v>0.5069444444444444</v>
      </c>
      <c r="D994" s="129" t="s">
        <v>1849</v>
      </c>
      <c r="E994" s="129" t="s">
        <v>1758</v>
      </c>
      <c r="F994" s="130">
        <v>150.0</v>
      </c>
      <c r="G994" s="129"/>
      <c r="H994" s="44" t="b">
        <v>1</v>
      </c>
      <c r="K994" s="91" t="s">
        <v>1756</v>
      </c>
      <c r="L994" s="90">
        <f t="shared" ref="L994:L1005" si="351">COUNTIFS($D$992:$D$1062, $K994,$E$992:$E$1062,$L$993)</f>
        <v>18</v>
      </c>
      <c r="M994" s="90">
        <f t="shared" ref="M994:M1005" si="352">COUNTIFS($D$992:$D$1062, $K994,$E$992:$E$1062,$M$993)</f>
        <v>9</v>
      </c>
      <c r="N994" s="90">
        <f t="shared" ref="N994:N1005" si="353">L994+M994</f>
        <v>27</v>
      </c>
      <c r="O994" s="92">
        <f t="shared" ref="O994:O1005" si="354">SUMIFS($F$992:$F$1062,$D$992:$D$1062,$K994)</f>
        <v>3900</v>
      </c>
      <c r="P994" s="92">
        <f t="shared" ref="P994:P1005" si="355">SUMIFS($F$992:$F$1062,$D$992:$D$1062,$K994,$H$992:$H$1062,TRUE())</f>
        <v>3900</v>
      </c>
      <c r="Q994" s="92">
        <f t="shared" ref="Q994:Q1005" si="356">O994-P994</f>
        <v>0</v>
      </c>
    </row>
    <row r="995" hidden="1" outlineLevel="1">
      <c r="A995" s="102">
        <v>45840.0</v>
      </c>
      <c r="B995" s="97">
        <f>A995</f>
        <v>45840</v>
      </c>
      <c r="C995" s="313">
        <v>0.2916666666666667</v>
      </c>
      <c r="D995" s="129" t="s">
        <v>1756</v>
      </c>
      <c r="E995" s="129" t="s">
        <v>1758</v>
      </c>
      <c r="F995" s="130">
        <v>150.0</v>
      </c>
      <c r="G995" s="129"/>
      <c r="H995" s="44" t="b">
        <v>1</v>
      </c>
      <c r="K995" s="91" t="s">
        <v>1798</v>
      </c>
      <c r="L995" s="90">
        <f t="shared" si="351"/>
        <v>1</v>
      </c>
      <c r="M995" s="90">
        <f t="shared" si="352"/>
        <v>0</v>
      </c>
      <c r="N995" s="90">
        <f t="shared" si="353"/>
        <v>1</v>
      </c>
      <c r="O995" s="92">
        <f t="shared" si="354"/>
        <v>200</v>
      </c>
      <c r="P995" s="92">
        <f t="shared" si="355"/>
        <v>200</v>
      </c>
      <c r="Q995" s="92">
        <f t="shared" si="356"/>
        <v>0</v>
      </c>
    </row>
    <row r="996" hidden="1" outlineLevel="1">
      <c r="A996" s="10"/>
      <c r="B996" s="10"/>
      <c r="C996" s="313">
        <v>0.5069444444444444</v>
      </c>
      <c r="D996" s="129" t="s">
        <v>1849</v>
      </c>
      <c r="E996" s="129" t="s">
        <v>1758</v>
      </c>
      <c r="F996" s="130">
        <v>150.0</v>
      </c>
      <c r="G996" s="129"/>
      <c r="H996" s="44" t="b">
        <v>1</v>
      </c>
      <c r="K996" s="91" t="s">
        <v>1840</v>
      </c>
      <c r="L996" s="90">
        <f t="shared" si="351"/>
        <v>2</v>
      </c>
      <c r="M996" s="90">
        <f t="shared" si="352"/>
        <v>0</v>
      </c>
      <c r="N996" s="90">
        <f t="shared" si="353"/>
        <v>2</v>
      </c>
      <c r="O996" s="92">
        <f t="shared" si="354"/>
        <v>400</v>
      </c>
      <c r="P996" s="92">
        <f t="shared" si="355"/>
        <v>400</v>
      </c>
      <c r="Q996" s="92">
        <f t="shared" si="356"/>
        <v>0</v>
      </c>
    </row>
    <row r="997" hidden="1" outlineLevel="1">
      <c r="A997" s="102">
        <v>45841.0</v>
      </c>
      <c r="B997" s="97">
        <f>A997</f>
        <v>45841</v>
      </c>
      <c r="C997" s="313">
        <v>0.2916666666666667</v>
      </c>
      <c r="D997" s="129" t="s">
        <v>1756</v>
      </c>
      <c r="E997" s="129" t="s">
        <v>1758</v>
      </c>
      <c r="F997" s="130">
        <v>150.0</v>
      </c>
      <c r="G997" s="129"/>
      <c r="H997" s="44" t="b">
        <v>1</v>
      </c>
      <c r="K997" s="91" t="s">
        <v>183</v>
      </c>
      <c r="L997" s="90">
        <f t="shared" si="351"/>
        <v>9</v>
      </c>
      <c r="M997" s="90">
        <f t="shared" si="352"/>
        <v>0</v>
      </c>
      <c r="N997" s="90">
        <f t="shared" si="353"/>
        <v>9</v>
      </c>
      <c r="O997" s="92">
        <f t="shared" si="354"/>
        <v>1350</v>
      </c>
      <c r="P997" s="92">
        <f t="shared" si="355"/>
        <v>1350</v>
      </c>
      <c r="Q997" s="92">
        <f t="shared" si="356"/>
        <v>0</v>
      </c>
    </row>
    <row r="998" hidden="1" outlineLevel="1">
      <c r="A998" s="10"/>
      <c r="B998" s="10"/>
      <c r="C998" s="313">
        <v>0.5069444444444444</v>
      </c>
      <c r="D998" s="129" t="s">
        <v>562</v>
      </c>
      <c r="E998" s="129" t="s">
        <v>1758</v>
      </c>
      <c r="F998" s="130">
        <v>150.0</v>
      </c>
      <c r="G998" s="129"/>
      <c r="H998" s="44" t="b">
        <v>1</v>
      </c>
      <c r="K998" s="91" t="s">
        <v>363</v>
      </c>
      <c r="L998" s="90">
        <f t="shared" si="351"/>
        <v>3</v>
      </c>
      <c r="M998" s="90">
        <f t="shared" si="352"/>
        <v>0</v>
      </c>
      <c r="N998" s="90">
        <f t="shared" si="353"/>
        <v>3</v>
      </c>
      <c r="O998" s="92">
        <f t="shared" si="354"/>
        <v>600</v>
      </c>
      <c r="P998" s="92">
        <f t="shared" si="355"/>
        <v>600</v>
      </c>
      <c r="Q998" s="92">
        <f t="shared" si="356"/>
        <v>0</v>
      </c>
    </row>
    <row r="999" hidden="1" outlineLevel="1">
      <c r="A999" s="102">
        <v>45842.0</v>
      </c>
      <c r="B999" s="97">
        <f>A999</f>
        <v>45842</v>
      </c>
      <c r="C999" s="398">
        <v>0.2916666666666667</v>
      </c>
      <c r="D999" s="129" t="s">
        <v>1756</v>
      </c>
      <c r="E999" s="129" t="s">
        <v>469</v>
      </c>
      <c r="F999" s="130">
        <v>150.0</v>
      </c>
      <c r="G999" s="129"/>
      <c r="H999" s="44" t="b">
        <v>1</v>
      </c>
      <c r="K999" s="91" t="s">
        <v>1785</v>
      </c>
      <c r="L999" s="90">
        <f t="shared" si="351"/>
        <v>2</v>
      </c>
      <c r="M999" s="90">
        <f t="shared" si="352"/>
        <v>0</v>
      </c>
      <c r="N999" s="90">
        <f t="shared" si="353"/>
        <v>2</v>
      </c>
      <c r="O999" s="92">
        <f t="shared" si="354"/>
        <v>400</v>
      </c>
      <c r="P999" s="92">
        <f t="shared" si="355"/>
        <v>400</v>
      </c>
      <c r="Q999" s="92">
        <f t="shared" si="356"/>
        <v>0</v>
      </c>
    </row>
    <row r="1000" hidden="1" outlineLevel="1">
      <c r="A1000" s="58"/>
      <c r="B1000" s="58"/>
      <c r="C1000" s="10"/>
      <c r="D1000" s="129" t="s">
        <v>183</v>
      </c>
      <c r="E1000" s="129" t="s">
        <v>1758</v>
      </c>
      <c r="F1000" s="130">
        <v>150.0</v>
      </c>
      <c r="G1000" s="129"/>
      <c r="H1000" s="44" t="b">
        <v>1</v>
      </c>
      <c r="K1000" s="91" t="s">
        <v>1842</v>
      </c>
      <c r="L1000" s="90">
        <f t="shared" si="351"/>
        <v>0</v>
      </c>
      <c r="M1000" s="90">
        <f t="shared" si="352"/>
        <v>0</v>
      </c>
      <c r="N1000" s="90">
        <f t="shared" si="353"/>
        <v>0</v>
      </c>
      <c r="O1000" s="92">
        <f t="shared" si="354"/>
        <v>0</v>
      </c>
      <c r="P1000" s="92">
        <f t="shared" si="355"/>
        <v>0</v>
      </c>
      <c r="Q1000" s="92">
        <f t="shared" si="356"/>
        <v>0</v>
      </c>
    </row>
    <row r="1001" hidden="1" outlineLevel="1">
      <c r="A1001" s="10"/>
      <c r="B1001" s="10"/>
      <c r="C1001" s="313">
        <v>0.5069444444444444</v>
      </c>
      <c r="D1001" s="129" t="s">
        <v>1849</v>
      </c>
      <c r="E1001" s="129" t="s">
        <v>1758</v>
      </c>
      <c r="F1001" s="130">
        <v>150.0</v>
      </c>
      <c r="G1001" s="129"/>
      <c r="H1001" s="44" t="b">
        <v>1</v>
      </c>
      <c r="K1001" s="91" t="s">
        <v>562</v>
      </c>
      <c r="L1001" s="90">
        <f t="shared" si="351"/>
        <v>7</v>
      </c>
      <c r="M1001" s="90">
        <f t="shared" si="352"/>
        <v>0</v>
      </c>
      <c r="N1001" s="90">
        <f t="shared" si="353"/>
        <v>7</v>
      </c>
      <c r="O1001" s="92">
        <f t="shared" si="354"/>
        <v>1150</v>
      </c>
      <c r="P1001" s="92">
        <f t="shared" si="355"/>
        <v>1150</v>
      </c>
      <c r="Q1001" s="92">
        <f t="shared" si="356"/>
        <v>0</v>
      </c>
    </row>
    <row r="1002" hidden="1" outlineLevel="1">
      <c r="A1002" s="125">
        <v>45843.0</v>
      </c>
      <c r="B1002" s="126">
        <f t="shared" ref="B1002:B1003" si="357">A1002</f>
        <v>45843</v>
      </c>
      <c r="C1002" s="313">
        <v>0.3333333333333333</v>
      </c>
      <c r="D1002" s="129" t="s">
        <v>1756</v>
      </c>
      <c r="E1002" s="129" t="s">
        <v>1758</v>
      </c>
      <c r="F1002" s="130">
        <v>150.0</v>
      </c>
      <c r="G1002" s="129"/>
      <c r="H1002" s="44" t="b">
        <v>1</v>
      </c>
      <c r="K1002" s="91" t="s">
        <v>1828</v>
      </c>
      <c r="L1002" s="90">
        <f t="shared" si="351"/>
        <v>1</v>
      </c>
      <c r="M1002" s="90">
        <f t="shared" si="352"/>
        <v>0</v>
      </c>
      <c r="N1002" s="90">
        <f t="shared" si="353"/>
        <v>1</v>
      </c>
      <c r="O1002" s="92">
        <f t="shared" si="354"/>
        <v>200</v>
      </c>
      <c r="P1002" s="92">
        <f t="shared" si="355"/>
        <v>200</v>
      </c>
      <c r="Q1002" s="92">
        <f t="shared" si="356"/>
        <v>0</v>
      </c>
    </row>
    <row r="1003" hidden="1" outlineLevel="1">
      <c r="A1003" s="102">
        <v>45844.0</v>
      </c>
      <c r="B1003" s="97">
        <f t="shared" si="357"/>
        <v>45844</v>
      </c>
      <c r="C1003" s="313">
        <v>0.3333333333333333</v>
      </c>
      <c r="D1003" s="129" t="s">
        <v>1828</v>
      </c>
      <c r="E1003" s="129" t="s">
        <v>1758</v>
      </c>
      <c r="F1003" s="130">
        <v>200.0</v>
      </c>
      <c r="G1003" s="129"/>
      <c r="H1003" s="44" t="b">
        <v>1</v>
      </c>
      <c r="K1003" s="91" t="s">
        <v>1845</v>
      </c>
      <c r="L1003" s="90">
        <f t="shared" si="351"/>
        <v>0</v>
      </c>
      <c r="M1003" s="90">
        <f t="shared" si="352"/>
        <v>0</v>
      </c>
      <c r="N1003" s="90">
        <f t="shared" si="353"/>
        <v>0</v>
      </c>
      <c r="O1003" s="92">
        <f t="shared" si="354"/>
        <v>0</v>
      </c>
      <c r="P1003" s="92">
        <f t="shared" si="355"/>
        <v>0</v>
      </c>
      <c r="Q1003" s="92">
        <f t="shared" si="356"/>
        <v>0</v>
      </c>
    </row>
    <row r="1004" hidden="1" outlineLevel="1">
      <c r="A1004" s="58"/>
      <c r="B1004" s="58"/>
      <c r="C1004" s="313">
        <v>0.4583333333333333</v>
      </c>
      <c r="D1004" s="129" t="s">
        <v>1785</v>
      </c>
      <c r="E1004" s="129" t="s">
        <v>1758</v>
      </c>
      <c r="F1004" s="130">
        <v>200.0</v>
      </c>
      <c r="G1004" s="129"/>
      <c r="H1004" s="44" t="b">
        <v>1</v>
      </c>
      <c r="K1004" s="91" t="s">
        <v>1849</v>
      </c>
      <c r="L1004" s="90">
        <f t="shared" si="351"/>
        <v>18</v>
      </c>
      <c r="M1004" s="90">
        <f t="shared" si="352"/>
        <v>0</v>
      </c>
      <c r="N1004" s="90">
        <f t="shared" si="353"/>
        <v>18</v>
      </c>
      <c r="O1004" s="92">
        <f t="shared" si="354"/>
        <v>2700</v>
      </c>
      <c r="P1004" s="92">
        <f t="shared" si="355"/>
        <v>2700</v>
      </c>
      <c r="Q1004" s="92">
        <f t="shared" si="356"/>
        <v>0</v>
      </c>
    </row>
    <row r="1005" hidden="1" outlineLevel="1">
      <c r="A1005" s="10"/>
      <c r="B1005" s="10"/>
      <c r="C1005" s="313">
        <v>0.7708333333333334</v>
      </c>
      <c r="D1005" s="129" t="s">
        <v>363</v>
      </c>
      <c r="E1005" s="129" t="s">
        <v>1758</v>
      </c>
      <c r="F1005" s="130">
        <v>200.0</v>
      </c>
      <c r="G1005" s="129"/>
      <c r="H1005" s="44" t="b">
        <v>1</v>
      </c>
      <c r="K1005" s="91" t="s">
        <v>1846</v>
      </c>
      <c r="L1005" s="90">
        <f t="shared" si="351"/>
        <v>1</v>
      </c>
      <c r="M1005" s="90">
        <f t="shared" si="352"/>
        <v>0</v>
      </c>
      <c r="N1005" s="90">
        <f t="shared" si="353"/>
        <v>1</v>
      </c>
      <c r="O1005" s="92">
        <f t="shared" si="354"/>
        <v>200</v>
      </c>
      <c r="P1005" s="92">
        <f t="shared" si="355"/>
        <v>200</v>
      </c>
      <c r="Q1005" s="92">
        <f t="shared" si="356"/>
        <v>0</v>
      </c>
    </row>
    <row r="1006" hidden="1" outlineLevel="1">
      <c r="A1006" s="102">
        <v>45845.0</v>
      </c>
      <c r="B1006" s="97">
        <f>A1006</f>
        <v>45845</v>
      </c>
      <c r="C1006" s="313">
        <v>0.2916666666666667</v>
      </c>
      <c r="D1006" s="129" t="s">
        <v>1756</v>
      </c>
      <c r="E1006" s="129" t="s">
        <v>1758</v>
      </c>
      <c r="F1006" s="130">
        <v>150.0</v>
      </c>
      <c r="G1006" s="129"/>
      <c r="H1006" s="44" t="b">
        <v>1</v>
      </c>
      <c r="K1006" s="91"/>
      <c r="L1006" s="90"/>
      <c r="M1006" s="90"/>
      <c r="N1006" s="90"/>
      <c r="O1006" s="92"/>
      <c r="P1006" s="92"/>
      <c r="Q1006" s="90"/>
    </row>
    <row r="1007" hidden="1" outlineLevel="1">
      <c r="A1007" s="10"/>
      <c r="B1007" s="10"/>
      <c r="C1007" s="313">
        <v>0.5069444444444444</v>
      </c>
      <c r="D1007" s="129" t="s">
        <v>1849</v>
      </c>
      <c r="E1007" s="129" t="s">
        <v>1758</v>
      </c>
      <c r="F1007" s="130">
        <v>150.0</v>
      </c>
      <c r="G1007" s="129"/>
      <c r="H1007" s="44" t="b">
        <v>1</v>
      </c>
      <c r="K1007" s="91"/>
      <c r="L1007" s="90"/>
      <c r="M1007" s="90"/>
      <c r="N1007" s="90"/>
      <c r="O1007" s="92"/>
      <c r="P1007" s="92"/>
      <c r="Q1007" s="90"/>
    </row>
    <row r="1008" hidden="1" outlineLevel="1">
      <c r="A1008" s="102">
        <v>45846.0</v>
      </c>
      <c r="B1008" s="97">
        <f>A1008</f>
        <v>45846</v>
      </c>
      <c r="C1008" s="398">
        <v>0.2916666666666667</v>
      </c>
      <c r="D1008" s="129" t="s">
        <v>1756</v>
      </c>
      <c r="E1008" s="129" t="s">
        <v>469</v>
      </c>
      <c r="F1008" s="130">
        <v>0.0</v>
      </c>
      <c r="G1008" s="129" t="s">
        <v>2071</v>
      </c>
      <c r="H1008" s="44" t="b">
        <v>1</v>
      </c>
      <c r="K1008" s="276"/>
      <c r="L1008" s="90"/>
      <c r="M1008" s="276"/>
      <c r="N1008" s="276"/>
      <c r="O1008" s="276"/>
      <c r="P1008" s="276"/>
      <c r="Q1008" s="276"/>
    </row>
    <row r="1009" hidden="1" outlineLevel="1">
      <c r="A1009" s="58"/>
      <c r="B1009" s="58"/>
      <c r="C1009" s="10"/>
      <c r="D1009" s="129" t="s">
        <v>183</v>
      </c>
      <c r="E1009" s="129" t="s">
        <v>1758</v>
      </c>
      <c r="F1009" s="130">
        <v>150.0</v>
      </c>
      <c r="G1009" s="129"/>
      <c r="H1009" s="44" t="b">
        <v>1</v>
      </c>
      <c r="K1009" s="276"/>
      <c r="L1009" s="90"/>
      <c r="M1009" s="276"/>
      <c r="N1009" s="276"/>
      <c r="O1009" s="276"/>
      <c r="P1009" s="276"/>
      <c r="Q1009" s="276"/>
    </row>
    <row r="1010" hidden="1" outlineLevel="1">
      <c r="A1010" s="10"/>
      <c r="B1010" s="10"/>
      <c r="C1010" s="313">
        <v>0.5069444444444444</v>
      </c>
      <c r="D1010" s="129" t="s">
        <v>1849</v>
      </c>
      <c r="E1010" s="129" t="s">
        <v>1758</v>
      </c>
      <c r="F1010" s="130">
        <v>150.0</v>
      </c>
      <c r="G1010" s="129"/>
      <c r="H1010" s="44" t="b">
        <v>1</v>
      </c>
      <c r="K1010" s="91"/>
      <c r="L1010" s="90"/>
      <c r="M1010" s="90"/>
      <c r="N1010" s="90"/>
      <c r="O1010" s="92"/>
      <c r="P1010" s="92"/>
      <c r="Q1010" s="90"/>
    </row>
    <row r="1011" hidden="1" outlineLevel="1">
      <c r="A1011" s="102">
        <v>45847.0</v>
      </c>
      <c r="B1011" s="97">
        <f>A1011</f>
        <v>45847</v>
      </c>
      <c r="C1011" s="313">
        <v>0.2916666666666667</v>
      </c>
      <c r="D1011" s="129" t="s">
        <v>1756</v>
      </c>
      <c r="E1011" s="129" t="s">
        <v>1758</v>
      </c>
      <c r="F1011" s="130">
        <v>150.0</v>
      </c>
      <c r="G1011" s="129"/>
      <c r="H1011" s="44" t="b">
        <v>1</v>
      </c>
      <c r="K1011" s="477" t="s">
        <v>195</v>
      </c>
      <c r="L1011" s="478">
        <f t="shared" ref="L1011:Q1011" si="358">SUM(L994:L1010)</f>
        <v>62</v>
      </c>
      <c r="M1011" s="478">
        <f t="shared" si="358"/>
        <v>9</v>
      </c>
      <c r="N1011" s="478">
        <f t="shared" si="358"/>
        <v>71</v>
      </c>
      <c r="O1011" s="479">
        <f t="shared" si="358"/>
        <v>11100</v>
      </c>
      <c r="P1011" s="479">
        <f t="shared" si="358"/>
        <v>11100</v>
      </c>
      <c r="Q1011" s="479">
        <f t="shared" si="358"/>
        <v>0</v>
      </c>
    </row>
    <row r="1012" hidden="1" outlineLevel="1">
      <c r="A1012" s="10"/>
      <c r="B1012" s="10"/>
      <c r="C1012" s="313">
        <v>0.5069444444444444</v>
      </c>
      <c r="D1012" s="129" t="s">
        <v>1849</v>
      </c>
      <c r="E1012" s="129" t="s">
        <v>1758</v>
      </c>
      <c r="F1012" s="130">
        <v>150.0</v>
      </c>
      <c r="G1012" s="129"/>
      <c r="H1012" s="44" t="b">
        <v>1</v>
      </c>
    </row>
    <row r="1013" hidden="1" outlineLevel="1">
      <c r="A1013" s="102">
        <v>45848.0</v>
      </c>
      <c r="B1013" s="97">
        <f>A1013</f>
        <v>45848</v>
      </c>
      <c r="C1013" s="313">
        <v>0.2916666666666667</v>
      </c>
      <c r="D1013" s="129" t="s">
        <v>1756</v>
      </c>
      <c r="E1013" s="129" t="s">
        <v>1758</v>
      </c>
      <c r="F1013" s="130">
        <v>150.0</v>
      </c>
      <c r="G1013" s="129"/>
      <c r="H1013" s="44" t="b">
        <v>1</v>
      </c>
    </row>
    <row r="1014" hidden="1" outlineLevel="1">
      <c r="A1014" s="10"/>
      <c r="B1014" s="10"/>
      <c r="C1014" s="313">
        <v>0.5069444444444444</v>
      </c>
      <c r="D1014" s="129" t="s">
        <v>562</v>
      </c>
      <c r="E1014" s="129" t="s">
        <v>1758</v>
      </c>
      <c r="F1014" s="130">
        <v>150.0</v>
      </c>
      <c r="G1014" s="129"/>
      <c r="H1014" s="44" t="b">
        <v>1</v>
      </c>
    </row>
    <row r="1015" hidden="1" outlineLevel="1">
      <c r="A1015" s="102">
        <v>45849.0</v>
      </c>
      <c r="B1015" s="97">
        <f>A1015</f>
        <v>45849</v>
      </c>
      <c r="C1015" s="398">
        <v>0.2916666666666667</v>
      </c>
      <c r="D1015" s="129" t="s">
        <v>1756</v>
      </c>
      <c r="E1015" s="129" t="s">
        <v>469</v>
      </c>
      <c r="F1015" s="130">
        <v>150.0</v>
      </c>
      <c r="G1015" s="129"/>
      <c r="H1015" s="44" t="b">
        <v>1</v>
      </c>
    </row>
    <row r="1016" hidden="1" outlineLevel="1">
      <c r="A1016" s="58"/>
      <c r="B1016" s="58"/>
      <c r="C1016" s="10"/>
      <c r="D1016" s="129" t="s">
        <v>183</v>
      </c>
      <c r="E1016" s="129" t="s">
        <v>1758</v>
      </c>
      <c r="F1016" s="130">
        <v>150.0</v>
      </c>
      <c r="G1016" s="129"/>
      <c r="H1016" s="44" t="b">
        <v>1</v>
      </c>
    </row>
    <row r="1017" hidden="1" outlineLevel="1">
      <c r="A1017" s="10"/>
      <c r="B1017" s="10"/>
      <c r="C1017" s="313">
        <v>0.5069444444444444</v>
      </c>
      <c r="D1017" s="129" t="s">
        <v>1849</v>
      </c>
      <c r="E1017" s="129" t="s">
        <v>1758</v>
      </c>
      <c r="F1017" s="130">
        <v>150.0</v>
      </c>
      <c r="G1017" s="129"/>
      <c r="H1017" s="44" t="b">
        <v>1</v>
      </c>
    </row>
    <row r="1018" hidden="1" outlineLevel="1">
      <c r="A1018" s="125">
        <v>45850.0</v>
      </c>
      <c r="B1018" s="126">
        <f t="shared" ref="B1018:B1019" si="359">A1018</f>
        <v>45850</v>
      </c>
      <c r="C1018" s="313">
        <v>0.3333333333333333</v>
      </c>
      <c r="D1018" s="129" t="s">
        <v>1756</v>
      </c>
      <c r="E1018" s="129" t="s">
        <v>1758</v>
      </c>
      <c r="F1018" s="130">
        <v>150.0</v>
      </c>
      <c r="G1018" s="129"/>
      <c r="H1018" s="44" t="b">
        <v>1</v>
      </c>
    </row>
    <row r="1019" hidden="1" outlineLevel="1">
      <c r="A1019" s="102">
        <v>45851.0</v>
      </c>
      <c r="B1019" s="97">
        <f t="shared" si="359"/>
        <v>45851</v>
      </c>
      <c r="C1019" s="313">
        <v>0.3333333333333333</v>
      </c>
      <c r="D1019" s="129" t="s">
        <v>1840</v>
      </c>
      <c r="E1019" s="129" t="s">
        <v>1758</v>
      </c>
      <c r="F1019" s="130">
        <v>200.0</v>
      </c>
      <c r="G1019" s="129"/>
      <c r="H1019" s="44" t="b">
        <v>1</v>
      </c>
    </row>
    <row r="1020" hidden="1" outlineLevel="1">
      <c r="A1020" s="58"/>
      <c r="B1020" s="58"/>
      <c r="C1020" s="313">
        <v>0.4583333333333333</v>
      </c>
      <c r="D1020" s="129" t="s">
        <v>562</v>
      </c>
      <c r="E1020" s="129" t="s">
        <v>1758</v>
      </c>
      <c r="F1020" s="130">
        <v>200.0</v>
      </c>
      <c r="G1020" s="129"/>
      <c r="H1020" s="44" t="b">
        <v>1</v>
      </c>
    </row>
    <row r="1021" hidden="1" outlineLevel="1">
      <c r="A1021" s="10"/>
      <c r="B1021" s="10"/>
      <c r="C1021" s="313">
        <v>0.7708333333333334</v>
      </c>
      <c r="D1021" s="129" t="s">
        <v>363</v>
      </c>
      <c r="E1021" s="129" t="s">
        <v>1758</v>
      </c>
      <c r="F1021" s="130">
        <v>200.0</v>
      </c>
      <c r="G1021" s="129"/>
      <c r="H1021" s="44" t="b">
        <v>1</v>
      </c>
    </row>
    <row r="1022" hidden="1" outlineLevel="1">
      <c r="A1022" s="102">
        <v>45852.0</v>
      </c>
      <c r="B1022" s="97">
        <f>A1022</f>
        <v>45852</v>
      </c>
      <c r="C1022" s="313">
        <v>0.2916666666666667</v>
      </c>
      <c r="D1022" s="129" t="s">
        <v>1756</v>
      </c>
      <c r="E1022" s="129" t="s">
        <v>1758</v>
      </c>
      <c r="F1022" s="130">
        <v>150.0</v>
      </c>
      <c r="G1022" s="129"/>
      <c r="H1022" s="44" t="b">
        <v>1</v>
      </c>
    </row>
    <row r="1023" hidden="1" outlineLevel="1">
      <c r="A1023" s="10"/>
      <c r="B1023" s="10"/>
      <c r="C1023" s="313">
        <v>0.5069444444444444</v>
      </c>
      <c r="D1023" s="129" t="s">
        <v>1849</v>
      </c>
      <c r="E1023" s="129" t="s">
        <v>1758</v>
      </c>
      <c r="F1023" s="130">
        <v>150.0</v>
      </c>
      <c r="G1023" s="129"/>
      <c r="H1023" s="44" t="b">
        <v>1</v>
      </c>
    </row>
    <row r="1024" hidden="1" outlineLevel="1">
      <c r="A1024" s="102">
        <v>45853.0</v>
      </c>
      <c r="B1024" s="97">
        <f>A1024</f>
        <v>45853</v>
      </c>
      <c r="C1024" s="398">
        <v>0.2916666666666667</v>
      </c>
      <c r="D1024" s="129" t="s">
        <v>1756</v>
      </c>
      <c r="E1024" s="129" t="s">
        <v>469</v>
      </c>
      <c r="F1024" s="130">
        <v>150.0</v>
      </c>
      <c r="G1024" s="129"/>
      <c r="H1024" s="44" t="b">
        <v>1</v>
      </c>
    </row>
    <row r="1025" hidden="1" outlineLevel="1">
      <c r="A1025" s="58"/>
      <c r="B1025" s="58"/>
      <c r="C1025" s="10"/>
      <c r="D1025" s="129" t="s">
        <v>183</v>
      </c>
      <c r="E1025" s="129" t="s">
        <v>1758</v>
      </c>
      <c r="F1025" s="130">
        <v>150.0</v>
      </c>
      <c r="G1025" s="129"/>
      <c r="H1025" s="44" t="b">
        <v>1</v>
      </c>
    </row>
    <row r="1026" hidden="1" outlineLevel="1">
      <c r="A1026" s="10"/>
      <c r="B1026" s="10"/>
      <c r="C1026" s="313">
        <v>0.5069444444444444</v>
      </c>
      <c r="D1026" s="129" t="s">
        <v>1849</v>
      </c>
      <c r="E1026" s="129" t="s">
        <v>1758</v>
      </c>
      <c r="F1026" s="130">
        <v>150.0</v>
      </c>
      <c r="G1026" s="129"/>
      <c r="H1026" s="44" t="b">
        <v>1</v>
      </c>
    </row>
    <row r="1027" hidden="1" outlineLevel="1">
      <c r="A1027" s="102">
        <v>45854.0</v>
      </c>
      <c r="B1027" s="97">
        <f>A1027</f>
        <v>45854</v>
      </c>
      <c r="C1027" s="313">
        <v>0.2916666666666667</v>
      </c>
      <c r="D1027" s="129" t="s">
        <v>1756</v>
      </c>
      <c r="E1027" s="129" t="s">
        <v>1758</v>
      </c>
      <c r="F1027" s="130">
        <v>150.0</v>
      </c>
      <c r="G1027" s="129"/>
      <c r="H1027" s="44" t="b">
        <v>1</v>
      </c>
    </row>
    <row r="1028" hidden="1" outlineLevel="1">
      <c r="A1028" s="10"/>
      <c r="B1028" s="10"/>
      <c r="C1028" s="313">
        <v>0.5069444444444444</v>
      </c>
      <c r="D1028" s="129" t="s">
        <v>1849</v>
      </c>
      <c r="E1028" s="129" t="s">
        <v>1758</v>
      </c>
      <c r="F1028" s="130">
        <v>150.0</v>
      </c>
      <c r="G1028" s="129"/>
      <c r="H1028" s="44" t="b">
        <v>1</v>
      </c>
    </row>
    <row r="1029" hidden="1" outlineLevel="1">
      <c r="A1029" s="102">
        <v>45855.0</v>
      </c>
      <c r="B1029" s="97">
        <f>A1029</f>
        <v>45855</v>
      </c>
      <c r="C1029" s="313">
        <v>0.2916666666666667</v>
      </c>
      <c r="D1029" s="129" t="s">
        <v>1756</v>
      </c>
      <c r="E1029" s="129" t="s">
        <v>1758</v>
      </c>
      <c r="F1029" s="130">
        <v>150.0</v>
      </c>
      <c r="G1029" s="129"/>
      <c r="H1029" s="44" t="b">
        <v>1</v>
      </c>
    </row>
    <row r="1030" hidden="1" outlineLevel="1">
      <c r="A1030" s="10"/>
      <c r="B1030" s="10"/>
      <c r="C1030" s="313">
        <v>0.5069444444444444</v>
      </c>
      <c r="D1030" s="129" t="s">
        <v>562</v>
      </c>
      <c r="E1030" s="129" t="s">
        <v>1758</v>
      </c>
      <c r="F1030" s="130">
        <v>150.0</v>
      </c>
      <c r="G1030" s="129"/>
      <c r="H1030" s="44" t="b">
        <v>1</v>
      </c>
    </row>
    <row r="1031" hidden="1" outlineLevel="1">
      <c r="A1031" s="102">
        <v>45856.0</v>
      </c>
      <c r="B1031" s="97">
        <f>A1031</f>
        <v>45856</v>
      </c>
      <c r="C1031" s="398">
        <v>0.2916666666666667</v>
      </c>
      <c r="D1031" s="129" t="s">
        <v>1756</v>
      </c>
      <c r="E1031" s="129" t="s">
        <v>469</v>
      </c>
      <c r="F1031" s="130">
        <v>150.0</v>
      </c>
      <c r="G1031" s="129"/>
      <c r="H1031" s="44" t="b">
        <v>1</v>
      </c>
    </row>
    <row r="1032" hidden="1" outlineLevel="1">
      <c r="A1032" s="58"/>
      <c r="B1032" s="58"/>
      <c r="C1032" s="10"/>
      <c r="D1032" s="129" t="s">
        <v>183</v>
      </c>
      <c r="E1032" s="129" t="s">
        <v>1758</v>
      </c>
      <c r="F1032" s="130">
        <v>150.0</v>
      </c>
      <c r="G1032" s="129"/>
      <c r="H1032" s="44" t="b">
        <v>1</v>
      </c>
    </row>
    <row r="1033" hidden="1" outlineLevel="1">
      <c r="A1033" s="10"/>
      <c r="B1033" s="10"/>
      <c r="C1033" s="313">
        <v>0.5069444444444444</v>
      </c>
      <c r="D1033" s="129" t="s">
        <v>1849</v>
      </c>
      <c r="E1033" s="129" t="s">
        <v>1758</v>
      </c>
      <c r="F1033" s="130">
        <v>150.0</v>
      </c>
      <c r="G1033" s="129"/>
      <c r="H1033" s="44" t="b">
        <v>1</v>
      </c>
    </row>
    <row r="1034" hidden="1" outlineLevel="1">
      <c r="A1034" s="125">
        <v>45857.0</v>
      </c>
      <c r="B1034" s="126">
        <f t="shared" ref="B1034:B1035" si="360">A1034</f>
        <v>45857</v>
      </c>
      <c r="C1034" s="313">
        <v>0.3333333333333333</v>
      </c>
      <c r="D1034" s="129" t="s">
        <v>1756</v>
      </c>
      <c r="E1034" s="129" t="s">
        <v>1758</v>
      </c>
      <c r="F1034" s="130">
        <v>150.0</v>
      </c>
      <c r="G1034" s="129"/>
      <c r="H1034" s="44" t="b">
        <v>1</v>
      </c>
    </row>
    <row r="1035" hidden="1" outlineLevel="1">
      <c r="A1035" s="102">
        <v>45858.0</v>
      </c>
      <c r="B1035" s="97">
        <f t="shared" si="360"/>
        <v>45858</v>
      </c>
      <c r="C1035" s="313">
        <v>0.3333333333333333</v>
      </c>
      <c r="D1035" s="129" t="s">
        <v>1798</v>
      </c>
      <c r="E1035" s="129" t="s">
        <v>1758</v>
      </c>
      <c r="F1035" s="130">
        <v>200.0</v>
      </c>
      <c r="G1035" s="129"/>
      <c r="H1035" s="44" t="b">
        <v>1</v>
      </c>
    </row>
    <row r="1036" hidden="1" outlineLevel="1">
      <c r="A1036" s="58"/>
      <c r="B1036" s="58"/>
      <c r="C1036" s="313">
        <v>0.4583333333333333</v>
      </c>
      <c r="D1036" s="129" t="s">
        <v>1785</v>
      </c>
      <c r="E1036" s="129" t="s">
        <v>1758</v>
      </c>
      <c r="F1036" s="130">
        <v>200.0</v>
      </c>
      <c r="G1036" s="129"/>
      <c r="H1036" s="44" t="b">
        <v>1</v>
      </c>
    </row>
    <row r="1037" hidden="1" outlineLevel="1">
      <c r="A1037" s="10"/>
      <c r="B1037" s="10"/>
      <c r="C1037" s="313">
        <v>0.7708333333333334</v>
      </c>
      <c r="D1037" s="129" t="s">
        <v>363</v>
      </c>
      <c r="E1037" s="129" t="s">
        <v>1758</v>
      </c>
      <c r="F1037" s="130">
        <v>200.0</v>
      </c>
      <c r="G1037" s="129"/>
      <c r="H1037" s="44" t="b">
        <v>1</v>
      </c>
    </row>
    <row r="1038" hidden="1" outlineLevel="1">
      <c r="A1038" s="102">
        <v>45859.0</v>
      </c>
      <c r="B1038" s="97">
        <f>A1038</f>
        <v>45859</v>
      </c>
      <c r="C1038" s="313">
        <v>0.2916666666666667</v>
      </c>
      <c r="D1038" s="129" t="s">
        <v>1756</v>
      </c>
      <c r="E1038" s="129" t="s">
        <v>1758</v>
      </c>
      <c r="F1038" s="130">
        <v>150.0</v>
      </c>
      <c r="G1038" s="129"/>
      <c r="H1038" s="44" t="b">
        <v>1</v>
      </c>
    </row>
    <row r="1039" hidden="1" outlineLevel="1">
      <c r="A1039" s="10"/>
      <c r="B1039" s="10"/>
      <c r="C1039" s="313">
        <v>0.5069444444444444</v>
      </c>
      <c r="D1039" s="129" t="s">
        <v>1849</v>
      </c>
      <c r="E1039" s="129" t="s">
        <v>1758</v>
      </c>
      <c r="F1039" s="130">
        <v>150.0</v>
      </c>
      <c r="G1039" s="129"/>
      <c r="H1039" s="44" t="b">
        <v>1</v>
      </c>
    </row>
    <row r="1040" hidden="1" outlineLevel="1">
      <c r="A1040" s="102">
        <v>45860.0</v>
      </c>
      <c r="B1040" s="97">
        <f>A1040</f>
        <v>45860</v>
      </c>
      <c r="C1040" s="398">
        <v>0.2916666666666667</v>
      </c>
      <c r="D1040" s="129" t="s">
        <v>1756</v>
      </c>
      <c r="E1040" s="129" t="s">
        <v>469</v>
      </c>
      <c r="F1040" s="130">
        <v>150.0</v>
      </c>
      <c r="G1040" s="129"/>
      <c r="H1040" s="44" t="b">
        <v>1</v>
      </c>
    </row>
    <row r="1041" hidden="1" outlineLevel="1">
      <c r="A1041" s="58"/>
      <c r="B1041" s="58"/>
      <c r="C1041" s="10"/>
      <c r="D1041" s="129" t="s">
        <v>183</v>
      </c>
      <c r="E1041" s="129" t="s">
        <v>1758</v>
      </c>
      <c r="F1041" s="130">
        <v>150.0</v>
      </c>
      <c r="G1041" s="129"/>
      <c r="H1041" s="44" t="b">
        <v>1</v>
      </c>
    </row>
    <row r="1042" hidden="1" outlineLevel="1">
      <c r="A1042" s="10"/>
      <c r="B1042" s="10"/>
      <c r="C1042" s="313">
        <v>0.5069444444444444</v>
      </c>
      <c r="D1042" s="129" t="s">
        <v>1849</v>
      </c>
      <c r="E1042" s="129" t="s">
        <v>1758</v>
      </c>
      <c r="F1042" s="130">
        <v>150.0</v>
      </c>
      <c r="G1042" s="129"/>
      <c r="H1042" s="44" t="b">
        <v>1</v>
      </c>
    </row>
    <row r="1043" hidden="1" outlineLevel="1">
      <c r="A1043" s="102">
        <v>45861.0</v>
      </c>
      <c r="B1043" s="97">
        <f>A1043</f>
        <v>45861</v>
      </c>
      <c r="C1043" s="313">
        <v>0.2916666666666667</v>
      </c>
      <c r="D1043" s="129" t="s">
        <v>1756</v>
      </c>
      <c r="E1043" s="129" t="s">
        <v>1758</v>
      </c>
      <c r="F1043" s="130">
        <v>150.0</v>
      </c>
      <c r="G1043" s="129"/>
      <c r="H1043" s="44" t="b">
        <v>1</v>
      </c>
    </row>
    <row r="1044" hidden="1" outlineLevel="1">
      <c r="A1044" s="10"/>
      <c r="B1044" s="10"/>
      <c r="C1044" s="313">
        <v>0.5069444444444444</v>
      </c>
      <c r="D1044" s="129" t="s">
        <v>1849</v>
      </c>
      <c r="E1044" s="129" t="s">
        <v>1758</v>
      </c>
      <c r="F1044" s="130">
        <v>150.0</v>
      </c>
      <c r="G1044" s="129"/>
      <c r="H1044" s="44" t="b">
        <v>1</v>
      </c>
    </row>
    <row r="1045" hidden="1" outlineLevel="1">
      <c r="A1045" s="102">
        <v>45862.0</v>
      </c>
      <c r="B1045" s="97">
        <f>A1045</f>
        <v>45862</v>
      </c>
      <c r="C1045" s="313">
        <v>0.2916666666666667</v>
      </c>
      <c r="D1045" s="129" t="s">
        <v>1756</v>
      </c>
      <c r="E1045" s="129" t="s">
        <v>1758</v>
      </c>
      <c r="F1045" s="130">
        <v>150.0</v>
      </c>
      <c r="G1045" s="129"/>
      <c r="H1045" s="44" t="b">
        <v>1</v>
      </c>
    </row>
    <row r="1046" hidden="1" outlineLevel="1">
      <c r="A1046" s="10"/>
      <c r="B1046" s="10"/>
      <c r="C1046" s="313">
        <v>0.5069444444444444</v>
      </c>
      <c r="D1046" s="129" t="s">
        <v>562</v>
      </c>
      <c r="E1046" s="129" t="s">
        <v>1758</v>
      </c>
      <c r="F1046" s="130">
        <v>150.0</v>
      </c>
      <c r="G1046" s="129"/>
      <c r="H1046" s="44" t="b">
        <v>1</v>
      </c>
    </row>
    <row r="1047" hidden="1" outlineLevel="1">
      <c r="A1047" s="102">
        <v>45863.0</v>
      </c>
      <c r="B1047" s="97">
        <f>A1047</f>
        <v>45863</v>
      </c>
      <c r="C1047" s="398">
        <v>0.2916666666666667</v>
      </c>
      <c r="D1047" s="129" t="s">
        <v>1756</v>
      </c>
      <c r="E1047" s="129" t="s">
        <v>469</v>
      </c>
      <c r="F1047" s="130">
        <v>150.0</v>
      </c>
      <c r="G1047" s="129"/>
      <c r="H1047" s="44" t="b">
        <v>1</v>
      </c>
    </row>
    <row r="1048" hidden="1" outlineLevel="1">
      <c r="A1048" s="58"/>
      <c r="B1048" s="58"/>
      <c r="C1048" s="10"/>
      <c r="D1048" s="129" t="s">
        <v>183</v>
      </c>
      <c r="E1048" s="129" t="s">
        <v>1758</v>
      </c>
      <c r="F1048" s="130">
        <v>150.0</v>
      </c>
      <c r="G1048" s="129"/>
      <c r="H1048" s="44" t="b">
        <v>1</v>
      </c>
    </row>
    <row r="1049" hidden="1" outlineLevel="1">
      <c r="A1049" s="10"/>
      <c r="B1049" s="10"/>
      <c r="C1049" s="313">
        <v>0.5069444444444444</v>
      </c>
      <c r="D1049" s="129" t="s">
        <v>1849</v>
      </c>
      <c r="E1049" s="129" t="s">
        <v>1758</v>
      </c>
      <c r="F1049" s="130">
        <v>150.0</v>
      </c>
      <c r="G1049" s="129"/>
      <c r="H1049" s="44" t="b">
        <v>1</v>
      </c>
    </row>
    <row r="1050" hidden="1" outlineLevel="1">
      <c r="A1050" s="125">
        <v>45864.0</v>
      </c>
      <c r="B1050" s="126">
        <f t="shared" ref="B1050:B1051" si="361">A1050</f>
        <v>45864</v>
      </c>
      <c r="C1050" s="313">
        <v>0.3333333333333333</v>
      </c>
      <c r="D1050" s="129" t="s">
        <v>1756</v>
      </c>
      <c r="E1050" s="129" t="s">
        <v>1758</v>
      </c>
      <c r="F1050" s="130">
        <v>150.0</v>
      </c>
      <c r="G1050" s="129"/>
      <c r="H1050" s="44" t="b">
        <v>1</v>
      </c>
    </row>
    <row r="1051" hidden="1" outlineLevel="1">
      <c r="A1051" s="102">
        <v>45865.0</v>
      </c>
      <c r="B1051" s="97">
        <f t="shared" si="361"/>
        <v>45865</v>
      </c>
      <c r="C1051" s="313">
        <v>0.3333333333333333</v>
      </c>
      <c r="D1051" s="129" t="s">
        <v>1840</v>
      </c>
      <c r="E1051" s="129" t="s">
        <v>1758</v>
      </c>
      <c r="F1051" s="130">
        <v>200.0</v>
      </c>
      <c r="G1051" s="129"/>
      <c r="H1051" s="44" t="b">
        <v>1</v>
      </c>
    </row>
    <row r="1052" hidden="1" outlineLevel="1">
      <c r="A1052" s="58"/>
      <c r="B1052" s="58"/>
      <c r="C1052" s="313">
        <v>0.4583333333333333</v>
      </c>
      <c r="D1052" s="129" t="s">
        <v>562</v>
      </c>
      <c r="E1052" s="129" t="s">
        <v>1758</v>
      </c>
      <c r="F1052" s="130">
        <v>200.0</v>
      </c>
      <c r="G1052" s="129"/>
      <c r="H1052" s="44" t="b">
        <v>1</v>
      </c>
    </row>
    <row r="1053" hidden="1" outlineLevel="1">
      <c r="A1053" s="10"/>
      <c r="B1053" s="10"/>
      <c r="C1053" s="313">
        <v>0.7708333333333334</v>
      </c>
      <c r="D1053" s="129" t="s">
        <v>1846</v>
      </c>
      <c r="E1053" s="129" t="s">
        <v>1758</v>
      </c>
      <c r="F1053" s="130">
        <v>200.0</v>
      </c>
      <c r="G1053" s="129"/>
      <c r="H1053" s="44" t="b">
        <v>1</v>
      </c>
    </row>
    <row r="1054" hidden="1" outlineLevel="1">
      <c r="A1054" s="102">
        <v>45866.0</v>
      </c>
      <c r="B1054" s="97">
        <f>A1054</f>
        <v>45866</v>
      </c>
      <c r="C1054" s="313">
        <v>0.2916666666666667</v>
      </c>
      <c r="D1054" s="129" t="s">
        <v>1756</v>
      </c>
      <c r="E1054" s="129" t="s">
        <v>1758</v>
      </c>
      <c r="F1054" s="130">
        <v>150.0</v>
      </c>
      <c r="G1054" s="129"/>
      <c r="H1054" s="44" t="b">
        <v>1</v>
      </c>
    </row>
    <row r="1055" hidden="1" outlineLevel="1">
      <c r="A1055" s="10"/>
      <c r="B1055" s="10"/>
      <c r="C1055" s="313">
        <v>0.5069444444444444</v>
      </c>
      <c r="D1055" s="129" t="s">
        <v>1849</v>
      </c>
      <c r="E1055" s="129" t="s">
        <v>1758</v>
      </c>
      <c r="F1055" s="130">
        <v>150.0</v>
      </c>
      <c r="G1055" s="129"/>
      <c r="H1055" s="44" t="b">
        <v>1</v>
      </c>
    </row>
    <row r="1056" hidden="1" outlineLevel="1">
      <c r="A1056" s="102">
        <v>45867.0</v>
      </c>
      <c r="B1056" s="97">
        <f>A1056</f>
        <v>45867</v>
      </c>
      <c r="C1056" s="398">
        <v>0.2916666666666667</v>
      </c>
      <c r="D1056" s="129" t="s">
        <v>1756</v>
      </c>
      <c r="E1056" s="129" t="s">
        <v>469</v>
      </c>
      <c r="F1056" s="130">
        <v>150.0</v>
      </c>
      <c r="G1056" s="129"/>
      <c r="H1056" s="44" t="b">
        <v>1</v>
      </c>
    </row>
    <row r="1057" hidden="1" outlineLevel="1">
      <c r="A1057" s="58"/>
      <c r="B1057" s="58"/>
      <c r="C1057" s="10"/>
      <c r="D1057" s="129" t="s">
        <v>183</v>
      </c>
      <c r="E1057" s="129" t="s">
        <v>1758</v>
      </c>
      <c r="F1057" s="130">
        <v>150.0</v>
      </c>
      <c r="G1057" s="129"/>
      <c r="H1057" s="44" t="b">
        <v>1</v>
      </c>
    </row>
    <row r="1058" hidden="1" outlineLevel="1">
      <c r="A1058" s="10"/>
      <c r="B1058" s="10"/>
      <c r="C1058" s="313">
        <v>0.5069444444444444</v>
      </c>
      <c r="D1058" s="129" t="s">
        <v>1849</v>
      </c>
      <c r="E1058" s="129" t="s">
        <v>1758</v>
      </c>
      <c r="F1058" s="130">
        <v>150.0</v>
      </c>
      <c r="G1058" s="129"/>
      <c r="H1058" s="44" t="b">
        <v>1</v>
      </c>
    </row>
    <row r="1059" hidden="1" outlineLevel="1">
      <c r="A1059" s="102">
        <v>45868.0</v>
      </c>
      <c r="B1059" s="97">
        <f>A1059</f>
        <v>45868</v>
      </c>
      <c r="C1059" s="313">
        <v>0.2916666666666667</v>
      </c>
      <c r="D1059" s="129" t="s">
        <v>1756</v>
      </c>
      <c r="E1059" s="129" t="s">
        <v>1758</v>
      </c>
      <c r="F1059" s="130">
        <v>150.0</v>
      </c>
      <c r="G1059" s="129"/>
      <c r="H1059" s="44" t="b">
        <v>1</v>
      </c>
    </row>
    <row r="1060" hidden="1" outlineLevel="1">
      <c r="A1060" s="10"/>
      <c r="B1060" s="10"/>
      <c r="C1060" s="313">
        <v>0.5069444444444444</v>
      </c>
      <c r="D1060" s="129" t="s">
        <v>1849</v>
      </c>
      <c r="E1060" s="129" t="s">
        <v>1758</v>
      </c>
      <c r="F1060" s="130">
        <v>150.0</v>
      </c>
      <c r="G1060" s="129"/>
      <c r="H1060" s="44" t="b">
        <v>1</v>
      </c>
    </row>
    <row r="1061" hidden="1" outlineLevel="1">
      <c r="A1061" s="102">
        <v>45869.0</v>
      </c>
      <c r="B1061" s="97">
        <f>A1061</f>
        <v>45869</v>
      </c>
      <c r="C1061" s="313">
        <v>0.2916666666666667</v>
      </c>
      <c r="D1061" s="129" t="s">
        <v>1756</v>
      </c>
      <c r="E1061" s="129" t="s">
        <v>1758</v>
      </c>
      <c r="F1061" s="130">
        <v>150.0</v>
      </c>
      <c r="G1061" s="129"/>
      <c r="H1061" s="44" t="b">
        <v>1</v>
      </c>
    </row>
    <row r="1062" hidden="1" outlineLevel="1">
      <c r="A1062" s="10"/>
      <c r="B1062" s="10"/>
      <c r="C1062" s="313">
        <v>0.5069444444444444</v>
      </c>
      <c r="D1062" s="129" t="s">
        <v>562</v>
      </c>
      <c r="E1062" s="129" t="s">
        <v>1758</v>
      </c>
      <c r="F1062" s="130">
        <v>150.0</v>
      </c>
      <c r="G1062" s="129"/>
      <c r="H1062" s="44" t="b">
        <v>1</v>
      </c>
    </row>
    <row r="1063">
      <c r="A1063" s="484" t="s">
        <v>195</v>
      </c>
      <c r="B1063" s="27"/>
      <c r="C1063" s="27"/>
      <c r="D1063" s="27"/>
      <c r="E1063" s="28"/>
      <c r="F1063" s="485">
        <f>SUM(F992:F1062)</f>
        <v>11100</v>
      </c>
      <c r="G1063" s="486"/>
      <c r="H1063" s="28"/>
    </row>
    <row r="1064" collapsed="1">
      <c r="A1064" s="339" t="s">
        <v>1177</v>
      </c>
      <c r="B1064" s="246"/>
      <c r="C1064" s="246"/>
      <c r="D1064" s="246"/>
      <c r="E1064" s="246"/>
      <c r="F1064" s="246"/>
      <c r="G1064" s="246"/>
      <c r="H1064" s="247"/>
    </row>
    <row r="1065" hidden="1" outlineLevel="1">
      <c r="A1065" s="102">
        <v>45870.0</v>
      </c>
      <c r="B1065" s="97">
        <f>A1065</f>
        <v>45870</v>
      </c>
      <c r="C1065" s="398">
        <v>0.2916666666666667</v>
      </c>
      <c r="D1065" s="129" t="s">
        <v>1756</v>
      </c>
      <c r="E1065" s="129" t="s">
        <v>469</v>
      </c>
      <c r="F1065" s="130">
        <v>150.0</v>
      </c>
      <c r="G1065" s="129"/>
      <c r="H1065" s="44" t="b">
        <v>1</v>
      </c>
      <c r="K1065" s="440" t="s">
        <v>2072</v>
      </c>
      <c r="L1065" s="27"/>
      <c r="M1065" s="27"/>
      <c r="N1065" s="27"/>
      <c r="O1065" s="27"/>
      <c r="P1065" s="27"/>
      <c r="Q1065" s="28"/>
    </row>
    <row r="1066" hidden="1" outlineLevel="1">
      <c r="A1066" s="58"/>
      <c r="B1066" s="58"/>
      <c r="C1066" s="10"/>
      <c r="D1066" s="129" t="s">
        <v>183</v>
      </c>
      <c r="E1066" s="129" t="s">
        <v>1758</v>
      </c>
      <c r="F1066" s="130">
        <v>150.0</v>
      </c>
      <c r="G1066" s="129"/>
      <c r="H1066" s="44" t="b">
        <v>1</v>
      </c>
      <c r="K1066" s="441" t="s">
        <v>1749</v>
      </c>
      <c r="L1066" s="441" t="s">
        <v>1758</v>
      </c>
      <c r="M1066" s="441" t="s">
        <v>469</v>
      </c>
      <c r="N1066" s="441" t="s">
        <v>195</v>
      </c>
      <c r="O1066" s="441" t="s">
        <v>1764</v>
      </c>
      <c r="P1066" s="441" t="s">
        <v>1765</v>
      </c>
      <c r="Q1066" s="441" t="s">
        <v>1766</v>
      </c>
    </row>
    <row r="1067" hidden="1" outlineLevel="1">
      <c r="A1067" s="10"/>
      <c r="B1067" s="10"/>
      <c r="C1067" s="313">
        <v>0.5069444444444444</v>
      </c>
      <c r="D1067" s="129" t="s">
        <v>1849</v>
      </c>
      <c r="E1067" s="129" t="s">
        <v>1758</v>
      </c>
      <c r="F1067" s="130">
        <v>150.0</v>
      </c>
      <c r="G1067" s="129"/>
      <c r="H1067" s="44" t="b">
        <v>1</v>
      </c>
      <c r="K1067" s="91" t="s">
        <v>1756</v>
      </c>
      <c r="L1067" s="90">
        <f t="shared" ref="L1067:L1079" si="362">COUNTIFS($D$1065:$D$1134, $K1067,$E$1065:$E$1134,$L$1066)</f>
        <v>17</v>
      </c>
      <c r="M1067" s="90">
        <f t="shared" ref="M1067:M1079" si="363">COUNTIFS($D$1065:$D$1134, $K1067,$E$1065:$E$1134,$M$1066)</f>
        <v>9</v>
      </c>
      <c r="N1067" s="90">
        <f t="shared" ref="N1067:N1079" si="364">L1067+M1067</f>
        <v>26</v>
      </c>
      <c r="O1067" s="92">
        <f t="shared" ref="O1067:O1080" si="365">SUMIFS($F$1065:$F$1134,$D$1065:$D$1134,$K1067)</f>
        <v>3750</v>
      </c>
      <c r="P1067" s="92">
        <f t="shared" ref="P1067:P1080" si="366">SUMIFS($F$1065:$F$1134,$D$1065:$D$1134,$K1067,$H$1065:$H$1134,TRUE())</f>
        <v>3750</v>
      </c>
      <c r="Q1067" s="92">
        <f t="shared" ref="Q1067:Q1079" si="367">O1067-P1067</f>
        <v>0</v>
      </c>
    </row>
    <row r="1068" hidden="1" outlineLevel="1">
      <c r="A1068" s="125">
        <v>45871.0</v>
      </c>
      <c r="B1068" s="126">
        <f t="shared" ref="B1068:B1069" si="368">A1068</f>
        <v>45871</v>
      </c>
      <c r="C1068" s="313">
        <v>0.3333333333333333</v>
      </c>
      <c r="D1068" s="129" t="s">
        <v>1756</v>
      </c>
      <c r="E1068" s="129" t="s">
        <v>1758</v>
      </c>
      <c r="F1068" s="130">
        <v>150.0</v>
      </c>
      <c r="G1068" s="129"/>
      <c r="H1068" s="44" t="b">
        <v>1</v>
      </c>
      <c r="K1068" s="91" t="s">
        <v>1798</v>
      </c>
      <c r="L1068" s="90">
        <f t="shared" si="362"/>
        <v>0</v>
      </c>
      <c r="M1068" s="90">
        <f t="shared" si="363"/>
        <v>0</v>
      </c>
      <c r="N1068" s="90">
        <f t="shared" si="364"/>
        <v>0</v>
      </c>
      <c r="O1068" s="92">
        <f t="shared" si="365"/>
        <v>0</v>
      </c>
      <c r="P1068" s="92">
        <f t="shared" si="366"/>
        <v>0</v>
      </c>
      <c r="Q1068" s="92">
        <f t="shared" si="367"/>
        <v>0</v>
      </c>
    </row>
    <row r="1069" hidden="1" outlineLevel="1">
      <c r="A1069" s="102">
        <v>45872.0</v>
      </c>
      <c r="B1069" s="97">
        <f t="shared" si="368"/>
        <v>45872</v>
      </c>
      <c r="C1069" s="313">
        <v>0.3333333333333333</v>
      </c>
      <c r="D1069" s="129" t="s">
        <v>1828</v>
      </c>
      <c r="E1069" s="129" t="s">
        <v>1758</v>
      </c>
      <c r="F1069" s="130">
        <v>200.0</v>
      </c>
      <c r="G1069" s="129"/>
      <c r="H1069" s="44" t="b">
        <v>1</v>
      </c>
      <c r="K1069" s="91" t="s">
        <v>1840</v>
      </c>
      <c r="L1069" s="90">
        <f t="shared" si="362"/>
        <v>0</v>
      </c>
      <c r="M1069" s="90">
        <f t="shared" si="363"/>
        <v>0</v>
      </c>
      <c r="N1069" s="90">
        <f t="shared" si="364"/>
        <v>0</v>
      </c>
      <c r="O1069" s="92">
        <f t="shared" si="365"/>
        <v>0</v>
      </c>
      <c r="P1069" s="92">
        <f t="shared" si="366"/>
        <v>0</v>
      </c>
      <c r="Q1069" s="92">
        <f t="shared" si="367"/>
        <v>0</v>
      </c>
    </row>
    <row r="1070" hidden="1" outlineLevel="1">
      <c r="A1070" s="58"/>
      <c r="B1070" s="58"/>
      <c r="C1070" s="313">
        <v>0.4583333333333333</v>
      </c>
      <c r="D1070" s="129" t="s">
        <v>1785</v>
      </c>
      <c r="E1070" s="129" t="s">
        <v>1758</v>
      </c>
      <c r="F1070" s="130">
        <v>200.0</v>
      </c>
      <c r="G1070" s="129"/>
      <c r="H1070" s="44" t="b">
        <v>1</v>
      </c>
      <c r="K1070" s="91" t="s">
        <v>183</v>
      </c>
      <c r="L1070" s="90">
        <f t="shared" si="362"/>
        <v>8</v>
      </c>
      <c r="M1070" s="90">
        <f t="shared" si="363"/>
        <v>0</v>
      </c>
      <c r="N1070" s="90">
        <f t="shared" si="364"/>
        <v>8</v>
      </c>
      <c r="O1070" s="92">
        <f t="shared" si="365"/>
        <v>1200</v>
      </c>
      <c r="P1070" s="92">
        <f t="shared" si="366"/>
        <v>1200</v>
      </c>
      <c r="Q1070" s="92">
        <f t="shared" si="367"/>
        <v>0</v>
      </c>
    </row>
    <row r="1071" hidden="1" outlineLevel="1">
      <c r="A1071" s="10"/>
      <c r="B1071" s="10"/>
      <c r="C1071" s="313">
        <v>0.7708333333333334</v>
      </c>
      <c r="D1071" s="129" t="s">
        <v>1838</v>
      </c>
      <c r="E1071" s="129" t="s">
        <v>1758</v>
      </c>
      <c r="F1071" s="130">
        <v>200.0</v>
      </c>
      <c r="G1071" s="129"/>
      <c r="H1071" s="44" t="b">
        <v>1</v>
      </c>
      <c r="K1071" s="91" t="s">
        <v>363</v>
      </c>
      <c r="L1071" s="90">
        <f t="shared" si="362"/>
        <v>1</v>
      </c>
      <c r="M1071" s="90">
        <f t="shared" si="363"/>
        <v>0</v>
      </c>
      <c r="N1071" s="90">
        <f t="shared" si="364"/>
        <v>1</v>
      </c>
      <c r="O1071" s="92">
        <f t="shared" si="365"/>
        <v>200</v>
      </c>
      <c r="P1071" s="92">
        <f t="shared" si="366"/>
        <v>200</v>
      </c>
      <c r="Q1071" s="92">
        <f t="shared" si="367"/>
        <v>0</v>
      </c>
    </row>
    <row r="1072" hidden="1" outlineLevel="1">
      <c r="A1072" s="102">
        <v>45873.0</v>
      </c>
      <c r="B1072" s="97">
        <f>A1072</f>
        <v>45873</v>
      </c>
      <c r="C1072" s="313">
        <v>0.2916666666666667</v>
      </c>
      <c r="D1072" s="129" t="s">
        <v>1756</v>
      </c>
      <c r="E1072" s="129" t="s">
        <v>1758</v>
      </c>
      <c r="F1072" s="130">
        <v>150.0</v>
      </c>
      <c r="G1072" s="129"/>
      <c r="H1072" s="44" t="b">
        <v>1</v>
      </c>
      <c r="K1072" s="91" t="s">
        <v>1785</v>
      </c>
      <c r="L1072" s="90">
        <f t="shared" si="362"/>
        <v>3</v>
      </c>
      <c r="M1072" s="90">
        <f t="shared" si="363"/>
        <v>0</v>
      </c>
      <c r="N1072" s="90">
        <f t="shared" si="364"/>
        <v>3</v>
      </c>
      <c r="O1072" s="92">
        <f t="shared" si="365"/>
        <v>600</v>
      </c>
      <c r="P1072" s="92">
        <f t="shared" si="366"/>
        <v>600</v>
      </c>
      <c r="Q1072" s="92">
        <f t="shared" si="367"/>
        <v>0</v>
      </c>
    </row>
    <row r="1073" hidden="1" outlineLevel="1">
      <c r="A1073" s="10"/>
      <c r="B1073" s="10"/>
      <c r="C1073" s="313">
        <v>0.5069444444444444</v>
      </c>
      <c r="D1073" s="129" t="s">
        <v>1849</v>
      </c>
      <c r="E1073" s="129" t="s">
        <v>1758</v>
      </c>
      <c r="F1073" s="130">
        <v>150.0</v>
      </c>
      <c r="G1073" s="129"/>
      <c r="H1073" s="44" t="b">
        <v>1</v>
      </c>
      <c r="K1073" s="91" t="s">
        <v>1842</v>
      </c>
      <c r="L1073" s="90">
        <f t="shared" si="362"/>
        <v>0</v>
      </c>
      <c r="M1073" s="90">
        <f t="shared" si="363"/>
        <v>0</v>
      </c>
      <c r="N1073" s="90">
        <f t="shared" si="364"/>
        <v>0</v>
      </c>
      <c r="O1073" s="92">
        <f t="shared" si="365"/>
        <v>0</v>
      </c>
      <c r="P1073" s="92">
        <f t="shared" si="366"/>
        <v>0</v>
      </c>
      <c r="Q1073" s="92">
        <f t="shared" si="367"/>
        <v>0</v>
      </c>
    </row>
    <row r="1074" hidden="1" outlineLevel="1">
      <c r="A1074" s="102">
        <v>45874.0</v>
      </c>
      <c r="B1074" s="97">
        <f>A1074</f>
        <v>45874</v>
      </c>
      <c r="C1074" s="398">
        <v>0.2916666666666667</v>
      </c>
      <c r="D1074" s="129" t="s">
        <v>1756</v>
      </c>
      <c r="E1074" s="129" t="s">
        <v>469</v>
      </c>
      <c r="F1074" s="130">
        <v>0.0</v>
      </c>
      <c r="G1074" s="129" t="s">
        <v>2071</v>
      </c>
      <c r="H1074" s="44" t="b">
        <v>1</v>
      </c>
      <c r="K1074" s="91" t="s">
        <v>562</v>
      </c>
      <c r="L1074" s="90">
        <f t="shared" si="362"/>
        <v>6</v>
      </c>
      <c r="M1074" s="90">
        <f t="shared" si="363"/>
        <v>0</v>
      </c>
      <c r="N1074" s="90">
        <f t="shared" si="364"/>
        <v>6</v>
      </c>
      <c r="O1074" s="92">
        <f t="shared" si="365"/>
        <v>1000</v>
      </c>
      <c r="P1074" s="92">
        <f t="shared" si="366"/>
        <v>1000</v>
      </c>
      <c r="Q1074" s="92">
        <f t="shared" si="367"/>
        <v>0</v>
      </c>
    </row>
    <row r="1075" hidden="1" outlineLevel="1">
      <c r="A1075" s="58"/>
      <c r="B1075" s="58"/>
      <c r="C1075" s="10"/>
      <c r="D1075" s="129" t="s">
        <v>183</v>
      </c>
      <c r="E1075" s="129" t="s">
        <v>1758</v>
      </c>
      <c r="F1075" s="130">
        <v>150.0</v>
      </c>
      <c r="G1075" s="129"/>
      <c r="H1075" s="44" t="b">
        <v>1</v>
      </c>
      <c r="K1075" s="91" t="s">
        <v>1828</v>
      </c>
      <c r="L1075" s="90">
        <f t="shared" si="362"/>
        <v>5</v>
      </c>
      <c r="M1075" s="90">
        <f t="shared" si="363"/>
        <v>0</v>
      </c>
      <c r="N1075" s="90">
        <f t="shared" si="364"/>
        <v>5</v>
      </c>
      <c r="O1075" s="92">
        <f t="shared" si="365"/>
        <v>1000</v>
      </c>
      <c r="P1075" s="92">
        <f t="shared" si="366"/>
        <v>1000</v>
      </c>
      <c r="Q1075" s="92">
        <f t="shared" si="367"/>
        <v>0</v>
      </c>
    </row>
    <row r="1076" hidden="1" outlineLevel="1">
      <c r="A1076" s="10"/>
      <c r="B1076" s="10"/>
      <c r="C1076" s="313">
        <v>0.5069444444444444</v>
      </c>
      <c r="D1076" s="129" t="s">
        <v>1849</v>
      </c>
      <c r="E1076" s="129" t="s">
        <v>1758</v>
      </c>
      <c r="F1076" s="130">
        <v>150.0</v>
      </c>
      <c r="G1076" s="129"/>
      <c r="H1076" s="44" t="b">
        <v>1</v>
      </c>
      <c r="K1076" s="91" t="s">
        <v>1845</v>
      </c>
      <c r="L1076" s="90">
        <f t="shared" si="362"/>
        <v>2</v>
      </c>
      <c r="M1076" s="90">
        <f t="shared" si="363"/>
        <v>0</v>
      </c>
      <c r="N1076" s="90">
        <f t="shared" si="364"/>
        <v>2</v>
      </c>
      <c r="O1076" s="92">
        <f t="shared" si="365"/>
        <v>400</v>
      </c>
      <c r="P1076" s="92">
        <f t="shared" si="366"/>
        <v>400</v>
      </c>
      <c r="Q1076" s="92">
        <f t="shared" si="367"/>
        <v>0</v>
      </c>
    </row>
    <row r="1077" hidden="1" outlineLevel="1">
      <c r="A1077" s="102">
        <v>45875.0</v>
      </c>
      <c r="B1077" s="97">
        <f>A1077</f>
        <v>45875</v>
      </c>
      <c r="C1077" s="313">
        <v>0.2916666666666667</v>
      </c>
      <c r="D1077" s="129" t="s">
        <v>1756</v>
      </c>
      <c r="E1077" s="129" t="s">
        <v>1758</v>
      </c>
      <c r="F1077" s="130">
        <v>150.0</v>
      </c>
      <c r="G1077" s="129"/>
      <c r="H1077" s="44" t="b">
        <v>1</v>
      </c>
      <c r="K1077" s="91" t="s">
        <v>1849</v>
      </c>
      <c r="L1077" s="90">
        <f t="shared" si="362"/>
        <v>16</v>
      </c>
      <c r="M1077" s="90">
        <f t="shared" si="363"/>
        <v>0</v>
      </c>
      <c r="N1077" s="90">
        <f t="shared" si="364"/>
        <v>16</v>
      </c>
      <c r="O1077" s="92">
        <f t="shared" si="365"/>
        <v>2400</v>
      </c>
      <c r="P1077" s="92">
        <f t="shared" si="366"/>
        <v>2400</v>
      </c>
      <c r="Q1077" s="92">
        <f t="shared" si="367"/>
        <v>0</v>
      </c>
    </row>
    <row r="1078" hidden="1" outlineLevel="1">
      <c r="A1078" s="10"/>
      <c r="B1078" s="10"/>
      <c r="C1078" s="313">
        <v>0.5069444444444444</v>
      </c>
      <c r="D1078" s="129" t="s">
        <v>1849</v>
      </c>
      <c r="E1078" s="129" t="s">
        <v>1758</v>
      </c>
      <c r="F1078" s="130">
        <v>150.0</v>
      </c>
      <c r="G1078" s="129"/>
      <c r="H1078" s="44" t="b">
        <v>1</v>
      </c>
      <c r="K1078" s="91" t="s">
        <v>1838</v>
      </c>
      <c r="L1078" s="90">
        <f t="shared" si="362"/>
        <v>2</v>
      </c>
      <c r="M1078" s="90">
        <f t="shared" si="363"/>
        <v>0</v>
      </c>
      <c r="N1078" s="90">
        <f t="shared" si="364"/>
        <v>2</v>
      </c>
      <c r="O1078" s="92">
        <f t="shared" si="365"/>
        <v>400</v>
      </c>
      <c r="P1078" s="92">
        <f t="shared" si="366"/>
        <v>400</v>
      </c>
      <c r="Q1078" s="92">
        <f t="shared" si="367"/>
        <v>0</v>
      </c>
    </row>
    <row r="1079" hidden="1" outlineLevel="1">
      <c r="A1079" s="102">
        <v>45876.0</v>
      </c>
      <c r="B1079" s="97">
        <f>A1079</f>
        <v>45876</v>
      </c>
      <c r="C1079" s="313">
        <v>0.2916666666666667</v>
      </c>
      <c r="D1079" s="129" t="s">
        <v>1756</v>
      </c>
      <c r="E1079" s="129" t="s">
        <v>1758</v>
      </c>
      <c r="F1079" s="130">
        <v>150.0</v>
      </c>
      <c r="G1079" s="129"/>
      <c r="H1079" s="44" t="b">
        <v>1</v>
      </c>
      <c r="K1079" s="91" t="s">
        <v>1810</v>
      </c>
      <c r="L1079" s="90">
        <f t="shared" si="362"/>
        <v>1</v>
      </c>
      <c r="M1079" s="90">
        <f t="shared" si="363"/>
        <v>0</v>
      </c>
      <c r="N1079" s="90">
        <f t="shared" si="364"/>
        <v>1</v>
      </c>
      <c r="O1079" s="92">
        <f t="shared" si="365"/>
        <v>0</v>
      </c>
      <c r="P1079" s="92">
        <f t="shared" si="366"/>
        <v>0</v>
      </c>
      <c r="Q1079" s="92">
        <f t="shared" si="367"/>
        <v>0</v>
      </c>
    </row>
    <row r="1080" hidden="1" outlineLevel="1">
      <c r="A1080" s="10"/>
      <c r="B1080" s="10"/>
      <c r="C1080" s="313">
        <v>0.5069444444444444</v>
      </c>
      <c r="D1080" s="129" t="s">
        <v>562</v>
      </c>
      <c r="E1080" s="129" t="s">
        <v>1758</v>
      </c>
      <c r="F1080" s="130">
        <v>150.0</v>
      </c>
      <c r="G1080" s="129"/>
      <c r="H1080" s="44" t="b">
        <v>1</v>
      </c>
      <c r="K1080" s="91"/>
      <c r="L1080" s="90"/>
      <c r="M1080" s="90"/>
      <c r="N1080" s="90"/>
      <c r="O1080" s="92">
        <f t="shared" si="365"/>
        <v>0</v>
      </c>
      <c r="P1080" s="92">
        <f t="shared" si="366"/>
        <v>0</v>
      </c>
      <c r="Q1080" s="90"/>
    </row>
    <row r="1081" hidden="1" outlineLevel="1">
      <c r="A1081" s="102">
        <v>45877.0</v>
      </c>
      <c r="B1081" s="97">
        <f>A1081</f>
        <v>45877</v>
      </c>
      <c r="C1081" s="398">
        <v>0.2916666666666667</v>
      </c>
      <c r="D1081" s="129" t="s">
        <v>1756</v>
      </c>
      <c r="E1081" s="129" t="s">
        <v>469</v>
      </c>
      <c r="F1081" s="130">
        <v>150.0</v>
      </c>
      <c r="G1081" s="129"/>
      <c r="H1081" s="44" t="b">
        <v>1</v>
      </c>
      <c r="K1081" s="276"/>
      <c r="L1081" s="90"/>
      <c r="M1081" s="276"/>
      <c r="N1081" s="276"/>
      <c r="O1081" s="276"/>
      <c r="P1081" s="276"/>
      <c r="Q1081" s="276"/>
    </row>
    <row r="1082" hidden="1" outlineLevel="1">
      <c r="A1082" s="58"/>
      <c r="B1082" s="58"/>
      <c r="C1082" s="10"/>
      <c r="D1082" s="129" t="s">
        <v>183</v>
      </c>
      <c r="E1082" s="129" t="s">
        <v>1758</v>
      </c>
      <c r="F1082" s="130">
        <v>150.0</v>
      </c>
      <c r="G1082" s="129"/>
      <c r="H1082" s="44" t="b">
        <v>1</v>
      </c>
      <c r="K1082" s="276"/>
      <c r="L1082" s="90"/>
      <c r="M1082" s="276"/>
      <c r="N1082" s="276"/>
      <c r="O1082" s="276"/>
      <c r="P1082" s="276"/>
      <c r="Q1082" s="276"/>
    </row>
    <row r="1083" hidden="1" outlineLevel="1">
      <c r="A1083" s="10"/>
      <c r="B1083" s="10"/>
      <c r="C1083" s="313">
        <v>0.5069444444444444</v>
      </c>
      <c r="D1083" s="129" t="s">
        <v>1849</v>
      </c>
      <c r="E1083" s="129" t="s">
        <v>1758</v>
      </c>
      <c r="F1083" s="130">
        <v>150.0</v>
      </c>
      <c r="G1083" s="129"/>
      <c r="H1083" s="44" t="b">
        <v>1</v>
      </c>
      <c r="K1083" s="91"/>
      <c r="L1083" s="90"/>
      <c r="M1083" s="90"/>
      <c r="N1083" s="90"/>
      <c r="O1083" s="92"/>
      <c r="P1083" s="92"/>
      <c r="Q1083" s="90"/>
    </row>
    <row r="1084" hidden="1" outlineLevel="1">
      <c r="A1084" s="125">
        <v>45878.0</v>
      </c>
      <c r="B1084" s="126">
        <f t="shared" ref="B1084:B1085" si="370">A1084</f>
        <v>45878</v>
      </c>
      <c r="C1084" s="313">
        <v>0.3333333333333333</v>
      </c>
      <c r="D1084" s="129" t="s">
        <v>1756</v>
      </c>
      <c r="E1084" s="129" t="s">
        <v>1758</v>
      </c>
      <c r="F1084" s="130">
        <v>150.0</v>
      </c>
      <c r="G1084" s="129"/>
      <c r="H1084" s="44" t="b">
        <v>1</v>
      </c>
      <c r="K1084" s="477" t="s">
        <v>195</v>
      </c>
      <c r="L1084" s="478">
        <f t="shared" ref="L1084:Q1084" si="369">SUM(L1067:L1083)</f>
        <v>61</v>
      </c>
      <c r="M1084" s="478">
        <f t="shared" si="369"/>
        <v>9</v>
      </c>
      <c r="N1084" s="478">
        <f t="shared" si="369"/>
        <v>70</v>
      </c>
      <c r="O1084" s="479">
        <f t="shared" si="369"/>
        <v>10950</v>
      </c>
      <c r="P1084" s="479">
        <f t="shared" si="369"/>
        <v>10950</v>
      </c>
      <c r="Q1084" s="479">
        <f t="shared" si="369"/>
        <v>0</v>
      </c>
    </row>
    <row r="1085" hidden="1" outlineLevel="1">
      <c r="A1085" s="102">
        <v>45879.0</v>
      </c>
      <c r="B1085" s="97">
        <f t="shared" si="370"/>
        <v>45879</v>
      </c>
      <c r="C1085" s="313">
        <v>0.3333333333333333</v>
      </c>
      <c r="D1085" s="129" t="s">
        <v>1828</v>
      </c>
      <c r="E1085" s="129" t="s">
        <v>1758</v>
      </c>
      <c r="F1085" s="130">
        <v>200.0</v>
      </c>
      <c r="G1085" s="129"/>
      <c r="H1085" s="44" t="b">
        <v>1</v>
      </c>
    </row>
    <row r="1086" hidden="1" outlineLevel="1">
      <c r="A1086" s="58"/>
      <c r="B1086" s="58"/>
      <c r="C1086" s="313">
        <v>0.4583333333333333</v>
      </c>
      <c r="D1086" s="129" t="s">
        <v>562</v>
      </c>
      <c r="E1086" s="129" t="s">
        <v>1758</v>
      </c>
      <c r="F1086" s="130">
        <v>200.0</v>
      </c>
      <c r="G1086" s="129"/>
      <c r="H1086" s="44" t="b">
        <v>1</v>
      </c>
    </row>
    <row r="1087" hidden="1" outlineLevel="1">
      <c r="A1087" s="10"/>
      <c r="B1087" s="10"/>
      <c r="C1087" s="313">
        <v>0.7708333333333334</v>
      </c>
      <c r="D1087" s="129" t="s">
        <v>1845</v>
      </c>
      <c r="E1087" s="129" t="s">
        <v>1758</v>
      </c>
      <c r="F1087" s="130">
        <v>200.0</v>
      </c>
      <c r="G1087" s="129"/>
      <c r="H1087" s="44" t="b">
        <v>1</v>
      </c>
    </row>
    <row r="1088" hidden="1" outlineLevel="1">
      <c r="A1088" s="102">
        <v>45880.0</v>
      </c>
      <c r="B1088" s="97">
        <f>A1088</f>
        <v>45880</v>
      </c>
      <c r="C1088" s="313">
        <v>0.2916666666666667</v>
      </c>
      <c r="D1088" s="129" t="s">
        <v>1756</v>
      </c>
      <c r="E1088" s="129" t="s">
        <v>1758</v>
      </c>
      <c r="F1088" s="130">
        <v>150.0</v>
      </c>
      <c r="G1088" s="129"/>
      <c r="H1088" s="44" t="b">
        <v>1</v>
      </c>
    </row>
    <row r="1089" hidden="1" outlineLevel="1">
      <c r="A1089" s="10"/>
      <c r="B1089" s="10"/>
      <c r="C1089" s="313">
        <v>0.5069444444444444</v>
      </c>
      <c r="D1089" s="129" t="s">
        <v>1849</v>
      </c>
      <c r="E1089" s="129" t="s">
        <v>1758</v>
      </c>
      <c r="F1089" s="130">
        <v>150.0</v>
      </c>
      <c r="G1089" s="129"/>
      <c r="H1089" s="44" t="b">
        <v>1</v>
      </c>
    </row>
    <row r="1090" hidden="1" outlineLevel="1">
      <c r="A1090" s="102">
        <v>45881.0</v>
      </c>
      <c r="B1090" s="97">
        <f>A1090</f>
        <v>45881</v>
      </c>
      <c r="C1090" s="398">
        <v>0.2916666666666667</v>
      </c>
      <c r="D1090" s="129" t="s">
        <v>1756</v>
      </c>
      <c r="E1090" s="129" t="s">
        <v>469</v>
      </c>
      <c r="F1090" s="130">
        <v>150.0</v>
      </c>
      <c r="G1090" s="129"/>
      <c r="H1090" s="44" t="b">
        <v>1</v>
      </c>
    </row>
    <row r="1091" hidden="1" outlineLevel="1">
      <c r="A1091" s="58"/>
      <c r="B1091" s="58"/>
      <c r="C1091" s="10"/>
      <c r="D1091" s="129" t="s">
        <v>183</v>
      </c>
      <c r="E1091" s="129" t="s">
        <v>1758</v>
      </c>
      <c r="F1091" s="130">
        <v>150.0</v>
      </c>
      <c r="G1091" s="129"/>
      <c r="H1091" s="44" t="b">
        <v>1</v>
      </c>
    </row>
    <row r="1092" hidden="1" outlineLevel="1">
      <c r="A1092" s="10"/>
      <c r="B1092" s="10"/>
      <c r="C1092" s="313">
        <v>0.5069444444444444</v>
      </c>
      <c r="D1092" s="129" t="s">
        <v>1849</v>
      </c>
      <c r="E1092" s="129" t="s">
        <v>1758</v>
      </c>
      <c r="F1092" s="130">
        <v>150.0</v>
      </c>
      <c r="G1092" s="129"/>
      <c r="H1092" s="44" t="b">
        <v>1</v>
      </c>
    </row>
    <row r="1093" hidden="1" outlineLevel="1">
      <c r="A1093" s="102">
        <v>45882.0</v>
      </c>
      <c r="B1093" s="97">
        <f>A1093</f>
        <v>45882</v>
      </c>
      <c r="C1093" s="313">
        <v>0.2916666666666667</v>
      </c>
      <c r="D1093" s="129" t="s">
        <v>1756</v>
      </c>
      <c r="E1093" s="129" t="s">
        <v>1758</v>
      </c>
      <c r="F1093" s="130">
        <v>150.0</v>
      </c>
      <c r="G1093" s="129"/>
      <c r="H1093" s="44" t="b">
        <v>1</v>
      </c>
    </row>
    <row r="1094" hidden="1" outlineLevel="1">
      <c r="A1094" s="10"/>
      <c r="B1094" s="10"/>
      <c r="C1094" s="313">
        <v>0.5069444444444444</v>
      </c>
      <c r="D1094" s="129" t="s">
        <v>1849</v>
      </c>
      <c r="E1094" s="129" t="s">
        <v>1758</v>
      </c>
      <c r="F1094" s="130">
        <v>150.0</v>
      </c>
      <c r="G1094" s="129"/>
      <c r="H1094" s="44" t="b">
        <v>1</v>
      </c>
    </row>
    <row r="1095" hidden="1" outlineLevel="1">
      <c r="A1095" s="102">
        <v>45883.0</v>
      </c>
      <c r="B1095" s="97">
        <f>A1095</f>
        <v>45883</v>
      </c>
      <c r="C1095" s="313">
        <v>0.2916666666666667</v>
      </c>
      <c r="D1095" s="129" t="s">
        <v>1756</v>
      </c>
      <c r="E1095" s="129" t="s">
        <v>1758</v>
      </c>
      <c r="F1095" s="130">
        <v>150.0</v>
      </c>
      <c r="G1095" s="129"/>
      <c r="H1095" s="44" t="b">
        <v>1</v>
      </c>
    </row>
    <row r="1096" hidden="1" outlineLevel="1">
      <c r="A1096" s="10"/>
      <c r="B1096" s="10"/>
      <c r="C1096" s="313">
        <v>0.5069444444444444</v>
      </c>
      <c r="D1096" s="129" t="s">
        <v>562</v>
      </c>
      <c r="E1096" s="129" t="s">
        <v>1758</v>
      </c>
      <c r="F1096" s="130">
        <v>150.0</v>
      </c>
      <c r="G1096" s="129"/>
      <c r="H1096" s="44" t="b">
        <v>1</v>
      </c>
    </row>
    <row r="1097" hidden="1" outlineLevel="1">
      <c r="A1097" s="102">
        <v>45884.0</v>
      </c>
      <c r="B1097" s="97">
        <f>A1097</f>
        <v>45884</v>
      </c>
      <c r="C1097" s="398">
        <v>0.2916666666666667</v>
      </c>
      <c r="D1097" s="129" t="s">
        <v>1756</v>
      </c>
      <c r="E1097" s="129" t="s">
        <v>469</v>
      </c>
      <c r="F1097" s="130">
        <v>150.0</v>
      </c>
      <c r="G1097" s="129"/>
      <c r="H1097" s="44" t="b">
        <v>1</v>
      </c>
    </row>
    <row r="1098" hidden="1" outlineLevel="1">
      <c r="A1098" s="10"/>
      <c r="B1098" s="10"/>
      <c r="C1098" s="10"/>
      <c r="D1098" s="129" t="s">
        <v>1810</v>
      </c>
      <c r="E1098" s="129" t="s">
        <v>1758</v>
      </c>
      <c r="F1098" s="130">
        <v>0.0</v>
      </c>
      <c r="G1098" s="129"/>
      <c r="H1098" s="44" t="b">
        <v>1</v>
      </c>
    </row>
    <row r="1099" hidden="1" outlineLevel="1">
      <c r="A1099" s="125">
        <v>45885.0</v>
      </c>
      <c r="B1099" s="126">
        <f t="shared" ref="B1099:B1100" si="371">A1099</f>
        <v>45885</v>
      </c>
      <c r="C1099" s="313">
        <v>0.3333333333333333</v>
      </c>
      <c r="D1099" s="129" t="s">
        <v>1756</v>
      </c>
      <c r="E1099" s="129" t="s">
        <v>1758</v>
      </c>
      <c r="F1099" s="130">
        <v>150.0</v>
      </c>
      <c r="G1099" s="129"/>
      <c r="H1099" s="44" t="b">
        <v>1</v>
      </c>
    </row>
    <row r="1100" hidden="1" outlineLevel="1">
      <c r="A1100" s="102">
        <v>45886.0</v>
      </c>
      <c r="B1100" s="97">
        <f t="shared" si="371"/>
        <v>45886</v>
      </c>
      <c r="C1100" s="313">
        <v>0.3333333333333333</v>
      </c>
      <c r="D1100" s="129" t="s">
        <v>1828</v>
      </c>
      <c r="E1100" s="129" t="s">
        <v>1758</v>
      </c>
      <c r="F1100" s="130">
        <v>200.0</v>
      </c>
      <c r="G1100" s="129"/>
      <c r="H1100" s="44" t="b">
        <v>1</v>
      </c>
    </row>
    <row r="1101" hidden="1" outlineLevel="1">
      <c r="A1101" s="58"/>
      <c r="B1101" s="58"/>
      <c r="C1101" s="313">
        <v>0.4583333333333333</v>
      </c>
      <c r="D1101" s="129" t="s">
        <v>1785</v>
      </c>
      <c r="E1101" s="129" t="s">
        <v>1758</v>
      </c>
      <c r="F1101" s="130">
        <v>200.0</v>
      </c>
      <c r="G1101" s="129"/>
      <c r="H1101" s="44" t="b">
        <v>1</v>
      </c>
    </row>
    <row r="1102" hidden="1" outlineLevel="1">
      <c r="A1102" s="10"/>
      <c r="B1102" s="10"/>
      <c r="C1102" s="313">
        <v>0.7708333333333334</v>
      </c>
      <c r="D1102" s="129" t="s">
        <v>363</v>
      </c>
      <c r="E1102" s="129" t="s">
        <v>1758</v>
      </c>
      <c r="F1102" s="130">
        <v>200.0</v>
      </c>
      <c r="G1102" s="129"/>
      <c r="H1102" s="44" t="b">
        <v>1</v>
      </c>
    </row>
    <row r="1103" hidden="1" outlineLevel="1">
      <c r="A1103" s="102">
        <v>45887.0</v>
      </c>
      <c r="B1103" s="97">
        <f>A1103</f>
        <v>45887</v>
      </c>
      <c r="C1103" s="313">
        <v>0.2916666666666667</v>
      </c>
      <c r="D1103" s="129" t="s">
        <v>1756</v>
      </c>
      <c r="E1103" s="129" t="s">
        <v>1758</v>
      </c>
      <c r="F1103" s="130">
        <v>150.0</v>
      </c>
      <c r="G1103" s="129"/>
      <c r="H1103" s="44" t="b">
        <v>1</v>
      </c>
    </row>
    <row r="1104" hidden="1" outlineLevel="1">
      <c r="A1104" s="10"/>
      <c r="B1104" s="10"/>
      <c r="C1104" s="313">
        <v>0.5069444444444444</v>
      </c>
      <c r="D1104" s="129" t="s">
        <v>1849</v>
      </c>
      <c r="E1104" s="129" t="s">
        <v>1758</v>
      </c>
      <c r="F1104" s="130">
        <v>150.0</v>
      </c>
      <c r="G1104" s="129"/>
      <c r="H1104" s="44" t="b">
        <v>1</v>
      </c>
    </row>
    <row r="1105" hidden="1" outlineLevel="1">
      <c r="A1105" s="102">
        <v>45888.0</v>
      </c>
      <c r="B1105" s="97">
        <f>A1105</f>
        <v>45888</v>
      </c>
      <c r="C1105" s="398">
        <v>0.2916666666666667</v>
      </c>
      <c r="D1105" s="129" t="s">
        <v>1756</v>
      </c>
      <c r="E1105" s="129" t="s">
        <v>469</v>
      </c>
      <c r="F1105" s="130">
        <v>150.0</v>
      </c>
      <c r="G1105" s="129"/>
      <c r="H1105" s="44" t="b">
        <v>1</v>
      </c>
    </row>
    <row r="1106" hidden="1" outlineLevel="1">
      <c r="A1106" s="58"/>
      <c r="B1106" s="58"/>
      <c r="C1106" s="10"/>
      <c r="D1106" s="129" t="s">
        <v>183</v>
      </c>
      <c r="E1106" s="129" t="s">
        <v>1758</v>
      </c>
      <c r="F1106" s="130">
        <v>150.0</v>
      </c>
      <c r="G1106" s="129"/>
      <c r="H1106" s="44" t="b">
        <v>1</v>
      </c>
    </row>
    <row r="1107" hidden="1" outlineLevel="1">
      <c r="A1107" s="10"/>
      <c r="B1107" s="10"/>
      <c r="C1107" s="313">
        <v>0.5069444444444444</v>
      </c>
      <c r="D1107" s="129" t="s">
        <v>1849</v>
      </c>
      <c r="E1107" s="129" t="s">
        <v>1758</v>
      </c>
      <c r="F1107" s="130">
        <v>150.0</v>
      </c>
      <c r="G1107" s="129"/>
      <c r="H1107" s="44" t="b">
        <v>1</v>
      </c>
    </row>
    <row r="1108" hidden="1" outlineLevel="1">
      <c r="A1108" s="102">
        <v>45889.0</v>
      </c>
      <c r="B1108" s="97">
        <f>A1108</f>
        <v>45889</v>
      </c>
      <c r="C1108" s="313">
        <v>0.2916666666666667</v>
      </c>
      <c r="D1108" s="129" t="s">
        <v>1756</v>
      </c>
      <c r="E1108" s="129" t="s">
        <v>1758</v>
      </c>
      <c r="F1108" s="130">
        <v>150.0</v>
      </c>
      <c r="G1108" s="129"/>
      <c r="H1108" s="44" t="b">
        <v>1</v>
      </c>
    </row>
    <row r="1109" hidden="1" outlineLevel="1">
      <c r="A1109" s="10"/>
      <c r="B1109" s="10"/>
      <c r="C1109" s="313">
        <v>0.5069444444444444</v>
      </c>
      <c r="D1109" s="129" t="s">
        <v>1849</v>
      </c>
      <c r="E1109" s="129" t="s">
        <v>1758</v>
      </c>
      <c r="F1109" s="130">
        <v>150.0</v>
      </c>
      <c r="G1109" s="129"/>
      <c r="H1109" s="44" t="b">
        <v>1</v>
      </c>
    </row>
    <row r="1110" hidden="1" outlineLevel="1">
      <c r="A1110" s="102">
        <v>45890.0</v>
      </c>
      <c r="B1110" s="97">
        <f>A1110</f>
        <v>45890</v>
      </c>
      <c r="C1110" s="313">
        <v>0.2916666666666667</v>
      </c>
      <c r="D1110" s="129" t="s">
        <v>1756</v>
      </c>
      <c r="E1110" s="129" t="s">
        <v>1758</v>
      </c>
      <c r="F1110" s="130">
        <v>150.0</v>
      </c>
      <c r="G1110" s="129"/>
      <c r="H1110" s="44" t="b">
        <v>1</v>
      </c>
    </row>
    <row r="1111" hidden="1" outlineLevel="1">
      <c r="A1111" s="10"/>
      <c r="B1111" s="10"/>
      <c r="C1111" s="313">
        <v>0.5069444444444444</v>
      </c>
      <c r="D1111" s="129" t="s">
        <v>562</v>
      </c>
      <c r="E1111" s="129" t="s">
        <v>1758</v>
      </c>
      <c r="F1111" s="130">
        <v>150.0</v>
      </c>
      <c r="G1111" s="129"/>
      <c r="H1111" s="44" t="b">
        <v>1</v>
      </c>
    </row>
    <row r="1112" hidden="1" outlineLevel="1">
      <c r="A1112" s="102">
        <v>45891.0</v>
      </c>
      <c r="B1112" s="97">
        <f>A1112</f>
        <v>45891</v>
      </c>
      <c r="C1112" s="398">
        <v>0.2916666666666667</v>
      </c>
      <c r="D1112" s="129" t="s">
        <v>1756</v>
      </c>
      <c r="E1112" s="129" t="s">
        <v>469</v>
      </c>
      <c r="F1112" s="130">
        <v>150.0</v>
      </c>
      <c r="G1112" s="129"/>
      <c r="H1112" s="44" t="b">
        <v>1</v>
      </c>
    </row>
    <row r="1113" hidden="1" outlineLevel="1">
      <c r="A1113" s="58"/>
      <c r="B1113" s="58"/>
      <c r="C1113" s="10"/>
      <c r="D1113" s="129" t="s">
        <v>183</v>
      </c>
      <c r="E1113" s="129" t="s">
        <v>1758</v>
      </c>
      <c r="F1113" s="130">
        <v>150.0</v>
      </c>
      <c r="G1113" s="129"/>
      <c r="H1113" s="44" t="b">
        <v>1</v>
      </c>
    </row>
    <row r="1114" hidden="1" outlineLevel="1">
      <c r="A1114" s="10"/>
      <c r="B1114" s="10"/>
      <c r="C1114" s="313">
        <v>0.5069444444444444</v>
      </c>
      <c r="D1114" s="129" t="s">
        <v>1849</v>
      </c>
      <c r="E1114" s="129" t="s">
        <v>1758</v>
      </c>
      <c r="F1114" s="130">
        <v>150.0</v>
      </c>
      <c r="G1114" s="129"/>
      <c r="H1114" s="44" t="b">
        <v>1</v>
      </c>
    </row>
    <row r="1115" hidden="1" outlineLevel="1">
      <c r="A1115" s="125">
        <v>45892.0</v>
      </c>
      <c r="B1115" s="126">
        <f t="shared" ref="B1115:B1116" si="372">A1115</f>
        <v>45892</v>
      </c>
      <c r="C1115" s="313">
        <v>0.3333333333333333</v>
      </c>
      <c r="D1115" s="129" t="s">
        <v>1756</v>
      </c>
      <c r="E1115" s="129" t="s">
        <v>1758</v>
      </c>
      <c r="F1115" s="130">
        <v>150.0</v>
      </c>
      <c r="G1115" s="129"/>
      <c r="H1115" s="44" t="b">
        <v>1</v>
      </c>
    </row>
    <row r="1116" hidden="1" outlineLevel="1">
      <c r="A1116" s="102">
        <v>45893.0</v>
      </c>
      <c r="B1116" s="97">
        <f t="shared" si="372"/>
        <v>45893</v>
      </c>
      <c r="C1116" s="313">
        <v>0.3333333333333333</v>
      </c>
      <c r="D1116" s="129" t="s">
        <v>1828</v>
      </c>
      <c r="E1116" s="129" t="s">
        <v>1758</v>
      </c>
      <c r="F1116" s="130">
        <v>200.0</v>
      </c>
      <c r="G1116" s="129"/>
      <c r="H1116" s="44" t="b">
        <v>1</v>
      </c>
    </row>
    <row r="1117" hidden="1" outlineLevel="1">
      <c r="A1117" s="58"/>
      <c r="B1117" s="58"/>
      <c r="C1117" s="313">
        <v>0.4583333333333333</v>
      </c>
      <c r="D1117" s="129" t="s">
        <v>562</v>
      </c>
      <c r="E1117" s="129" t="s">
        <v>1758</v>
      </c>
      <c r="F1117" s="130">
        <v>200.0</v>
      </c>
      <c r="G1117" s="129"/>
      <c r="H1117" s="44" t="b">
        <v>1</v>
      </c>
    </row>
    <row r="1118" hidden="1" outlineLevel="1">
      <c r="A1118" s="10"/>
      <c r="B1118" s="10"/>
      <c r="C1118" s="313">
        <v>0.7708333333333334</v>
      </c>
      <c r="D1118" s="129" t="s">
        <v>1845</v>
      </c>
      <c r="E1118" s="129" t="s">
        <v>1758</v>
      </c>
      <c r="F1118" s="130">
        <v>200.0</v>
      </c>
      <c r="G1118" s="129"/>
      <c r="H1118" s="44" t="b">
        <v>1</v>
      </c>
    </row>
    <row r="1119" hidden="1" outlineLevel="1">
      <c r="A1119" s="102">
        <v>45894.0</v>
      </c>
      <c r="B1119" s="97">
        <f>A1119</f>
        <v>45894</v>
      </c>
      <c r="C1119" s="313">
        <v>0.2916666666666667</v>
      </c>
      <c r="D1119" s="129" t="s">
        <v>1756</v>
      </c>
      <c r="E1119" s="129" t="s">
        <v>1758</v>
      </c>
      <c r="F1119" s="130">
        <v>150.0</v>
      </c>
      <c r="G1119" s="129"/>
      <c r="H1119" s="44" t="b">
        <v>1</v>
      </c>
    </row>
    <row r="1120" hidden="1" outlineLevel="1">
      <c r="A1120" s="10"/>
      <c r="B1120" s="10"/>
      <c r="C1120" s="313">
        <v>0.5069444444444444</v>
      </c>
      <c r="D1120" s="129" t="s">
        <v>1849</v>
      </c>
      <c r="E1120" s="129" t="s">
        <v>1758</v>
      </c>
      <c r="F1120" s="130">
        <v>150.0</v>
      </c>
      <c r="G1120" s="129"/>
      <c r="H1120" s="44" t="b">
        <v>1</v>
      </c>
    </row>
    <row r="1121" hidden="1" outlineLevel="1">
      <c r="A1121" s="102">
        <v>45895.0</v>
      </c>
      <c r="B1121" s="97">
        <f>A1121</f>
        <v>45895</v>
      </c>
      <c r="C1121" s="398">
        <v>0.2916666666666667</v>
      </c>
      <c r="D1121" s="129" t="s">
        <v>1756</v>
      </c>
      <c r="E1121" s="129" t="s">
        <v>469</v>
      </c>
      <c r="F1121" s="130">
        <v>150.0</v>
      </c>
      <c r="G1121" s="129"/>
      <c r="H1121" s="44" t="b">
        <v>1</v>
      </c>
    </row>
    <row r="1122" hidden="1" outlineLevel="1">
      <c r="A1122" s="58"/>
      <c r="B1122" s="58"/>
      <c r="C1122" s="10"/>
      <c r="D1122" s="129" t="s">
        <v>183</v>
      </c>
      <c r="E1122" s="129" t="s">
        <v>1758</v>
      </c>
      <c r="F1122" s="130">
        <v>150.0</v>
      </c>
      <c r="G1122" s="129"/>
      <c r="H1122" s="44" t="b">
        <v>1</v>
      </c>
    </row>
    <row r="1123" hidden="1" outlineLevel="1">
      <c r="A1123" s="10"/>
      <c r="B1123" s="10"/>
      <c r="C1123" s="313">
        <v>0.5069444444444444</v>
      </c>
      <c r="D1123" s="129" t="s">
        <v>1849</v>
      </c>
      <c r="E1123" s="129" t="s">
        <v>1758</v>
      </c>
      <c r="F1123" s="130">
        <v>150.0</v>
      </c>
      <c r="G1123" s="129"/>
      <c r="H1123" s="44" t="b">
        <v>1</v>
      </c>
    </row>
    <row r="1124" hidden="1" outlineLevel="1">
      <c r="A1124" s="102">
        <v>45896.0</v>
      </c>
      <c r="B1124" s="97">
        <f>A1124</f>
        <v>45896</v>
      </c>
      <c r="C1124" s="313">
        <v>0.2916666666666667</v>
      </c>
      <c r="D1124" s="129" t="s">
        <v>1756</v>
      </c>
      <c r="E1124" s="129" t="s">
        <v>1758</v>
      </c>
      <c r="F1124" s="130">
        <v>150.0</v>
      </c>
      <c r="G1124" s="129"/>
      <c r="H1124" s="44" t="b">
        <v>1</v>
      </c>
    </row>
    <row r="1125" hidden="1" outlineLevel="1">
      <c r="A1125" s="10"/>
      <c r="B1125" s="10"/>
      <c r="C1125" s="313">
        <v>0.5069444444444444</v>
      </c>
      <c r="D1125" s="129" t="s">
        <v>1849</v>
      </c>
      <c r="E1125" s="129" t="s">
        <v>1758</v>
      </c>
      <c r="F1125" s="130">
        <v>150.0</v>
      </c>
      <c r="G1125" s="129"/>
      <c r="H1125" s="44" t="b">
        <v>1</v>
      </c>
    </row>
    <row r="1126" hidden="1" outlineLevel="1">
      <c r="A1126" s="102">
        <v>45897.0</v>
      </c>
      <c r="B1126" s="97">
        <f>A1126</f>
        <v>45897</v>
      </c>
      <c r="C1126" s="313">
        <v>0.2916666666666667</v>
      </c>
      <c r="D1126" s="129" t="s">
        <v>1756</v>
      </c>
      <c r="E1126" s="129" t="s">
        <v>1758</v>
      </c>
      <c r="F1126" s="130">
        <v>150.0</v>
      </c>
      <c r="G1126" s="129"/>
      <c r="H1126" s="44" t="b">
        <v>1</v>
      </c>
    </row>
    <row r="1127" hidden="1" outlineLevel="1">
      <c r="A1127" s="10"/>
      <c r="B1127" s="10"/>
      <c r="C1127" s="313">
        <v>0.5069444444444444</v>
      </c>
      <c r="D1127" s="129" t="s">
        <v>562</v>
      </c>
      <c r="E1127" s="129" t="s">
        <v>1758</v>
      </c>
      <c r="F1127" s="130">
        <v>150.0</v>
      </c>
      <c r="G1127" s="129"/>
      <c r="H1127" s="44" t="b">
        <v>1</v>
      </c>
    </row>
    <row r="1128" hidden="1" outlineLevel="1">
      <c r="A1128" s="102">
        <v>45898.0</v>
      </c>
      <c r="B1128" s="97">
        <f>A1128</f>
        <v>45898</v>
      </c>
      <c r="C1128" s="398">
        <v>0.2916666666666667</v>
      </c>
      <c r="D1128" s="129" t="s">
        <v>1756</v>
      </c>
      <c r="E1128" s="129" t="s">
        <v>469</v>
      </c>
      <c r="F1128" s="130">
        <v>150.0</v>
      </c>
      <c r="G1128" s="129"/>
      <c r="H1128" s="44" t="b">
        <v>1</v>
      </c>
    </row>
    <row r="1129" hidden="1" outlineLevel="1">
      <c r="A1129" s="58"/>
      <c r="B1129" s="58"/>
      <c r="C1129" s="10"/>
      <c r="D1129" s="129" t="s">
        <v>183</v>
      </c>
      <c r="E1129" s="129" t="s">
        <v>1758</v>
      </c>
      <c r="F1129" s="130">
        <v>150.0</v>
      </c>
      <c r="G1129" s="129"/>
      <c r="H1129" s="44" t="b">
        <v>1</v>
      </c>
    </row>
    <row r="1130" hidden="1" outlineLevel="1">
      <c r="A1130" s="10"/>
      <c r="B1130" s="10"/>
      <c r="C1130" s="313">
        <v>0.5069444444444444</v>
      </c>
      <c r="D1130" s="129" t="s">
        <v>1849</v>
      </c>
      <c r="E1130" s="129" t="s">
        <v>1758</v>
      </c>
      <c r="F1130" s="130">
        <v>150.0</v>
      </c>
      <c r="G1130" s="129"/>
      <c r="H1130" s="44" t="b">
        <v>1</v>
      </c>
    </row>
    <row r="1131" hidden="1" outlineLevel="1">
      <c r="A1131" s="125">
        <v>45899.0</v>
      </c>
      <c r="B1131" s="126">
        <f t="shared" ref="B1131:B1132" si="373">A1131</f>
        <v>45899</v>
      </c>
      <c r="C1131" s="313">
        <v>0.3333333333333333</v>
      </c>
      <c r="D1131" s="129" t="s">
        <v>1756</v>
      </c>
      <c r="E1131" s="129" t="s">
        <v>1758</v>
      </c>
      <c r="F1131" s="130">
        <v>150.0</v>
      </c>
      <c r="G1131" s="129"/>
      <c r="H1131" s="44" t="b">
        <v>1</v>
      </c>
    </row>
    <row r="1132" hidden="1" outlineLevel="1">
      <c r="A1132" s="102">
        <v>45900.0</v>
      </c>
      <c r="B1132" s="97">
        <f t="shared" si="373"/>
        <v>45900</v>
      </c>
      <c r="C1132" s="313">
        <v>0.3333333333333333</v>
      </c>
      <c r="D1132" s="129" t="s">
        <v>1828</v>
      </c>
      <c r="E1132" s="129" t="s">
        <v>1758</v>
      </c>
      <c r="F1132" s="130">
        <v>200.0</v>
      </c>
      <c r="G1132" s="129"/>
      <c r="H1132" s="44" t="b">
        <v>1</v>
      </c>
    </row>
    <row r="1133" hidden="1" outlineLevel="1">
      <c r="A1133" s="58"/>
      <c r="B1133" s="58"/>
      <c r="C1133" s="313">
        <v>0.4583333333333333</v>
      </c>
      <c r="D1133" s="129" t="s">
        <v>1785</v>
      </c>
      <c r="E1133" s="129" t="s">
        <v>1758</v>
      </c>
      <c r="F1133" s="130">
        <v>200.0</v>
      </c>
      <c r="G1133" s="129"/>
      <c r="H1133" s="44" t="b">
        <v>1</v>
      </c>
    </row>
    <row r="1134" hidden="1" outlineLevel="1">
      <c r="A1134" s="10"/>
      <c r="B1134" s="10"/>
      <c r="C1134" s="313">
        <v>0.7708333333333334</v>
      </c>
      <c r="D1134" s="129" t="s">
        <v>1838</v>
      </c>
      <c r="E1134" s="129" t="s">
        <v>1758</v>
      </c>
      <c r="F1134" s="130">
        <v>200.0</v>
      </c>
      <c r="G1134" s="129"/>
      <c r="H1134" s="44" t="b">
        <v>1</v>
      </c>
    </row>
    <row r="1135">
      <c r="A1135" s="484" t="s">
        <v>195</v>
      </c>
      <c r="B1135" s="27"/>
      <c r="C1135" s="27"/>
      <c r="D1135" s="27"/>
      <c r="E1135" s="28"/>
      <c r="F1135" s="485">
        <f>SUM(F1065:F1134)</f>
        <v>10950</v>
      </c>
      <c r="G1135" s="486"/>
      <c r="H1135" s="28"/>
    </row>
    <row r="1136" collapsed="1">
      <c r="A1136" s="339" t="s">
        <v>1224</v>
      </c>
      <c r="B1136" s="246"/>
      <c r="C1136" s="246"/>
      <c r="D1136" s="246"/>
      <c r="E1136" s="246"/>
      <c r="F1136" s="246"/>
      <c r="G1136" s="246"/>
      <c r="H1136" s="247"/>
    </row>
    <row r="1137" hidden="1" outlineLevel="1">
      <c r="A1137" s="102">
        <v>45901.0</v>
      </c>
      <c r="B1137" s="97">
        <f>A1137</f>
        <v>45901</v>
      </c>
      <c r="C1137" s="313">
        <v>0.2916666666666667</v>
      </c>
      <c r="D1137" s="129" t="s">
        <v>1756</v>
      </c>
      <c r="E1137" s="129" t="s">
        <v>1758</v>
      </c>
      <c r="F1137" s="130">
        <v>150.0</v>
      </c>
      <c r="G1137" s="129"/>
      <c r="H1137" s="44" t="b">
        <v>1</v>
      </c>
      <c r="K1137" s="440" t="s">
        <v>2073</v>
      </c>
      <c r="L1137" s="27"/>
      <c r="M1137" s="27"/>
      <c r="N1137" s="27"/>
      <c r="O1137" s="27"/>
      <c r="P1137" s="27"/>
      <c r="Q1137" s="28"/>
    </row>
    <row r="1138" hidden="1" outlineLevel="1">
      <c r="A1138" s="10"/>
      <c r="B1138" s="10"/>
      <c r="C1138" s="313">
        <v>0.5069444444444444</v>
      </c>
      <c r="D1138" s="129" t="s">
        <v>1849</v>
      </c>
      <c r="E1138" s="129" t="s">
        <v>1758</v>
      </c>
      <c r="F1138" s="130">
        <v>150.0</v>
      </c>
      <c r="G1138" s="129"/>
      <c r="H1138" s="44" t="b">
        <v>1</v>
      </c>
      <c r="K1138" s="441" t="s">
        <v>1749</v>
      </c>
      <c r="L1138" s="441" t="s">
        <v>1758</v>
      </c>
      <c r="M1138" s="441" t="s">
        <v>469</v>
      </c>
      <c r="N1138" s="441" t="s">
        <v>195</v>
      </c>
      <c r="O1138" s="441" t="s">
        <v>1764</v>
      </c>
      <c r="P1138" s="441" t="s">
        <v>1765</v>
      </c>
      <c r="Q1138" s="441" t="s">
        <v>1766</v>
      </c>
    </row>
    <row r="1139" hidden="1" outlineLevel="1">
      <c r="A1139" s="102">
        <v>45902.0</v>
      </c>
      <c r="B1139" s="97">
        <f>A1139</f>
        <v>45902</v>
      </c>
      <c r="C1139" s="398">
        <v>0.2916666666666667</v>
      </c>
      <c r="D1139" s="129" t="s">
        <v>1756</v>
      </c>
      <c r="E1139" s="129" t="s">
        <v>469</v>
      </c>
      <c r="F1139" s="130">
        <v>150.0</v>
      </c>
      <c r="G1139" s="129"/>
      <c r="H1139" s="44" t="b">
        <v>1</v>
      </c>
      <c r="K1139" s="91" t="s">
        <v>1756</v>
      </c>
      <c r="L1139" s="90">
        <f t="shared" ref="L1139:L1151" si="374">COUNTIFS($D$1137:$D$1205, $K1139,$E$1137:$E$1205,$L$1138)</f>
        <v>17</v>
      </c>
      <c r="M1139" s="90">
        <f t="shared" ref="M1139:M1151" si="375">COUNTIFS($D$1137:$D$1205, $K1139,$E$1137:$E$1205,$M$1138)</f>
        <v>9</v>
      </c>
      <c r="N1139" s="90">
        <f t="shared" ref="N1139:N1151" si="376">L1139+M1139</f>
        <v>26</v>
      </c>
      <c r="O1139" s="92">
        <f t="shared" ref="O1139:O1151" si="377">SUMIFS($F$1137:$F$1205,$D$1137:$D$1205,$K1139)</f>
        <v>3900</v>
      </c>
      <c r="P1139" s="92">
        <f t="shared" ref="P1139:P1151" si="378">SUMIFS($F$1137:$F$1205,$D$1137:$D$1205,$K1139,$H$1137:$H$1205,TRUE())</f>
        <v>3900</v>
      </c>
      <c r="Q1139" s="92">
        <f t="shared" ref="Q1139:Q1151" si="379">O1139-P1139</f>
        <v>0</v>
      </c>
    </row>
    <row r="1140" hidden="1" outlineLevel="1">
      <c r="A1140" s="58"/>
      <c r="B1140" s="58"/>
      <c r="C1140" s="10"/>
      <c r="D1140" s="129" t="s">
        <v>183</v>
      </c>
      <c r="E1140" s="129" t="s">
        <v>1758</v>
      </c>
      <c r="F1140" s="130">
        <v>150.0</v>
      </c>
      <c r="G1140" s="129"/>
      <c r="H1140" s="44" t="b">
        <v>1</v>
      </c>
      <c r="K1140" s="91" t="s">
        <v>1798</v>
      </c>
      <c r="L1140" s="90">
        <f t="shared" si="374"/>
        <v>0</v>
      </c>
      <c r="M1140" s="90">
        <f t="shared" si="375"/>
        <v>0</v>
      </c>
      <c r="N1140" s="90">
        <f t="shared" si="376"/>
        <v>0</v>
      </c>
      <c r="O1140" s="92">
        <f t="shared" si="377"/>
        <v>0</v>
      </c>
      <c r="P1140" s="92">
        <f t="shared" si="378"/>
        <v>0</v>
      </c>
      <c r="Q1140" s="92">
        <f t="shared" si="379"/>
        <v>0</v>
      </c>
    </row>
    <row r="1141" hidden="1" outlineLevel="1">
      <c r="A1141" s="10"/>
      <c r="B1141" s="10"/>
      <c r="C1141" s="313">
        <v>0.5069444444444444</v>
      </c>
      <c r="D1141" s="129" t="s">
        <v>1849</v>
      </c>
      <c r="E1141" s="129" t="s">
        <v>1758</v>
      </c>
      <c r="F1141" s="130">
        <v>150.0</v>
      </c>
      <c r="G1141" s="129"/>
      <c r="H1141" s="44" t="b">
        <v>1</v>
      </c>
      <c r="K1141" s="91" t="s">
        <v>1840</v>
      </c>
      <c r="L1141" s="90">
        <f t="shared" si="374"/>
        <v>0</v>
      </c>
      <c r="M1141" s="90">
        <f t="shared" si="375"/>
        <v>0</v>
      </c>
      <c r="N1141" s="90">
        <f t="shared" si="376"/>
        <v>0</v>
      </c>
      <c r="O1141" s="92">
        <f t="shared" si="377"/>
        <v>0</v>
      </c>
      <c r="P1141" s="92">
        <f t="shared" si="378"/>
        <v>0</v>
      </c>
      <c r="Q1141" s="92">
        <f t="shared" si="379"/>
        <v>0</v>
      </c>
    </row>
    <row r="1142" hidden="1" outlineLevel="1">
      <c r="A1142" s="102">
        <v>45903.0</v>
      </c>
      <c r="B1142" s="97">
        <f>A1142</f>
        <v>45903</v>
      </c>
      <c r="C1142" s="313">
        <v>0.2916666666666667</v>
      </c>
      <c r="D1142" s="129" t="s">
        <v>1756</v>
      </c>
      <c r="E1142" s="129" t="s">
        <v>1758</v>
      </c>
      <c r="F1142" s="130">
        <v>150.0</v>
      </c>
      <c r="G1142" s="129"/>
      <c r="H1142" s="44" t="b">
        <v>1</v>
      </c>
      <c r="K1142" s="91" t="s">
        <v>183</v>
      </c>
      <c r="L1142" s="90">
        <f t="shared" si="374"/>
        <v>9</v>
      </c>
      <c r="M1142" s="90">
        <f t="shared" si="375"/>
        <v>0</v>
      </c>
      <c r="N1142" s="90">
        <f t="shared" si="376"/>
        <v>9</v>
      </c>
      <c r="O1142" s="92">
        <f t="shared" si="377"/>
        <v>1350</v>
      </c>
      <c r="P1142" s="92">
        <f t="shared" si="378"/>
        <v>1350</v>
      </c>
      <c r="Q1142" s="92">
        <f t="shared" si="379"/>
        <v>0</v>
      </c>
    </row>
    <row r="1143" hidden="1" outlineLevel="1">
      <c r="A1143" s="10"/>
      <c r="B1143" s="10"/>
      <c r="C1143" s="313">
        <v>0.5069444444444444</v>
      </c>
      <c r="D1143" s="129" t="s">
        <v>1849</v>
      </c>
      <c r="E1143" s="129" t="s">
        <v>1758</v>
      </c>
      <c r="F1143" s="130">
        <v>150.0</v>
      </c>
      <c r="G1143" s="129"/>
      <c r="H1143" s="44" t="b">
        <v>1</v>
      </c>
      <c r="K1143" s="91" t="s">
        <v>363</v>
      </c>
      <c r="L1143" s="90">
        <f t="shared" si="374"/>
        <v>3</v>
      </c>
      <c r="M1143" s="90">
        <f t="shared" si="375"/>
        <v>0</v>
      </c>
      <c r="N1143" s="90">
        <f t="shared" si="376"/>
        <v>3</v>
      </c>
      <c r="O1143" s="92">
        <f t="shared" si="377"/>
        <v>600</v>
      </c>
      <c r="P1143" s="92">
        <f t="shared" si="378"/>
        <v>600</v>
      </c>
      <c r="Q1143" s="92">
        <f t="shared" si="379"/>
        <v>0</v>
      </c>
    </row>
    <row r="1144" hidden="1" outlineLevel="1">
      <c r="A1144" s="102">
        <v>45904.0</v>
      </c>
      <c r="B1144" s="97">
        <f>A1144</f>
        <v>45904</v>
      </c>
      <c r="C1144" s="313">
        <v>0.2916666666666667</v>
      </c>
      <c r="D1144" s="129" t="s">
        <v>1756</v>
      </c>
      <c r="E1144" s="129" t="s">
        <v>1758</v>
      </c>
      <c r="F1144" s="130">
        <v>150.0</v>
      </c>
      <c r="G1144" s="129"/>
      <c r="H1144" s="44" t="b">
        <v>1</v>
      </c>
      <c r="K1144" s="91" t="s">
        <v>1785</v>
      </c>
      <c r="L1144" s="90">
        <f t="shared" si="374"/>
        <v>2</v>
      </c>
      <c r="M1144" s="90">
        <f t="shared" si="375"/>
        <v>0</v>
      </c>
      <c r="N1144" s="90">
        <f t="shared" si="376"/>
        <v>2</v>
      </c>
      <c r="O1144" s="92">
        <f t="shared" si="377"/>
        <v>400</v>
      </c>
      <c r="P1144" s="92">
        <f t="shared" si="378"/>
        <v>400</v>
      </c>
      <c r="Q1144" s="92">
        <f t="shared" si="379"/>
        <v>0</v>
      </c>
    </row>
    <row r="1145" hidden="1" outlineLevel="1">
      <c r="A1145" s="10"/>
      <c r="B1145" s="10"/>
      <c r="C1145" s="313">
        <v>0.5069444444444444</v>
      </c>
      <c r="D1145" s="129" t="s">
        <v>562</v>
      </c>
      <c r="E1145" s="129" t="s">
        <v>1758</v>
      </c>
      <c r="F1145" s="130">
        <v>150.0</v>
      </c>
      <c r="G1145" s="129"/>
      <c r="H1145" s="44" t="b">
        <v>1</v>
      </c>
      <c r="K1145" s="91" t="s">
        <v>1842</v>
      </c>
      <c r="L1145" s="90">
        <f t="shared" si="374"/>
        <v>0</v>
      </c>
      <c r="M1145" s="90">
        <f t="shared" si="375"/>
        <v>0</v>
      </c>
      <c r="N1145" s="90">
        <f t="shared" si="376"/>
        <v>0</v>
      </c>
      <c r="O1145" s="92">
        <f t="shared" si="377"/>
        <v>0</v>
      </c>
      <c r="P1145" s="92">
        <f t="shared" si="378"/>
        <v>0</v>
      </c>
      <c r="Q1145" s="92">
        <f t="shared" si="379"/>
        <v>0</v>
      </c>
    </row>
    <row r="1146" hidden="1" outlineLevel="1">
      <c r="A1146" s="102">
        <v>45905.0</v>
      </c>
      <c r="B1146" s="97">
        <f>A1146</f>
        <v>45905</v>
      </c>
      <c r="C1146" s="398">
        <v>0.2916666666666667</v>
      </c>
      <c r="D1146" s="129" t="s">
        <v>1756</v>
      </c>
      <c r="E1146" s="129" t="s">
        <v>469</v>
      </c>
      <c r="F1146" s="130">
        <v>150.0</v>
      </c>
      <c r="G1146" s="129"/>
      <c r="H1146" s="44" t="b">
        <v>1</v>
      </c>
      <c r="K1146" s="91" t="s">
        <v>562</v>
      </c>
      <c r="L1146" s="90">
        <f t="shared" si="374"/>
        <v>6</v>
      </c>
      <c r="M1146" s="90">
        <f t="shared" si="375"/>
        <v>0</v>
      </c>
      <c r="N1146" s="90">
        <f t="shared" si="376"/>
        <v>6</v>
      </c>
      <c r="O1146" s="92">
        <f t="shared" si="377"/>
        <v>1000</v>
      </c>
      <c r="P1146" s="92">
        <f t="shared" si="378"/>
        <v>1000</v>
      </c>
      <c r="Q1146" s="92">
        <f t="shared" si="379"/>
        <v>0</v>
      </c>
    </row>
    <row r="1147" hidden="1" outlineLevel="1">
      <c r="A1147" s="58"/>
      <c r="B1147" s="58"/>
      <c r="C1147" s="10"/>
      <c r="D1147" s="129" t="s">
        <v>183</v>
      </c>
      <c r="E1147" s="129" t="s">
        <v>1758</v>
      </c>
      <c r="F1147" s="130">
        <v>150.0</v>
      </c>
      <c r="G1147" s="129"/>
      <c r="H1147" s="44" t="b">
        <v>1</v>
      </c>
      <c r="K1147" s="91" t="s">
        <v>1828</v>
      </c>
      <c r="L1147" s="90">
        <f t="shared" si="374"/>
        <v>3</v>
      </c>
      <c r="M1147" s="90">
        <f t="shared" si="375"/>
        <v>0</v>
      </c>
      <c r="N1147" s="90">
        <f t="shared" si="376"/>
        <v>3</v>
      </c>
      <c r="O1147" s="92">
        <f t="shared" si="377"/>
        <v>600</v>
      </c>
      <c r="P1147" s="92">
        <f t="shared" si="378"/>
        <v>600</v>
      </c>
      <c r="Q1147" s="92">
        <f t="shared" si="379"/>
        <v>0</v>
      </c>
    </row>
    <row r="1148" hidden="1" outlineLevel="1">
      <c r="A1148" s="10"/>
      <c r="B1148" s="10"/>
      <c r="C1148" s="313">
        <v>0.5069444444444444</v>
      </c>
      <c r="D1148" s="129" t="s">
        <v>1849</v>
      </c>
      <c r="E1148" s="129" t="s">
        <v>1758</v>
      </c>
      <c r="F1148" s="130">
        <v>150.0</v>
      </c>
      <c r="G1148" s="129"/>
      <c r="H1148" s="44" t="b">
        <v>1</v>
      </c>
      <c r="K1148" s="91" t="s">
        <v>1845</v>
      </c>
      <c r="L1148" s="90">
        <f t="shared" si="374"/>
        <v>1</v>
      </c>
      <c r="M1148" s="90">
        <f t="shared" si="375"/>
        <v>0</v>
      </c>
      <c r="N1148" s="90">
        <f t="shared" si="376"/>
        <v>1</v>
      </c>
      <c r="O1148" s="92">
        <f t="shared" si="377"/>
        <v>200</v>
      </c>
      <c r="P1148" s="92">
        <f t="shared" si="378"/>
        <v>200</v>
      </c>
      <c r="Q1148" s="92">
        <f t="shared" si="379"/>
        <v>0</v>
      </c>
    </row>
    <row r="1149" hidden="1" outlineLevel="1">
      <c r="A1149" s="125">
        <v>45906.0</v>
      </c>
      <c r="B1149" s="126">
        <f t="shared" ref="B1149:B1150" si="380">A1149</f>
        <v>45906</v>
      </c>
      <c r="C1149" s="313">
        <v>0.3333333333333333</v>
      </c>
      <c r="D1149" s="129" t="s">
        <v>1756</v>
      </c>
      <c r="E1149" s="129" t="s">
        <v>1758</v>
      </c>
      <c r="F1149" s="130">
        <v>150.0</v>
      </c>
      <c r="G1149" s="129"/>
      <c r="H1149" s="44" t="b">
        <v>1</v>
      </c>
      <c r="K1149" s="91" t="s">
        <v>1849</v>
      </c>
      <c r="L1149" s="90">
        <f t="shared" si="374"/>
        <v>18</v>
      </c>
      <c r="M1149" s="90">
        <f t="shared" si="375"/>
        <v>0</v>
      </c>
      <c r="N1149" s="90">
        <f t="shared" si="376"/>
        <v>18</v>
      </c>
      <c r="O1149" s="92">
        <f t="shared" si="377"/>
        <v>2700</v>
      </c>
      <c r="P1149" s="92">
        <f t="shared" si="378"/>
        <v>2700</v>
      </c>
      <c r="Q1149" s="92">
        <f t="shared" si="379"/>
        <v>0</v>
      </c>
    </row>
    <row r="1150" hidden="1" outlineLevel="1">
      <c r="A1150" s="102">
        <v>45907.0</v>
      </c>
      <c r="B1150" s="97">
        <f t="shared" si="380"/>
        <v>45907</v>
      </c>
      <c r="C1150" s="313">
        <v>0.3333333333333333</v>
      </c>
      <c r="D1150" s="129" t="s">
        <v>1828</v>
      </c>
      <c r="E1150" s="129" t="s">
        <v>1758</v>
      </c>
      <c r="F1150" s="130">
        <v>200.0</v>
      </c>
      <c r="G1150" s="129"/>
      <c r="H1150" s="44" t="b">
        <v>1</v>
      </c>
      <c r="K1150" s="91" t="s">
        <v>1838</v>
      </c>
      <c r="L1150" s="90">
        <f t="shared" si="374"/>
        <v>0</v>
      </c>
      <c r="M1150" s="90">
        <f t="shared" si="375"/>
        <v>0</v>
      </c>
      <c r="N1150" s="90">
        <f t="shared" si="376"/>
        <v>0</v>
      </c>
      <c r="O1150" s="92">
        <f t="shared" si="377"/>
        <v>0</v>
      </c>
      <c r="P1150" s="92">
        <f t="shared" si="378"/>
        <v>0</v>
      </c>
      <c r="Q1150" s="92">
        <f t="shared" si="379"/>
        <v>0</v>
      </c>
    </row>
    <row r="1151" hidden="1" outlineLevel="1">
      <c r="A1151" s="58"/>
      <c r="B1151" s="58"/>
      <c r="C1151" s="313">
        <v>0.4583333333333333</v>
      </c>
      <c r="D1151" s="129" t="s">
        <v>1785</v>
      </c>
      <c r="E1151" s="129" t="s">
        <v>1758</v>
      </c>
      <c r="F1151" s="130">
        <v>200.0</v>
      </c>
      <c r="G1151" s="129"/>
      <c r="H1151" s="44" t="b">
        <v>1</v>
      </c>
      <c r="K1151" s="91" t="s">
        <v>1844</v>
      </c>
      <c r="L1151" s="90">
        <f t="shared" si="374"/>
        <v>1</v>
      </c>
      <c r="M1151" s="90">
        <f t="shared" si="375"/>
        <v>0</v>
      </c>
      <c r="N1151" s="90">
        <f t="shared" si="376"/>
        <v>1</v>
      </c>
      <c r="O1151" s="92">
        <f t="shared" si="377"/>
        <v>200</v>
      </c>
      <c r="P1151" s="92">
        <f t="shared" si="378"/>
        <v>200</v>
      </c>
      <c r="Q1151" s="92">
        <f t="shared" si="379"/>
        <v>0</v>
      </c>
    </row>
    <row r="1152" hidden="1" outlineLevel="1">
      <c r="A1152" s="10"/>
      <c r="B1152" s="10"/>
      <c r="C1152" s="313">
        <v>0.7708333333333334</v>
      </c>
      <c r="D1152" s="129" t="s">
        <v>1844</v>
      </c>
      <c r="E1152" s="129" t="s">
        <v>1758</v>
      </c>
      <c r="F1152" s="130">
        <v>200.0</v>
      </c>
      <c r="G1152" s="129"/>
      <c r="H1152" s="44" t="b">
        <v>1</v>
      </c>
      <c r="K1152" s="91"/>
      <c r="L1152" s="90"/>
      <c r="M1152" s="90"/>
      <c r="N1152" s="90"/>
      <c r="O1152" s="92">
        <f>SUMIFS($F$1065:$F$1134,$D$1065:$D$1134,$K1152)</f>
        <v>0</v>
      </c>
      <c r="P1152" s="92">
        <f>SUMIFS($F$1065:$F$1134,$D$1065:$D$1134,$K1152,$H$1065:$H$1134,TRUE())</f>
        <v>0</v>
      </c>
      <c r="Q1152" s="90"/>
    </row>
    <row r="1153" hidden="1" outlineLevel="1">
      <c r="A1153" s="102">
        <v>45908.0</v>
      </c>
      <c r="B1153" s="97">
        <f>A1153</f>
        <v>45908</v>
      </c>
      <c r="C1153" s="313">
        <v>0.2916666666666667</v>
      </c>
      <c r="D1153" s="129" t="s">
        <v>1756</v>
      </c>
      <c r="E1153" s="129" t="s">
        <v>1758</v>
      </c>
      <c r="F1153" s="130">
        <v>150.0</v>
      </c>
      <c r="G1153" s="129"/>
      <c r="H1153" s="44" t="b">
        <v>1</v>
      </c>
      <c r="K1153" s="276"/>
      <c r="L1153" s="90"/>
      <c r="M1153" s="276"/>
      <c r="N1153" s="276"/>
      <c r="O1153" s="276"/>
      <c r="P1153" s="276"/>
      <c r="Q1153" s="276"/>
    </row>
    <row r="1154" hidden="1" outlineLevel="1">
      <c r="A1154" s="10"/>
      <c r="B1154" s="10"/>
      <c r="C1154" s="313">
        <v>0.5069444444444444</v>
      </c>
      <c r="D1154" s="129" t="s">
        <v>1849</v>
      </c>
      <c r="E1154" s="129" t="s">
        <v>1758</v>
      </c>
      <c r="F1154" s="130">
        <v>150.0</v>
      </c>
      <c r="G1154" s="129"/>
      <c r="H1154" s="44" t="b">
        <v>1</v>
      </c>
      <c r="K1154" s="276"/>
      <c r="L1154" s="90"/>
      <c r="M1154" s="276"/>
      <c r="N1154" s="276"/>
      <c r="O1154" s="276"/>
      <c r="P1154" s="276"/>
      <c r="Q1154" s="276"/>
    </row>
    <row r="1155" hidden="1" outlineLevel="1">
      <c r="A1155" s="102">
        <v>45909.0</v>
      </c>
      <c r="B1155" s="97">
        <f>A1155</f>
        <v>45909</v>
      </c>
      <c r="C1155" s="398">
        <v>0.2916666666666667</v>
      </c>
      <c r="D1155" s="129" t="s">
        <v>1756</v>
      </c>
      <c r="E1155" s="129" t="s">
        <v>469</v>
      </c>
      <c r="F1155" s="130">
        <v>150.0</v>
      </c>
      <c r="G1155" s="129"/>
      <c r="H1155" s="44" t="b">
        <v>1</v>
      </c>
      <c r="K1155" s="91"/>
      <c r="L1155" s="90"/>
      <c r="M1155" s="90"/>
      <c r="N1155" s="90"/>
      <c r="O1155" s="92"/>
      <c r="P1155" s="92"/>
      <c r="Q1155" s="90"/>
    </row>
    <row r="1156" hidden="1" outlineLevel="1">
      <c r="A1156" s="58"/>
      <c r="B1156" s="58"/>
      <c r="C1156" s="10"/>
      <c r="D1156" s="129" t="s">
        <v>183</v>
      </c>
      <c r="E1156" s="129" t="s">
        <v>1758</v>
      </c>
      <c r="F1156" s="130">
        <v>150.0</v>
      </c>
      <c r="G1156" s="129"/>
      <c r="H1156" s="44" t="b">
        <v>1</v>
      </c>
      <c r="K1156" s="477" t="s">
        <v>195</v>
      </c>
      <c r="L1156" s="478">
        <f t="shared" ref="L1156:Q1156" si="381">SUM(L1139:L1155)</f>
        <v>60</v>
      </c>
      <c r="M1156" s="478">
        <f t="shared" si="381"/>
        <v>9</v>
      </c>
      <c r="N1156" s="478">
        <f t="shared" si="381"/>
        <v>69</v>
      </c>
      <c r="O1156" s="479">
        <f t="shared" si="381"/>
        <v>10950</v>
      </c>
      <c r="P1156" s="479">
        <f t="shared" si="381"/>
        <v>10950</v>
      </c>
      <c r="Q1156" s="479">
        <f t="shared" si="381"/>
        <v>0</v>
      </c>
    </row>
    <row r="1157" hidden="1" outlineLevel="1">
      <c r="A1157" s="10"/>
      <c r="B1157" s="10"/>
      <c r="C1157" s="313">
        <v>0.5069444444444444</v>
      </c>
      <c r="D1157" s="129" t="s">
        <v>1849</v>
      </c>
      <c r="E1157" s="129" t="s">
        <v>1758</v>
      </c>
      <c r="F1157" s="130">
        <v>150.0</v>
      </c>
      <c r="G1157" s="129"/>
      <c r="H1157" s="44" t="b">
        <v>1</v>
      </c>
    </row>
    <row r="1158" hidden="1" outlineLevel="1">
      <c r="A1158" s="102">
        <v>45910.0</v>
      </c>
      <c r="B1158" s="97">
        <f>A1158</f>
        <v>45910</v>
      </c>
      <c r="C1158" s="313">
        <v>0.2916666666666667</v>
      </c>
      <c r="D1158" s="129" t="s">
        <v>1756</v>
      </c>
      <c r="E1158" s="129" t="s">
        <v>1758</v>
      </c>
      <c r="F1158" s="130">
        <v>150.0</v>
      </c>
      <c r="G1158" s="129"/>
      <c r="H1158" s="44" t="b">
        <v>1</v>
      </c>
    </row>
    <row r="1159" hidden="1" outlineLevel="1">
      <c r="A1159" s="10"/>
      <c r="B1159" s="10"/>
      <c r="C1159" s="313">
        <v>0.5069444444444444</v>
      </c>
      <c r="D1159" s="129" t="s">
        <v>1849</v>
      </c>
      <c r="E1159" s="129" t="s">
        <v>1758</v>
      </c>
      <c r="F1159" s="130">
        <v>150.0</v>
      </c>
      <c r="G1159" s="129"/>
      <c r="H1159" s="44" t="b">
        <v>1</v>
      </c>
    </row>
    <row r="1160" hidden="1" outlineLevel="1">
      <c r="A1160" s="102">
        <v>45911.0</v>
      </c>
      <c r="B1160" s="97">
        <f>A1160</f>
        <v>45911</v>
      </c>
      <c r="C1160" s="313">
        <v>0.2916666666666667</v>
      </c>
      <c r="D1160" s="129" t="s">
        <v>1756</v>
      </c>
      <c r="E1160" s="129" t="s">
        <v>1758</v>
      </c>
      <c r="F1160" s="130">
        <v>150.0</v>
      </c>
      <c r="G1160" s="129"/>
      <c r="H1160" s="44" t="b">
        <v>1</v>
      </c>
    </row>
    <row r="1161" hidden="1" outlineLevel="1">
      <c r="A1161" s="10"/>
      <c r="B1161" s="10"/>
      <c r="C1161" s="313">
        <v>0.5069444444444444</v>
      </c>
      <c r="D1161" s="129" t="s">
        <v>562</v>
      </c>
      <c r="E1161" s="129" t="s">
        <v>1758</v>
      </c>
      <c r="F1161" s="130">
        <v>150.0</v>
      </c>
      <c r="G1161" s="129"/>
      <c r="H1161" s="44" t="b">
        <v>1</v>
      </c>
    </row>
    <row r="1162" hidden="1" outlineLevel="1">
      <c r="A1162" s="102">
        <v>45912.0</v>
      </c>
      <c r="B1162" s="97">
        <f>A1162</f>
        <v>45912</v>
      </c>
      <c r="C1162" s="398">
        <v>0.2916666666666667</v>
      </c>
      <c r="D1162" s="129" t="s">
        <v>1756</v>
      </c>
      <c r="E1162" s="129" t="s">
        <v>469</v>
      </c>
      <c r="F1162" s="130">
        <v>150.0</v>
      </c>
      <c r="G1162" s="129"/>
      <c r="H1162" s="44" t="b">
        <v>1</v>
      </c>
    </row>
    <row r="1163" hidden="1" outlineLevel="1">
      <c r="A1163" s="58"/>
      <c r="B1163" s="58"/>
      <c r="C1163" s="10"/>
      <c r="D1163" s="129" t="s">
        <v>183</v>
      </c>
      <c r="E1163" s="129" t="s">
        <v>1758</v>
      </c>
      <c r="F1163" s="130">
        <v>150.0</v>
      </c>
      <c r="G1163" s="129"/>
      <c r="H1163" s="44" t="b">
        <v>1</v>
      </c>
    </row>
    <row r="1164" hidden="1" outlineLevel="1">
      <c r="A1164" s="10"/>
      <c r="B1164" s="10"/>
      <c r="C1164" s="313">
        <v>0.5069444444444444</v>
      </c>
      <c r="D1164" s="129" t="s">
        <v>1849</v>
      </c>
      <c r="E1164" s="129" t="s">
        <v>1758</v>
      </c>
      <c r="F1164" s="130">
        <v>150.0</v>
      </c>
      <c r="G1164" s="129"/>
      <c r="H1164" s="44" t="b">
        <v>1</v>
      </c>
    </row>
    <row r="1165" hidden="1" outlineLevel="1">
      <c r="A1165" s="125">
        <v>45913.0</v>
      </c>
      <c r="B1165" s="126">
        <f t="shared" ref="B1165:B1166" si="382">A1165</f>
        <v>45913</v>
      </c>
      <c r="C1165" s="313">
        <v>0.3333333333333333</v>
      </c>
      <c r="D1165" s="129" t="s">
        <v>1756</v>
      </c>
      <c r="E1165" s="129" t="s">
        <v>1758</v>
      </c>
      <c r="F1165" s="130">
        <v>150.0</v>
      </c>
      <c r="G1165" s="129"/>
      <c r="H1165" s="44" t="b">
        <v>1</v>
      </c>
    </row>
    <row r="1166" hidden="1" outlineLevel="1">
      <c r="A1166" s="102">
        <v>45914.0</v>
      </c>
      <c r="B1166" s="97">
        <f t="shared" si="382"/>
        <v>45914</v>
      </c>
      <c r="C1166" s="313">
        <v>0.3333333333333333</v>
      </c>
      <c r="D1166" s="129" t="s">
        <v>363</v>
      </c>
      <c r="E1166" s="129" t="s">
        <v>1758</v>
      </c>
      <c r="F1166" s="130">
        <v>200.0</v>
      </c>
      <c r="G1166" s="129"/>
      <c r="H1166" s="44" t="b">
        <v>1</v>
      </c>
    </row>
    <row r="1167" hidden="1" outlineLevel="1">
      <c r="A1167" s="58"/>
      <c r="B1167" s="58"/>
      <c r="C1167" s="313">
        <v>0.4583333333333333</v>
      </c>
      <c r="D1167" s="129" t="s">
        <v>562</v>
      </c>
      <c r="E1167" s="129" t="s">
        <v>1758</v>
      </c>
      <c r="F1167" s="130">
        <v>200.0</v>
      </c>
      <c r="G1167" s="129"/>
      <c r="H1167" s="44" t="b">
        <v>1</v>
      </c>
    </row>
    <row r="1168" hidden="1" outlineLevel="1">
      <c r="A1168" s="10"/>
      <c r="B1168" s="10"/>
      <c r="C1168" s="313">
        <v>0.7708333333333334</v>
      </c>
      <c r="D1168" s="129" t="s">
        <v>1845</v>
      </c>
      <c r="E1168" s="129" t="s">
        <v>1758</v>
      </c>
      <c r="F1168" s="130">
        <v>200.0</v>
      </c>
      <c r="G1168" s="129"/>
      <c r="H1168" s="44" t="b">
        <v>1</v>
      </c>
    </row>
    <row r="1169" hidden="1" outlineLevel="1">
      <c r="A1169" s="102">
        <v>45915.0</v>
      </c>
      <c r="B1169" s="97">
        <f>A1169</f>
        <v>45915</v>
      </c>
      <c r="C1169" s="313">
        <v>0.2916666666666667</v>
      </c>
      <c r="D1169" s="129" t="s">
        <v>1756</v>
      </c>
      <c r="E1169" s="129" t="s">
        <v>1758</v>
      </c>
      <c r="F1169" s="130">
        <v>150.0</v>
      </c>
      <c r="G1169" s="129"/>
      <c r="H1169" s="44" t="b">
        <v>1</v>
      </c>
    </row>
    <row r="1170" hidden="1" outlineLevel="1">
      <c r="A1170" s="10"/>
      <c r="B1170" s="10"/>
      <c r="C1170" s="313">
        <v>0.5069444444444444</v>
      </c>
      <c r="D1170" s="129" t="s">
        <v>1849</v>
      </c>
      <c r="E1170" s="129" t="s">
        <v>1758</v>
      </c>
      <c r="F1170" s="130">
        <v>150.0</v>
      </c>
      <c r="G1170" s="129"/>
      <c r="H1170" s="44" t="b">
        <v>1</v>
      </c>
    </row>
    <row r="1171" hidden="1" outlineLevel="1">
      <c r="A1171" s="102">
        <v>45916.0</v>
      </c>
      <c r="B1171" s="97">
        <f>A1171</f>
        <v>45916</v>
      </c>
      <c r="C1171" s="398">
        <v>0.2916666666666667</v>
      </c>
      <c r="D1171" s="129" t="s">
        <v>1756</v>
      </c>
      <c r="E1171" s="129" t="s">
        <v>469</v>
      </c>
      <c r="F1171" s="130">
        <v>150.0</v>
      </c>
      <c r="G1171" s="129"/>
      <c r="H1171" s="44" t="b">
        <v>1</v>
      </c>
    </row>
    <row r="1172" hidden="1" outlineLevel="1">
      <c r="A1172" s="58"/>
      <c r="B1172" s="58"/>
      <c r="C1172" s="10"/>
      <c r="D1172" s="129" t="s">
        <v>183</v>
      </c>
      <c r="E1172" s="129" t="s">
        <v>1758</v>
      </c>
      <c r="F1172" s="130">
        <v>150.0</v>
      </c>
      <c r="G1172" s="129"/>
      <c r="H1172" s="44" t="b">
        <v>1</v>
      </c>
    </row>
    <row r="1173" hidden="1" outlineLevel="1">
      <c r="A1173" s="10"/>
      <c r="B1173" s="10"/>
      <c r="C1173" s="313">
        <v>0.5069444444444444</v>
      </c>
      <c r="D1173" s="129" t="s">
        <v>1849</v>
      </c>
      <c r="E1173" s="129" t="s">
        <v>1758</v>
      </c>
      <c r="F1173" s="130">
        <v>150.0</v>
      </c>
      <c r="G1173" s="129"/>
      <c r="H1173" s="44" t="b">
        <v>1</v>
      </c>
    </row>
    <row r="1174" hidden="1" outlineLevel="1">
      <c r="A1174" s="102">
        <v>45917.0</v>
      </c>
      <c r="B1174" s="97">
        <f>A1174</f>
        <v>45917</v>
      </c>
      <c r="C1174" s="313">
        <v>0.2916666666666667</v>
      </c>
      <c r="D1174" s="129" t="s">
        <v>1756</v>
      </c>
      <c r="E1174" s="129" t="s">
        <v>1758</v>
      </c>
      <c r="F1174" s="130">
        <v>150.0</v>
      </c>
      <c r="G1174" s="129"/>
      <c r="H1174" s="44" t="b">
        <v>1</v>
      </c>
    </row>
    <row r="1175" hidden="1" outlineLevel="1">
      <c r="A1175" s="10"/>
      <c r="B1175" s="10"/>
      <c r="C1175" s="313">
        <v>0.5069444444444444</v>
      </c>
      <c r="D1175" s="129" t="s">
        <v>1849</v>
      </c>
      <c r="E1175" s="129" t="s">
        <v>1758</v>
      </c>
      <c r="F1175" s="130">
        <v>150.0</v>
      </c>
      <c r="G1175" s="129"/>
      <c r="H1175" s="44" t="b">
        <v>1</v>
      </c>
    </row>
    <row r="1176" hidden="1" outlineLevel="1">
      <c r="A1176" s="102">
        <v>45918.0</v>
      </c>
      <c r="B1176" s="97">
        <f>A1176</f>
        <v>45918</v>
      </c>
      <c r="C1176" s="313">
        <v>0.2916666666666667</v>
      </c>
      <c r="D1176" s="129" t="s">
        <v>1756</v>
      </c>
      <c r="E1176" s="129" t="s">
        <v>1758</v>
      </c>
      <c r="F1176" s="130">
        <v>150.0</v>
      </c>
      <c r="G1176" s="129"/>
      <c r="H1176" s="44" t="b">
        <v>1</v>
      </c>
    </row>
    <row r="1177" hidden="1" outlineLevel="1">
      <c r="A1177" s="10"/>
      <c r="B1177" s="10"/>
      <c r="C1177" s="313">
        <v>0.5069444444444444</v>
      </c>
      <c r="D1177" s="129" t="s">
        <v>562</v>
      </c>
      <c r="E1177" s="129" t="s">
        <v>1758</v>
      </c>
      <c r="F1177" s="130">
        <v>150.0</v>
      </c>
      <c r="G1177" s="129"/>
      <c r="H1177" s="44" t="b">
        <v>1</v>
      </c>
    </row>
    <row r="1178" hidden="1" outlineLevel="1">
      <c r="A1178" s="102">
        <v>45919.0</v>
      </c>
      <c r="B1178" s="97">
        <f>A1178</f>
        <v>45919</v>
      </c>
      <c r="C1178" s="398">
        <v>0.2916666666666667</v>
      </c>
      <c r="D1178" s="129" t="s">
        <v>1756</v>
      </c>
      <c r="E1178" s="129" t="s">
        <v>469</v>
      </c>
      <c r="F1178" s="130">
        <v>150.0</v>
      </c>
      <c r="G1178" s="129"/>
      <c r="H1178" s="44" t="b">
        <v>1</v>
      </c>
    </row>
    <row r="1179" hidden="1" outlineLevel="1">
      <c r="A1179" s="58"/>
      <c r="B1179" s="58"/>
      <c r="C1179" s="10"/>
      <c r="D1179" s="129" t="s">
        <v>183</v>
      </c>
      <c r="E1179" s="129" t="s">
        <v>1758</v>
      </c>
      <c r="F1179" s="130">
        <v>150.0</v>
      </c>
      <c r="G1179" s="129"/>
      <c r="H1179" s="44" t="b">
        <v>1</v>
      </c>
    </row>
    <row r="1180" hidden="1" outlineLevel="1">
      <c r="A1180" s="10"/>
      <c r="B1180" s="10"/>
      <c r="C1180" s="313">
        <v>0.5069444444444444</v>
      </c>
      <c r="D1180" s="129" t="s">
        <v>1849</v>
      </c>
      <c r="E1180" s="129" t="s">
        <v>1758</v>
      </c>
      <c r="F1180" s="130">
        <v>150.0</v>
      </c>
      <c r="G1180" s="129"/>
      <c r="H1180" s="44" t="b">
        <v>1</v>
      </c>
    </row>
    <row r="1181" hidden="1" outlineLevel="1">
      <c r="A1181" s="125">
        <v>45920.0</v>
      </c>
      <c r="B1181" s="126">
        <f t="shared" ref="B1181:B1182" si="383">A1181</f>
        <v>45920</v>
      </c>
      <c r="C1181" s="313">
        <v>0.3333333333333333</v>
      </c>
      <c r="D1181" s="129" t="s">
        <v>1756</v>
      </c>
      <c r="E1181" s="129" t="s">
        <v>1758</v>
      </c>
      <c r="F1181" s="130">
        <v>150.0</v>
      </c>
      <c r="G1181" s="129"/>
      <c r="H1181" s="44" t="b">
        <v>1</v>
      </c>
    </row>
    <row r="1182" hidden="1" outlineLevel="1">
      <c r="A1182" s="102">
        <v>45921.0</v>
      </c>
      <c r="B1182" s="97">
        <f t="shared" si="383"/>
        <v>45921</v>
      </c>
      <c r="C1182" s="313">
        <v>0.3333333333333333</v>
      </c>
      <c r="D1182" s="129" t="s">
        <v>1828</v>
      </c>
      <c r="E1182" s="129" t="s">
        <v>1758</v>
      </c>
      <c r="F1182" s="130">
        <v>200.0</v>
      </c>
      <c r="G1182" s="129"/>
      <c r="H1182" s="44" t="b">
        <v>1</v>
      </c>
    </row>
    <row r="1183" hidden="1" outlineLevel="1">
      <c r="A1183" s="58"/>
      <c r="B1183" s="58"/>
      <c r="C1183" s="313">
        <v>0.4583333333333333</v>
      </c>
      <c r="D1183" s="129" t="s">
        <v>1785</v>
      </c>
      <c r="E1183" s="129" t="s">
        <v>1758</v>
      </c>
      <c r="F1183" s="130">
        <v>200.0</v>
      </c>
      <c r="G1183" s="129"/>
      <c r="H1183" s="44" t="b">
        <v>1</v>
      </c>
    </row>
    <row r="1184" hidden="1" outlineLevel="1">
      <c r="A1184" s="10"/>
      <c r="B1184" s="10"/>
      <c r="C1184" s="313">
        <v>0.7708333333333334</v>
      </c>
      <c r="D1184" s="129" t="s">
        <v>363</v>
      </c>
      <c r="E1184" s="129" t="s">
        <v>1758</v>
      </c>
      <c r="F1184" s="130">
        <v>200.0</v>
      </c>
      <c r="G1184" s="129"/>
      <c r="H1184" s="44" t="b">
        <v>1</v>
      </c>
    </row>
    <row r="1185" hidden="1" outlineLevel="1">
      <c r="A1185" s="102">
        <v>45922.0</v>
      </c>
      <c r="B1185" s="97">
        <f>A1185</f>
        <v>45922</v>
      </c>
      <c r="C1185" s="313">
        <v>0.2916666666666667</v>
      </c>
      <c r="D1185" s="129" t="s">
        <v>1756</v>
      </c>
      <c r="E1185" s="129" t="s">
        <v>1758</v>
      </c>
      <c r="F1185" s="130">
        <v>150.0</v>
      </c>
      <c r="G1185" s="129"/>
      <c r="H1185" s="44" t="b">
        <v>1</v>
      </c>
    </row>
    <row r="1186" hidden="1" outlineLevel="1">
      <c r="A1186" s="10"/>
      <c r="B1186" s="10"/>
      <c r="C1186" s="313">
        <v>0.5069444444444444</v>
      </c>
      <c r="D1186" s="129" t="s">
        <v>1849</v>
      </c>
      <c r="E1186" s="129" t="s">
        <v>1758</v>
      </c>
      <c r="F1186" s="130">
        <v>150.0</v>
      </c>
      <c r="G1186" s="129"/>
      <c r="H1186" s="44" t="b">
        <v>1</v>
      </c>
    </row>
    <row r="1187" hidden="1" outlineLevel="1">
      <c r="A1187" s="102">
        <v>45923.0</v>
      </c>
      <c r="B1187" s="97">
        <f>A1187</f>
        <v>45923</v>
      </c>
      <c r="C1187" s="398">
        <v>0.2916666666666667</v>
      </c>
      <c r="D1187" s="129" t="s">
        <v>1756</v>
      </c>
      <c r="E1187" s="129" t="s">
        <v>469</v>
      </c>
      <c r="F1187" s="130">
        <v>150.0</v>
      </c>
      <c r="G1187" s="129"/>
      <c r="H1187" s="44" t="b">
        <v>1</v>
      </c>
    </row>
    <row r="1188" hidden="1" outlineLevel="1">
      <c r="A1188" s="58"/>
      <c r="B1188" s="58"/>
      <c r="C1188" s="10"/>
      <c r="D1188" s="129" t="s">
        <v>183</v>
      </c>
      <c r="E1188" s="129" t="s">
        <v>1758</v>
      </c>
      <c r="F1188" s="130">
        <v>150.0</v>
      </c>
      <c r="G1188" s="129"/>
      <c r="H1188" s="44" t="b">
        <v>1</v>
      </c>
    </row>
    <row r="1189" hidden="1" outlineLevel="1">
      <c r="A1189" s="10"/>
      <c r="B1189" s="10"/>
      <c r="C1189" s="313">
        <v>0.5069444444444444</v>
      </c>
      <c r="D1189" s="129" t="s">
        <v>1849</v>
      </c>
      <c r="E1189" s="129" t="s">
        <v>1758</v>
      </c>
      <c r="F1189" s="130">
        <v>150.0</v>
      </c>
      <c r="G1189" s="129"/>
      <c r="H1189" s="44" t="b">
        <v>1</v>
      </c>
    </row>
    <row r="1190" hidden="1" outlineLevel="1">
      <c r="A1190" s="102">
        <v>45924.0</v>
      </c>
      <c r="B1190" s="97">
        <f>A1190</f>
        <v>45924</v>
      </c>
      <c r="C1190" s="313">
        <v>0.2916666666666667</v>
      </c>
      <c r="D1190" s="129" t="s">
        <v>1756</v>
      </c>
      <c r="E1190" s="129" t="s">
        <v>1758</v>
      </c>
      <c r="F1190" s="130">
        <v>150.0</v>
      </c>
      <c r="G1190" s="129"/>
      <c r="H1190" s="44" t="b">
        <v>1</v>
      </c>
    </row>
    <row r="1191" hidden="1" outlineLevel="1">
      <c r="A1191" s="10"/>
      <c r="B1191" s="10"/>
      <c r="C1191" s="313">
        <v>0.5069444444444444</v>
      </c>
      <c r="D1191" s="129" t="s">
        <v>1849</v>
      </c>
      <c r="E1191" s="129" t="s">
        <v>1758</v>
      </c>
      <c r="F1191" s="130">
        <v>150.0</v>
      </c>
      <c r="G1191" s="129"/>
      <c r="H1191" s="44" t="b">
        <v>1</v>
      </c>
    </row>
    <row r="1192" hidden="1" outlineLevel="1">
      <c r="A1192" s="102">
        <v>45925.0</v>
      </c>
      <c r="B1192" s="97">
        <f>A1192</f>
        <v>45925</v>
      </c>
      <c r="C1192" s="313">
        <v>0.2916666666666667</v>
      </c>
      <c r="D1192" s="129" t="s">
        <v>1756</v>
      </c>
      <c r="E1192" s="129" t="s">
        <v>1758</v>
      </c>
      <c r="F1192" s="130">
        <v>150.0</v>
      </c>
      <c r="G1192" s="129"/>
      <c r="H1192" s="44" t="b">
        <v>1</v>
      </c>
    </row>
    <row r="1193" hidden="1" outlineLevel="1">
      <c r="A1193" s="10"/>
      <c r="B1193" s="10"/>
      <c r="C1193" s="313">
        <v>0.5069444444444444</v>
      </c>
      <c r="D1193" s="129" t="s">
        <v>562</v>
      </c>
      <c r="E1193" s="129" t="s">
        <v>1758</v>
      </c>
      <c r="F1193" s="130">
        <v>150.0</v>
      </c>
      <c r="G1193" s="129"/>
      <c r="H1193" s="44" t="b">
        <v>1</v>
      </c>
    </row>
    <row r="1194" hidden="1" outlineLevel="1">
      <c r="A1194" s="102">
        <v>45926.0</v>
      </c>
      <c r="B1194" s="97">
        <f>A1194</f>
        <v>45926</v>
      </c>
      <c r="C1194" s="398">
        <v>0.2916666666666667</v>
      </c>
      <c r="D1194" s="129" t="s">
        <v>1756</v>
      </c>
      <c r="E1194" s="129" t="s">
        <v>469</v>
      </c>
      <c r="F1194" s="130">
        <v>150.0</v>
      </c>
      <c r="G1194" s="129"/>
      <c r="H1194" s="44" t="b">
        <v>1</v>
      </c>
    </row>
    <row r="1195" hidden="1" outlineLevel="1">
      <c r="A1195" s="58"/>
      <c r="B1195" s="58"/>
      <c r="C1195" s="10"/>
      <c r="D1195" s="129" t="s">
        <v>183</v>
      </c>
      <c r="E1195" s="129" t="s">
        <v>1758</v>
      </c>
      <c r="F1195" s="130">
        <v>150.0</v>
      </c>
      <c r="G1195" s="129"/>
      <c r="H1195" s="44" t="b">
        <v>1</v>
      </c>
    </row>
    <row r="1196" hidden="1" outlineLevel="1">
      <c r="A1196" s="10"/>
      <c r="B1196" s="10"/>
      <c r="C1196" s="313">
        <v>0.5069444444444444</v>
      </c>
      <c r="D1196" s="129" t="s">
        <v>1849</v>
      </c>
      <c r="E1196" s="129" t="s">
        <v>1758</v>
      </c>
      <c r="F1196" s="130">
        <v>150.0</v>
      </c>
      <c r="G1196" s="129"/>
      <c r="H1196" s="44" t="b">
        <v>1</v>
      </c>
    </row>
    <row r="1197" hidden="1" outlineLevel="1">
      <c r="A1197" s="125">
        <v>45927.0</v>
      </c>
      <c r="B1197" s="126">
        <f t="shared" ref="B1197:B1198" si="384">A1197</f>
        <v>45927</v>
      </c>
      <c r="C1197" s="313">
        <v>0.3333333333333333</v>
      </c>
      <c r="D1197" s="129" t="s">
        <v>1756</v>
      </c>
      <c r="E1197" s="129" t="s">
        <v>1758</v>
      </c>
      <c r="F1197" s="130">
        <v>150.0</v>
      </c>
      <c r="G1197" s="129"/>
      <c r="H1197" s="44" t="b">
        <v>1</v>
      </c>
    </row>
    <row r="1198" hidden="1" outlineLevel="1">
      <c r="A1198" s="102">
        <v>45928.0</v>
      </c>
      <c r="B1198" s="97">
        <f t="shared" si="384"/>
        <v>45928</v>
      </c>
      <c r="C1198" s="313">
        <v>0.3333333333333333</v>
      </c>
      <c r="D1198" s="129" t="s">
        <v>1828</v>
      </c>
      <c r="E1198" s="129" t="s">
        <v>1758</v>
      </c>
      <c r="F1198" s="130">
        <v>200.0</v>
      </c>
      <c r="G1198" s="129"/>
      <c r="H1198" s="44" t="b">
        <v>1</v>
      </c>
    </row>
    <row r="1199" hidden="1" outlineLevel="1">
      <c r="A1199" s="58"/>
      <c r="B1199" s="58"/>
      <c r="C1199" s="313">
        <v>0.4583333333333333</v>
      </c>
      <c r="D1199" s="129" t="s">
        <v>562</v>
      </c>
      <c r="E1199" s="129" t="s">
        <v>1758</v>
      </c>
      <c r="F1199" s="130">
        <v>200.0</v>
      </c>
      <c r="G1199" s="129"/>
      <c r="H1199" s="44" t="b">
        <v>1</v>
      </c>
    </row>
    <row r="1200" hidden="1" outlineLevel="1">
      <c r="A1200" s="10"/>
      <c r="B1200" s="10"/>
      <c r="C1200" s="313">
        <v>0.7708333333333334</v>
      </c>
      <c r="D1200" s="129" t="s">
        <v>363</v>
      </c>
      <c r="E1200" s="129" t="s">
        <v>1758</v>
      </c>
      <c r="F1200" s="130">
        <v>200.0</v>
      </c>
      <c r="G1200" s="129"/>
      <c r="H1200" s="44" t="b">
        <v>1</v>
      </c>
    </row>
    <row r="1201" hidden="1" outlineLevel="1">
      <c r="A1201" s="102">
        <v>45929.0</v>
      </c>
      <c r="B1201" s="97">
        <f>A1201</f>
        <v>45929</v>
      </c>
      <c r="C1201" s="313">
        <v>0.2916666666666667</v>
      </c>
      <c r="D1201" s="129" t="s">
        <v>1756</v>
      </c>
      <c r="E1201" s="129" t="s">
        <v>1758</v>
      </c>
      <c r="F1201" s="130">
        <v>150.0</v>
      </c>
      <c r="G1201" s="129"/>
      <c r="H1201" s="44" t="b">
        <v>1</v>
      </c>
    </row>
    <row r="1202" hidden="1" outlineLevel="1">
      <c r="A1202" s="10"/>
      <c r="B1202" s="10"/>
      <c r="C1202" s="313">
        <v>0.5069444444444444</v>
      </c>
      <c r="D1202" s="129" t="s">
        <v>1849</v>
      </c>
      <c r="E1202" s="129" t="s">
        <v>1758</v>
      </c>
      <c r="F1202" s="130">
        <v>150.0</v>
      </c>
      <c r="G1202" s="129"/>
      <c r="H1202" s="44" t="b">
        <v>1</v>
      </c>
    </row>
    <row r="1203" hidden="1" outlineLevel="1">
      <c r="A1203" s="102">
        <v>45930.0</v>
      </c>
      <c r="B1203" s="97">
        <f>A1203</f>
        <v>45930</v>
      </c>
      <c r="C1203" s="398">
        <v>0.2916666666666667</v>
      </c>
      <c r="D1203" s="129" t="s">
        <v>1756</v>
      </c>
      <c r="E1203" s="129" t="s">
        <v>469</v>
      </c>
      <c r="F1203" s="130">
        <v>150.0</v>
      </c>
      <c r="G1203" s="129"/>
      <c r="H1203" s="44" t="b">
        <v>1</v>
      </c>
    </row>
    <row r="1204" hidden="1" outlineLevel="1">
      <c r="A1204" s="58"/>
      <c r="B1204" s="58"/>
      <c r="C1204" s="10"/>
      <c r="D1204" s="129" t="s">
        <v>183</v>
      </c>
      <c r="E1204" s="129" t="s">
        <v>1758</v>
      </c>
      <c r="F1204" s="130">
        <v>150.0</v>
      </c>
      <c r="G1204" s="129"/>
      <c r="H1204" s="44" t="b">
        <v>1</v>
      </c>
    </row>
    <row r="1205" hidden="1" outlineLevel="1">
      <c r="A1205" s="10"/>
      <c r="B1205" s="10"/>
      <c r="C1205" s="313">
        <v>0.5069444444444444</v>
      </c>
      <c r="D1205" s="129" t="s">
        <v>1849</v>
      </c>
      <c r="E1205" s="129" t="s">
        <v>1758</v>
      </c>
      <c r="F1205" s="130">
        <v>150.0</v>
      </c>
      <c r="G1205" s="129"/>
      <c r="H1205" s="44" t="b">
        <v>1</v>
      </c>
    </row>
    <row r="1206">
      <c r="A1206" s="484" t="s">
        <v>195</v>
      </c>
      <c r="B1206" s="27"/>
      <c r="C1206" s="27"/>
      <c r="D1206" s="27"/>
      <c r="E1206" s="28"/>
      <c r="F1206" s="485">
        <f>SUM(F1137:F1205)</f>
        <v>10950</v>
      </c>
      <c r="G1206" s="486"/>
      <c r="H1206" s="28"/>
    </row>
    <row r="1207" collapsed="1">
      <c r="A1207" s="339" t="s">
        <v>1260</v>
      </c>
      <c r="B1207" s="246"/>
      <c r="C1207" s="246"/>
      <c r="D1207" s="246"/>
      <c r="E1207" s="246"/>
      <c r="F1207" s="246"/>
      <c r="G1207" s="246"/>
      <c r="H1207" s="247"/>
    </row>
    <row r="1208" hidden="1" outlineLevel="1">
      <c r="A1208" s="102">
        <v>45931.0</v>
      </c>
      <c r="B1208" s="97">
        <f>A1208</f>
        <v>45931</v>
      </c>
      <c r="C1208" s="313">
        <v>0.2916666666666667</v>
      </c>
      <c r="D1208" s="129" t="s">
        <v>1756</v>
      </c>
      <c r="E1208" s="129" t="s">
        <v>1758</v>
      </c>
      <c r="F1208" s="130">
        <v>150.0</v>
      </c>
      <c r="G1208" s="129"/>
      <c r="H1208" s="44" t="b">
        <v>1</v>
      </c>
      <c r="K1208" s="440" t="s">
        <v>2074</v>
      </c>
      <c r="L1208" s="27"/>
      <c r="M1208" s="27"/>
      <c r="N1208" s="27"/>
      <c r="O1208" s="27"/>
      <c r="P1208" s="27"/>
      <c r="Q1208" s="28"/>
    </row>
    <row r="1209" hidden="1" outlineLevel="1">
      <c r="A1209" s="58"/>
      <c r="B1209" s="58"/>
      <c r="C1209" s="313">
        <v>0.5069444444444444</v>
      </c>
      <c r="D1209" s="129" t="s">
        <v>1849</v>
      </c>
      <c r="E1209" s="129" t="s">
        <v>1758</v>
      </c>
      <c r="F1209" s="130">
        <v>150.0</v>
      </c>
      <c r="G1209" s="129"/>
      <c r="H1209" s="44" t="b">
        <v>1</v>
      </c>
      <c r="K1209" s="441" t="s">
        <v>1749</v>
      </c>
      <c r="L1209" s="441" t="s">
        <v>1758</v>
      </c>
      <c r="M1209" s="441" t="s">
        <v>469</v>
      </c>
      <c r="N1209" s="441" t="s">
        <v>195</v>
      </c>
      <c r="O1209" s="441" t="s">
        <v>1764</v>
      </c>
      <c r="P1209" s="441" t="s">
        <v>1765</v>
      </c>
      <c r="Q1209" s="441" t="s">
        <v>1766</v>
      </c>
    </row>
    <row r="1210" hidden="1" outlineLevel="1">
      <c r="A1210" s="10"/>
      <c r="B1210" s="10"/>
      <c r="C1210" s="313">
        <v>0.7916666666666666</v>
      </c>
      <c r="D1210" s="129" t="s">
        <v>1785</v>
      </c>
      <c r="E1210" s="129" t="s">
        <v>1758</v>
      </c>
      <c r="F1210" s="130">
        <v>150.0</v>
      </c>
      <c r="G1210" s="129" t="s">
        <v>2075</v>
      </c>
      <c r="H1210" s="44" t="b">
        <v>1</v>
      </c>
      <c r="K1210" s="91" t="s">
        <v>1756</v>
      </c>
      <c r="L1210" s="90">
        <f t="shared" ref="L1210:L1224" si="385">COUNTIFS($D$1208:$D$1282, $K1210,$E$1208:$E$1282,$L$1209)</f>
        <v>17</v>
      </c>
      <c r="M1210" s="90">
        <f t="shared" ref="M1210:M1224" si="386">COUNTIFS($D$1208:$D$1282, $K1210,$E$1208:$E$1282,$M$1209)</f>
        <v>9</v>
      </c>
      <c r="N1210" s="90">
        <f t="shared" ref="N1210:N1224" si="387">L1210+M1210</f>
        <v>26</v>
      </c>
      <c r="O1210" s="92">
        <f t="shared" ref="O1210:O1224" si="388">SUMIFS($F$1208:$F$1282,$D$1208:$D$1282,$K1210)</f>
        <v>3900</v>
      </c>
      <c r="P1210" s="92">
        <f t="shared" ref="P1210:P1224" si="389">SUMIFS($F$1208:$F$1282,$D$1208:$D$1282,$K1210,$H$1208:$H$1282,TRUE())</f>
        <v>3900</v>
      </c>
      <c r="Q1210" s="92">
        <f t="shared" ref="Q1210:Q1224" si="390">O1210-P1210</f>
        <v>0</v>
      </c>
    </row>
    <row r="1211" hidden="1" outlineLevel="1">
      <c r="A1211" s="102">
        <v>45932.0</v>
      </c>
      <c r="B1211" s="97">
        <f>A1211</f>
        <v>45932</v>
      </c>
      <c r="C1211" s="313">
        <v>0.2916666666666667</v>
      </c>
      <c r="D1211" s="129" t="s">
        <v>1756</v>
      </c>
      <c r="E1211" s="129" t="s">
        <v>1758</v>
      </c>
      <c r="F1211" s="130">
        <v>150.0</v>
      </c>
      <c r="G1211" s="129"/>
      <c r="H1211" s="44" t="b">
        <v>1</v>
      </c>
      <c r="K1211" s="91" t="s">
        <v>1798</v>
      </c>
      <c r="L1211" s="90">
        <f t="shared" si="385"/>
        <v>0</v>
      </c>
      <c r="M1211" s="90">
        <f t="shared" si="386"/>
        <v>0</v>
      </c>
      <c r="N1211" s="90">
        <f t="shared" si="387"/>
        <v>0</v>
      </c>
      <c r="O1211" s="92">
        <f t="shared" si="388"/>
        <v>0</v>
      </c>
      <c r="P1211" s="92">
        <f t="shared" si="389"/>
        <v>0</v>
      </c>
      <c r="Q1211" s="92">
        <f t="shared" si="390"/>
        <v>0</v>
      </c>
    </row>
    <row r="1212" hidden="1" outlineLevel="1">
      <c r="A1212" s="10"/>
      <c r="B1212" s="10"/>
      <c r="C1212" s="313">
        <v>0.5069444444444444</v>
      </c>
      <c r="D1212" s="129" t="s">
        <v>562</v>
      </c>
      <c r="E1212" s="129" t="s">
        <v>1758</v>
      </c>
      <c r="F1212" s="130">
        <v>150.0</v>
      </c>
      <c r="G1212" s="129"/>
      <c r="H1212" s="44" t="b">
        <v>1</v>
      </c>
      <c r="K1212" s="91" t="s">
        <v>1805</v>
      </c>
      <c r="L1212" s="90">
        <f t="shared" si="385"/>
        <v>1</v>
      </c>
      <c r="M1212" s="90">
        <f t="shared" si="386"/>
        <v>0</v>
      </c>
      <c r="N1212" s="90">
        <f t="shared" si="387"/>
        <v>1</v>
      </c>
      <c r="O1212" s="92">
        <f t="shared" si="388"/>
        <v>150</v>
      </c>
      <c r="P1212" s="92">
        <f t="shared" si="389"/>
        <v>150</v>
      </c>
      <c r="Q1212" s="92">
        <f t="shared" si="390"/>
        <v>0</v>
      </c>
    </row>
    <row r="1213" hidden="1" outlineLevel="1">
      <c r="A1213" s="102">
        <v>45933.0</v>
      </c>
      <c r="B1213" s="97">
        <f>A1213</f>
        <v>45933</v>
      </c>
      <c r="C1213" s="398">
        <v>0.2916666666666667</v>
      </c>
      <c r="D1213" s="129" t="s">
        <v>1756</v>
      </c>
      <c r="E1213" s="129" t="s">
        <v>469</v>
      </c>
      <c r="F1213" s="130">
        <v>150.0</v>
      </c>
      <c r="G1213" s="129"/>
      <c r="H1213" s="44" t="b">
        <v>1</v>
      </c>
      <c r="K1213" s="91" t="s">
        <v>183</v>
      </c>
      <c r="L1213" s="90">
        <f t="shared" si="385"/>
        <v>9</v>
      </c>
      <c r="M1213" s="90">
        <f t="shared" si="386"/>
        <v>0</v>
      </c>
      <c r="N1213" s="90">
        <f t="shared" si="387"/>
        <v>9</v>
      </c>
      <c r="O1213" s="92">
        <f t="shared" si="388"/>
        <v>1350</v>
      </c>
      <c r="P1213" s="92">
        <f t="shared" si="389"/>
        <v>1350</v>
      </c>
      <c r="Q1213" s="92">
        <f t="shared" si="390"/>
        <v>0</v>
      </c>
    </row>
    <row r="1214" hidden="1" outlineLevel="1">
      <c r="A1214" s="58"/>
      <c r="B1214" s="58"/>
      <c r="C1214" s="10"/>
      <c r="D1214" s="129" t="s">
        <v>183</v>
      </c>
      <c r="E1214" s="129" t="s">
        <v>1758</v>
      </c>
      <c r="F1214" s="130">
        <v>150.0</v>
      </c>
      <c r="G1214" s="129"/>
      <c r="H1214" s="44" t="b">
        <v>1</v>
      </c>
      <c r="K1214" s="91" t="s">
        <v>363</v>
      </c>
      <c r="L1214" s="90">
        <f t="shared" si="385"/>
        <v>1</v>
      </c>
      <c r="M1214" s="90">
        <f t="shared" si="386"/>
        <v>0</v>
      </c>
      <c r="N1214" s="90">
        <f t="shared" si="387"/>
        <v>1</v>
      </c>
      <c r="O1214" s="92">
        <f t="shared" si="388"/>
        <v>200</v>
      </c>
      <c r="P1214" s="92">
        <f t="shared" si="389"/>
        <v>200</v>
      </c>
      <c r="Q1214" s="92">
        <f t="shared" si="390"/>
        <v>0</v>
      </c>
    </row>
    <row r="1215" hidden="1" outlineLevel="1">
      <c r="A1215" s="10"/>
      <c r="B1215" s="10"/>
      <c r="C1215" s="313">
        <v>0.5069444444444444</v>
      </c>
      <c r="D1215" s="129" t="s">
        <v>1849</v>
      </c>
      <c r="E1215" s="129" t="s">
        <v>1758</v>
      </c>
      <c r="F1215" s="130">
        <v>150.0</v>
      </c>
      <c r="G1215" s="129"/>
      <c r="H1215" s="44" t="b">
        <v>1</v>
      </c>
      <c r="K1215" s="91" t="s">
        <v>1785</v>
      </c>
      <c r="L1215" s="90">
        <f t="shared" si="385"/>
        <v>3</v>
      </c>
      <c r="M1215" s="90">
        <f t="shared" si="386"/>
        <v>0</v>
      </c>
      <c r="N1215" s="90">
        <f t="shared" si="387"/>
        <v>3</v>
      </c>
      <c r="O1215" s="92">
        <f t="shared" si="388"/>
        <v>550</v>
      </c>
      <c r="P1215" s="92">
        <f t="shared" si="389"/>
        <v>550</v>
      </c>
      <c r="Q1215" s="92">
        <f t="shared" si="390"/>
        <v>0</v>
      </c>
    </row>
    <row r="1216" hidden="1" outlineLevel="1">
      <c r="A1216" s="125">
        <v>45934.0</v>
      </c>
      <c r="B1216" s="126">
        <f t="shared" ref="B1216:B1217" si="391">A1216</f>
        <v>45934</v>
      </c>
      <c r="C1216" s="313">
        <v>0.3333333333333333</v>
      </c>
      <c r="D1216" s="129" t="s">
        <v>1849</v>
      </c>
      <c r="E1216" s="129" t="s">
        <v>1758</v>
      </c>
      <c r="F1216" s="130">
        <v>150.0</v>
      </c>
      <c r="G1216" s="129"/>
      <c r="H1216" s="44" t="b">
        <v>1</v>
      </c>
      <c r="K1216" s="91" t="s">
        <v>1842</v>
      </c>
      <c r="L1216" s="90">
        <f t="shared" si="385"/>
        <v>0</v>
      </c>
      <c r="M1216" s="90">
        <f t="shared" si="386"/>
        <v>0</v>
      </c>
      <c r="N1216" s="90">
        <f t="shared" si="387"/>
        <v>0</v>
      </c>
      <c r="O1216" s="92">
        <f t="shared" si="388"/>
        <v>0</v>
      </c>
      <c r="P1216" s="92">
        <f t="shared" si="389"/>
        <v>0</v>
      </c>
      <c r="Q1216" s="92">
        <f t="shared" si="390"/>
        <v>0</v>
      </c>
    </row>
    <row r="1217" hidden="1" outlineLevel="1">
      <c r="A1217" s="102">
        <v>45935.0</v>
      </c>
      <c r="B1217" s="97">
        <f t="shared" si="391"/>
        <v>45935</v>
      </c>
      <c r="C1217" s="313">
        <v>0.3333333333333333</v>
      </c>
      <c r="D1217" s="129" t="s">
        <v>1785</v>
      </c>
      <c r="E1217" s="129" t="s">
        <v>1758</v>
      </c>
      <c r="F1217" s="130">
        <v>200.0</v>
      </c>
      <c r="G1217" s="129"/>
      <c r="H1217" s="44" t="b">
        <v>1</v>
      </c>
      <c r="K1217" s="91" t="s">
        <v>562</v>
      </c>
      <c r="L1217" s="90">
        <f t="shared" si="385"/>
        <v>7</v>
      </c>
      <c r="M1217" s="90">
        <f t="shared" si="386"/>
        <v>0</v>
      </c>
      <c r="N1217" s="90">
        <f t="shared" si="387"/>
        <v>7</v>
      </c>
      <c r="O1217" s="92">
        <f t="shared" si="388"/>
        <v>1150</v>
      </c>
      <c r="P1217" s="92">
        <f t="shared" si="389"/>
        <v>1150</v>
      </c>
      <c r="Q1217" s="92">
        <f t="shared" si="390"/>
        <v>0</v>
      </c>
    </row>
    <row r="1218" hidden="1" outlineLevel="1">
      <c r="A1218" s="58"/>
      <c r="B1218" s="58"/>
      <c r="C1218" s="313">
        <v>0.4583333333333333</v>
      </c>
      <c r="D1218" s="129" t="s">
        <v>1849</v>
      </c>
      <c r="E1218" s="129" t="s">
        <v>1758</v>
      </c>
      <c r="F1218" s="130">
        <v>200.0</v>
      </c>
      <c r="G1218" s="129"/>
      <c r="H1218" s="44" t="b">
        <v>1</v>
      </c>
      <c r="K1218" s="91" t="s">
        <v>1828</v>
      </c>
      <c r="L1218" s="90">
        <f t="shared" si="385"/>
        <v>1</v>
      </c>
      <c r="M1218" s="90">
        <f t="shared" si="386"/>
        <v>0</v>
      </c>
      <c r="N1218" s="90">
        <f t="shared" si="387"/>
        <v>1</v>
      </c>
      <c r="O1218" s="92">
        <f t="shared" si="388"/>
        <v>200</v>
      </c>
      <c r="P1218" s="92">
        <f t="shared" si="389"/>
        <v>200</v>
      </c>
      <c r="Q1218" s="92">
        <f t="shared" si="390"/>
        <v>0</v>
      </c>
    </row>
    <row r="1219" hidden="1" outlineLevel="1">
      <c r="A1219" s="10"/>
      <c r="B1219" s="10"/>
      <c r="C1219" s="313">
        <v>0.7708333333333334</v>
      </c>
      <c r="D1219" s="129" t="s">
        <v>363</v>
      </c>
      <c r="E1219" s="129" t="s">
        <v>1758</v>
      </c>
      <c r="F1219" s="130">
        <v>200.0</v>
      </c>
      <c r="G1219" s="129"/>
      <c r="H1219" s="44" t="b">
        <v>1</v>
      </c>
      <c r="K1219" s="91" t="s">
        <v>1845</v>
      </c>
      <c r="L1219" s="90">
        <f t="shared" si="385"/>
        <v>1</v>
      </c>
      <c r="M1219" s="90">
        <f t="shared" si="386"/>
        <v>0</v>
      </c>
      <c r="N1219" s="90">
        <f t="shared" si="387"/>
        <v>1</v>
      </c>
      <c r="O1219" s="92">
        <f t="shared" si="388"/>
        <v>200</v>
      </c>
      <c r="P1219" s="92">
        <f t="shared" si="389"/>
        <v>200</v>
      </c>
      <c r="Q1219" s="92">
        <f t="shared" si="390"/>
        <v>0</v>
      </c>
    </row>
    <row r="1220" hidden="1" outlineLevel="1">
      <c r="A1220" s="102">
        <v>45936.0</v>
      </c>
      <c r="B1220" s="97">
        <f>A1220</f>
        <v>45936</v>
      </c>
      <c r="C1220" s="313">
        <v>0.2916666666666667</v>
      </c>
      <c r="D1220" s="129" t="s">
        <v>1756</v>
      </c>
      <c r="E1220" s="129" t="s">
        <v>1758</v>
      </c>
      <c r="F1220" s="130">
        <v>150.0</v>
      </c>
      <c r="G1220" s="129"/>
      <c r="H1220" s="44" t="b">
        <v>1</v>
      </c>
      <c r="K1220" s="91" t="s">
        <v>1849</v>
      </c>
      <c r="L1220" s="90">
        <f t="shared" si="385"/>
        <v>21</v>
      </c>
      <c r="M1220" s="90">
        <f t="shared" si="386"/>
        <v>0</v>
      </c>
      <c r="N1220" s="90">
        <f t="shared" si="387"/>
        <v>21</v>
      </c>
      <c r="O1220" s="92">
        <f t="shared" si="388"/>
        <v>3200</v>
      </c>
      <c r="P1220" s="92">
        <f t="shared" si="389"/>
        <v>3200</v>
      </c>
      <c r="Q1220" s="92">
        <f t="shared" si="390"/>
        <v>0</v>
      </c>
    </row>
    <row r="1221" hidden="1" outlineLevel="1">
      <c r="A1221" s="58"/>
      <c r="B1221" s="58"/>
      <c r="C1221" s="313">
        <v>0.5069444444444444</v>
      </c>
      <c r="D1221" s="129" t="s">
        <v>1849</v>
      </c>
      <c r="E1221" s="129" t="s">
        <v>1758</v>
      </c>
      <c r="F1221" s="130">
        <v>150.0</v>
      </c>
      <c r="G1221" s="129"/>
      <c r="H1221" s="44" t="b">
        <v>1</v>
      </c>
      <c r="K1221" s="91" t="s">
        <v>1838</v>
      </c>
      <c r="L1221" s="90">
        <f t="shared" si="385"/>
        <v>2</v>
      </c>
      <c r="M1221" s="90">
        <f t="shared" si="386"/>
        <v>0</v>
      </c>
      <c r="N1221" s="90">
        <f t="shared" si="387"/>
        <v>2</v>
      </c>
      <c r="O1221" s="92">
        <f t="shared" si="388"/>
        <v>400</v>
      </c>
      <c r="P1221" s="92">
        <f t="shared" si="389"/>
        <v>400</v>
      </c>
      <c r="Q1221" s="92">
        <f t="shared" si="390"/>
        <v>0</v>
      </c>
    </row>
    <row r="1222" hidden="1" outlineLevel="1">
      <c r="A1222" s="10"/>
      <c r="B1222" s="10"/>
      <c r="C1222" s="313">
        <v>0.7916666666666666</v>
      </c>
      <c r="D1222" s="129" t="s">
        <v>1761</v>
      </c>
      <c r="E1222" s="129" t="s">
        <v>1758</v>
      </c>
      <c r="F1222" s="130">
        <v>150.0</v>
      </c>
      <c r="G1222" s="129"/>
      <c r="H1222" s="44" t="b">
        <v>1</v>
      </c>
      <c r="K1222" s="91" t="s">
        <v>1761</v>
      </c>
      <c r="L1222" s="90">
        <f t="shared" si="385"/>
        <v>1</v>
      </c>
      <c r="M1222" s="90">
        <f t="shared" si="386"/>
        <v>0</v>
      </c>
      <c r="N1222" s="90">
        <f t="shared" si="387"/>
        <v>1</v>
      </c>
      <c r="O1222" s="92">
        <f t="shared" si="388"/>
        <v>150</v>
      </c>
      <c r="P1222" s="92">
        <f t="shared" si="389"/>
        <v>150</v>
      </c>
      <c r="Q1222" s="92">
        <f t="shared" si="390"/>
        <v>0</v>
      </c>
    </row>
    <row r="1223" hidden="1" outlineLevel="1">
      <c r="A1223" s="102">
        <v>45937.0</v>
      </c>
      <c r="B1223" s="97">
        <f>A1223</f>
        <v>45937</v>
      </c>
      <c r="C1223" s="398">
        <v>0.2916666666666667</v>
      </c>
      <c r="D1223" s="129" t="s">
        <v>1756</v>
      </c>
      <c r="E1223" s="129" t="s">
        <v>469</v>
      </c>
      <c r="F1223" s="130">
        <v>150.0</v>
      </c>
      <c r="G1223" s="129"/>
      <c r="H1223" s="44" t="b">
        <v>1</v>
      </c>
      <c r="K1223" s="91" t="s">
        <v>1844</v>
      </c>
      <c r="L1223" s="90">
        <f t="shared" si="385"/>
        <v>1</v>
      </c>
      <c r="M1223" s="90">
        <f t="shared" si="386"/>
        <v>0</v>
      </c>
      <c r="N1223" s="90">
        <f t="shared" si="387"/>
        <v>1</v>
      </c>
      <c r="O1223" s="92">
        <f t="shared" si="388"/>
        <v>200</v>
      </c>
      <c r="P1223" s="92">
        <f t="shared" si="389"/>
        <v>200</v>
      </c>
      <c r="Q1223" s="92">
        <f t="shared" si="390"/>
        <v>0</v>
      </c>
    </row>
    <row r="1224" hidden="1" outlineLevel="1">
      <c r="A1224" s="58"/>
      <c r="B1224" s="58"/>
      <c r="C1224" s="10"/>
      <c r="D1224" s="129" t="s">
        <v>183</v>
      </c>
      <c r="E1224" s="129" t="s">
        <v>1758</v>
      </c>
      <c r="F1224" s="130">
        <v>150.0</v>
      </c>
      <c r="G1224" s="129"/>
      <c r="H1224" s="44" t="b">
        <v>1</v>
      </c>
      <c r="K1224" s="91" t="s">
        <v>1830</v>
      </c>
      <c r="L1224" s="90">
        <f t="shared" si="385"/>
        <v>1</v>
      </c>
      <c r="M1224" s="90">
        <f t="shared" si="386"/>
        <v>0</v>
      </c>
      <c r="N1224" s="90">
        <f t="shared" si="387"/>
        <v>1</v>
      </c>
      <c r="O1224" s="92">
        <f t="shared" si="388"/>
        <v>0</v>
      </c>
      <c r="P1224" s="92">
        <f t="shared" si="389"/>
        <v>0</v>
      </c>
      <c r="Q1224" s="92">
        <f t="shared" si="390"/>
        <v>0</v>
      </c>
    </row>
    <row r="1225" hidden="1" outlineLevel="1">
      <c r="A1225" s="10"/>
      <c r="B1225" s="10"/>
      <c r="C1225" s="313">
        <v>0.5069444444444444</v>
      </c>
      <c r="D1225" s="129" t="s">
        <v>1849</v>
      </c>
      <c r="E1225" s="129" t="s">
        <v>1758</v>
      </c>
      <c r="F1225" s="130">
        <v>150.0</v>
      </c>
      <c r="G1225" s="129"/>
      <c r="H1225" s="44" t="b">
        <v>1</v>
      </c>
      <c r="K1225" s="276"/>
      <c r="L1225" s="90"/>
      <c r="M1225" s="276"/>
      <c r="N1225" s="276"/>
      <c r="O1225" s="276"/>
      <c r="P1225" s="276"/>
      <c r="Q1225" s="276"/>
    </row>
    <row r="1226" hidden="1" outlineLevel="1">
      <c r="A1226" s="102">
        <v>45938.0</v>
      </c>
      <c r="B1226" s="97">
        <f>A1226</f>
        <v>45938</v>
      </c>
      <c r="C1226" s="313">
        <v>0.2916666666666667</v>
      </c>
      <c r="D1226" s="129" t="s">
        <v>1756</v>
      </c>
      <c r="E1226" s="129" t="s">
        <v>1758</v>
      </c>
      <c r="F1226" s="130">
        <v>150.0</v>
      </c>
      <c r="G1226" s="129"/>
      <c r="H1226" s="44" t="b">
        <v>1</v>
      </c>
      <c r="K1226" s="276"/>
      <c r="L1226" s="90"/>
      <c r="M1226" s="276"/>
      <c r="N1226" s="276"/>
      <c r="O1226" s="276"/>
      <c r="P1226" s="276"/>
      <c r="Q1226" s="276"/>
    </row>
    <row r="1227" hidden="1" outlineLevel="1">
      <c r="A1227" s="10"/>
      <c r="B1227" s="10"/>
      <c r="C1227" s="313">
        <v>0.5069444444444444</v>
      </c>
      <c r="D1227" s="129" t="s">
        <v>1849</v>
      </c>
      <c r="E1227" s="129" t="s">
        <v>1758</v>
      </c>
      <c r="F1227" s="130">
        <v>150.0</v>
      </c>
      <c r="G1227" s="129"/>
      <c r="H1227" s="44" t="b">
        <v>1</v>
      </c>
      <c r="K1227" s="91"/>
      <c r="L1227" s="90"/>
      <c r="M1227" s="90"/>
      <c r="N1227" s="90"/>
      <c r="O1227" s="92"/>
      <c r="P1227" s="92"/>
      <c r="Q1227" s="90"/>
    </row>
    <row r="1228" hidden="1" outlineLevel="1">
      <c r="A1228" s="102">
        <v>45939.0</v>
      </c>
      <c r="B1228" s="97">
        <f>A1228</f>
        <v>45939</v>
      </c>
      <c r="C1228" s="313">
        <v>0.2916666666666667</v>
      </c>
      <c r="D1228" s="129" t="s">
        <v>1756</v>
      </c>
      <c r="E1228" s="129" t="s">
        <v>1758</v>
      </c>
      <c r="F1228" s="130">
        <v>150.0</v>
      </c>
      <c r="G1228" s="129"/>
      <c r="H1228" s="44" t="b">
        <v>1</v>
      </c>
      <c r="K1228" s="477" t="s">
        <v>195</v>
      </c>
      <c r="L1228" s="478">
        <f t="shared" ref="L1228:Q1228" si="392">SUM(L1210:L1227)</f>
        <v>66</v>
      </c>
      <c r="M1228" s="478">
        <f t="shared" si="392"/>
        <v>9</v>
      </c>
      <c r="N1228" s="478">
        <f t="shared" si="392"/>
        <v>75</v>
      </c>
      <c r="O1228" s="479">
        <f t="shared" si="392"/>
        <v>11650</v>
      </c>
      <c r="P1228" s="479">
        <f t="shared" si="392"/>
        <v>11650</v>
      </c>
      <c r="Q1228" s="479">
        <f t="shared" si="392"/>
        <v>0</v>
      </c>
    </row>
    <row r="1229" hidden="1" outlineLevel="1">
      <c r="A1229" s="10"/>
      <c r="B1229" s="10"/>
      <c r="C1229" s="313">
        <v>0.5069444444444444</v>
      </c>
      <c r="D1229" s="129" t="s">
        <v>562</v>
      </c>
      <c r="E1229" s="129" t="s">
        <v>1758</v>
      </c>
      <c r="F1229" s="130">
        <v>150.0</v>
      </c>
      <c r="G1229" s="129"/>
      <c r="H1229" s="44" t="b">
        <v>1</v>
      </c>
    </row>
    <row r="1230" hidden="1" outlineLevel="1">
      <c r="A1230" s="102">
        <v>45940.0</v>
      </c>
      <c r="B1230" s="97">
        <f>A1230</f>
        <v>45940</v>
      </c>
      <c r="C1230" s="398">
        <v>0.2916666666666667</v>
      </c>
      <c r="D1230" s="129" t="s">
        <v>1756</v>
      </c>
      <c r="E1230" s="129" t="s">
        <v>469</v>
      </c>
      <c r="F1230" s="130">
        <v>150.0</v>
      </c>
      <c r="G1230" s="129"/>
      <c r="H1230" s="44" t="b">
        <v>1</v>
      </c>
    </row>
    <row r="1231" hidden="1" outlineLevel="1">
      <c r="A1231" s="58"/>
      <c r="B1231" s="58"/>
      <c r="C1231" s="10"/>
      <c r="D1231" s="129" t="s">
        <v>183</v>
      </c>
      <c r="E1231" s="129" t="s">
        <v>1758</v>
      </c>
      <c r="F1231" s="130">
        <v>150.0</v>
      </c>
      <c r="G1231" s="129"/>
      <c r="H1231" s="44" t="b">
        <v>1</v>
      </c>
    </row>
    <row r="1232" hidden="1" outlineLevel="1">
      <c r="A1232" s="10"/>
      <c r="B1232" s="10"/>
      <c r="C1232" s="313">
        <v>0.5069444444444444</v>
      </c>
      <c r="D1232" s="129" t="s">
        <v>1849</v>
      </c>
      <c r="E1232" s="129" t="s">
        <v>1758</v>
      </c>
      <c r="F1232" s="130">
        <v>150.0</v>
      </c>
      <c r="G1232" s="129"/>
      <c r="H1232" s="44" t="b">
        <v>1</v>
      </c>
    </row>
    <row r="1233" hidden="1" outlineLevel="1">
      <c r="A1233" s="125">
        <v>45941.0</v>
      </c>
      <c r="B1233" s="126">
        <f t="shared" ref="B1233:B1234" si="393">A1233</f>
        <v>45941</v>
      </c>
      <c r="C1233" s="313">
        <v>0.3333333333333333</v>
      </c>
      <c r="D1233" s="129" t="s">
        <v>1756</v>
      </c>
      <c r="E1233" s="129" t="s">
        <v>1758</v>
      </c>
      <c r="F1233" s="130">
        <v>150.0</v>
      </c>
      <c r="G1233" s="129"/>
      <c r="H1233" s="44" t="b">
        <v>1</v>
      </c>
    </row>
    <row r="1234" hidden="1" outlineLevel="1">
      <c r="A1234" s="102">
        <v>45942.0</v>
      </c>
      <c r="B1234" s="97">
        <f t="shared" si="393"/>
        <v>45942</v>
      </c>
      <c r="C1234" s="313">
        <v>0.3333333333333333</v>
      </c>
      <c r="D1234" s="129" t="s">
        <v>1828</v>
      </c>
      <c r="E1234" s="129" t="s">
        <v>1758</v>
      </c>
      <c r="F1234" s="130">
        <v>200.0</v>
      </c>
      <c r="G1234" s="129"/>
      <c r="H1234" s="44" t="b">
        <v>1</v>
      </c>
    </row>
    <row r="1235" hidden="1" outlineLevel="1">
      <c r="A1235" s="58"/>
      <c r="B1235" s="58"/>
      <c r="C1235" s="313">
        <v>0.4583333333333333</v>
      </c>
      <c r="D1235" s="129" t="s">
        <v>562</v>
      </c>
      <c r="E1235" s="129" t="s">
        <v>1758</v>
      </c>
      <c r="F1235" s="130">
        <v>200.0</v>
      </c>
      <c r="G1235" s="129"/>
      <c r="H1235" s="44" t="b">
        <v>1</v>
      </c>
    </row>
    <row r="1236" hidden="1" outlineLevel="1">
      <c r="A1236" s="10"/>
      <c r="B1236" s="10"/>
      <c r="C1236" s="313">
        <v>0.7708333333333334</v>
      </c>
      <c r="D1236" s="129" t="s">
        <v>1845</v>
      </c>
      <c r="E1236" s="129" t="s">
        <v>1758</v>
      </c>
      <c r="F1236" s="130">
        <v>200.0</v>
      </c>
      <c r="G1236" s="129"/>
      <c r="H1236" s="44" t="b">
        <v>1</v>
      </c>
    </row>
    <row r="1237" hidden="1" outlineLevel="1">
      <c r="A1237" s="102">
        <v>45943.0</v>
      </c>
      <c r="B1237" s="97">
        <f>A1237</f>
        <v>45943</v>
      </c>
      <c r="C1237" s="313">
        <v>0.2916666666666667</v>
      </c>
      <c r="D1237" s="129" t="s">
        <v>1756</v>
      </c>
      <c r="E1237" s="129" t="s">
        <v>1758</v>
      </c>
      <c r="F1237" s="130">
        <v>150.0</v>
      </c>
      <c r="G1237" s="129"/>
      <c r="H1237" s="44" t="b">
        <v>1</v>
      </c>
    </row>
    <row r="1238" hidden="1" outlineLevel="1">
      <c r="A1238" s="58"/>
      <c r="B1238" s="58"/>
      <c r="C1238" s="313">
        <v>0.5069444444444444</v>
      </c>
      <c r="D1238" s="129" t="s">
        <v>1849</v>
      </c>
      <c r="E1238" s="129" t="s">
        <v>1758</v>
      </c>
      <c r="F1238" s="130">
        <v>150.0</v>
      </c>
      <c r="G1238" s="129"/>
      <c r="H1238" s="44" t="b">
        <v>1</v>
      </c>
    </row>
    <row r="1239" hidden="1" outlineLevel="1">
      <c r="A1239" s="10"/>
      <c r="B1239" s="10"/>
      <c r="C1239" s="313">
        <v>0.7916666666666666</v>
      </c>
      <c r="D1239" s="129" t="s">
        <v>1805</v>
      </c>
      <c r="E1239" s="129" t="s">
        <v>1758</v>
      </c>
      <c r="F1239" s="130">
        <v>150.0</v>
      </c>
      <c r="G1239" s="129" t="s">
        <v>2076</v>
      </c>
      <c r="H1239" s="44" t="b">
        <v>1</v>
      </c>
    </row>
    <row r="1240" hidden="1" outlineLevel="1">
      <c r="A1240" s="102">
        <v>45944.0</v>
      </c>
      <c r="B1240" s="97">
        <f>A1240</f>
        <v>45944</v>
      </c>
      <c r="C1240" s="398">
        <v>0.2916666666666667</v>
      </c>
      <c r="D1240" s="129" t="s">
        <v>1756</v>
      </c>
      <c r="E1240" s="129" t="s">
        <v>469</v>
      </c>
      <c r="F1240" s="130">
        <v>150.0</v>
      </c>
      <c r="G1240" s="129"/>
      <c r="H1240" s="44" t="b">
        <v>1</v>
      </c>
    </row>
    <row r="1241" hidden="1" outlineLevel="1">
      <c r="A1241" s="58"/>
      <c r="B1241" s="58"/>
      <c r="C1241" s="10"/>
      <c r="D1241" s="129" t="s">
        <v>183</v>
      </c>
      <c r="E1241" s="129" t="s">
        <v>1758</v>
      </c>
      <c r="F1241" s="130">
        <v>150.0</v>
      </c>
      <c r="G1241" s="129"/>
      <c r="H1241" s="44" t="b">
        <v>1</v>
      </c>
    </row>
    <row r="1242" hidden="1" outlineLevel="1">
      <c r="A1242" s="10"/>
      <c r="B1242" s="10"/>
      <c r="C1242" s="313">
        <v>0.5069444444444444</v>
      </c>
      <c r="D1242" s="129" t="s">
        <v>1849</v>
      </c>
      <c r="E1242" s="129" t="s">
        <v>1758</v>
      </c>
      <c r="F1242" s="130">
        <v>150.0</v>
      </c>
      <c r="G1242" s="129"/>
      <c r="H1242" s="44" t="b">
        <v>1</v>
      </c>
    </row>
    <row r="1243" hidden="1" outlineLevel="1">
      <c r="A1243" s="102">
        <v>45945.0</v>
      </c>
      <c r="B1243" s="97">
        <f>A1243</f>
        <v>45945</v>
      </c>
      <c r="C1243" s="313">
        <v>0.2916666666666667</v>
      </c>
      <c r="D1243" s="129" t="s">
        <v>1756</v>
      </c>
      <c r="E1243" s="129" t="s">
        <v>1758</v>
      </c>
      <c r="F1243" s="130">
        <v>150.0</v>
      </c>
      <c r="G1243" s="129"/>
      <c r="H1243" s="44" t="b">
        <v>1</v>
      </c>
    </row>
    <row r="1244" hidden="1" outlineLevel="1">
      <c r="A1244" s="10"/>
      <c r="B1244" s="10"/>
      <c r="C1244" s="313">
        <v>0.5069444444444444</v>
      </c>
      <c r="D1244" s="129" t="s">
        <v>1849</v>
      </c>
      <c r="E1244" s="129" t="s">
        <v>1758</v>
      </c>
      <c r="F1244" s="130">
        <v>150.0</v>
      </c>
      <c r="G1244" s="129"/>
      <c r="H1244" s="44" t="b">
        <v>1</v>
      </c>
    </row>
    <row r="1245" hidden="1" outlineLevel="1">
      <c r="A1245" s="102">
        <v>45946.0</v>
      </c>
      <c r="B1245" s="97">
        <f>A1245</f>
        <v>45946</v>
      </c>
      <c r="C1245" s="313">
        <v>0.2916666666666667</v>
      </c>
      <c r="D1245" s="129" t="s">
        <v>1756</v>
      </c>
      <c r="E1245" s="129" t="s">
        <v>1758</v>
      </c>
      <c r="F1245" s="130">
        <v>150.0</v>
      </c>
      <c r="G1245" s="129"/>
      <c r="H1245" s="44" t="b">
        <v>1</v>
      </c>
    </row>
    <row r="1246" hidden="1" outlineLevel="1">
      <c r="A1246" s="10"/>
      <c r="B1246" s="10"/>
      <c r="C1246" s="313">
        <v>0.5069444444444444</v>
      </c>
      <c r="D1246" s="129" t="s">
        <v>562</v>
      </c>
      <c r="E1246" s="129" t="s">
        <v>1758</v>
      </c>
      <c r="F1246" s="130">
        <v>150.0</v>
      </c>
      <c r="G1246" s="129"/>
      <c r="H1246" s="44" t="b">
        <v>1</v>
      </c>
    </row>
    <row r="1247" hidden="1" outlineLevel="1">
      <c r="A1247" s="102">
        <v>45947.0</v>
      </c>
      <c r="B1247" s="97">
        <f>A1247</f>
        <v>45947</v>
      </c>
      <c r="C1247" s="398">
        <v>0.2916666666666667</v>
      </c>
      <c r="D1247" s="129" t="s">
        <v>1756</v>
      </c>
      <c r="E1247" s="129" t="s">
        <v>469</v>
      </c>
      <c r="F1247" s="130">
        <v>150.0</v>
      </c>
      <c r="G1247" s="129"/>
      <c r="H1247" s="44" t="b">
        <v>1</v>
      </c>
    </row>
    <row r="1248" hidden="1" outlineLevel="1">
      <c r="A1248" s="58"/>
      <c r="B1248" s="58"/>
      <c r="C1248" s="10"/>
      <c r="D1248" s="129" t="s">
        <v>183</v>
      </c>
      <c r="E1248" s="129" t="s">
        <v>1758</v>
      </c>
      <c r="F1248" s="130">
        <v>150.0</v>
      </c>
      <c r="G1248" s="129"/>
      <c r="H1248" s="44" t="b">
        <v>1</v>
      </c>
    </row>
    <row r="1249" hidden="1" outlineLevel="1">
      <c r="A1249" s="10"/>
      <c r="B1249" s="10"/>
      <c r="C1249" s="313">
        <v>0.5069444444444444</v>
      </c>
      <c r="D1249" s="129" t="s">
        <v>1849</v>
      </c>
      <c r="E1249" s="129" t="s">
        <v>1758</v>
      </c>
      <c r="F1249" s="130">
        <v>150.0</v>
      </c>
      <c r="G1249" s="129"/>
      <c r="H1249" s="44" t="b">
        <v>1</v>
      </c>
    </row>
    <row r="1250" hidden="1" outlineLevel="1">
      <c r="A1250" s="125">
        <v>45948.0</v>
      </c>
      <c r="B1250" s="126">
        <f t="shared" ref="B1250:B1251" si="394">A1250</f>
        <v>45948</v>
      </c>
      <c r="C1250" s="313">
        <v>0.3333333333333333</v>
      </c>
      <c r="D1250" s="129" t="s">
        <v>1756</v>
      </c>
      <c r="E1250" s="129" t="s">
        <v>1758</v>
      </c>
      <c r="F1250" s="130">
        <v>150.0</v>
      </c>
      <c r="G1250" s="129"/>
      <c r="H1250" s="44" t="b">
        <v>1</v>
      </c>
    </row>
    <row r="1251" hidden="1" outlineLevel="1">
      <c r="A1251" s="102">
        <v>45949.0</v>
      </c>
      <c r="B1251" s="97">
        <f t="shared" si="394"/>
        <v>45949</v>
      </c>
      <c r="C1251" s="313">
        <v>0.3333333333333333</v>
      </c>
      <c r="D1251" s="129" t="s">
        <v>1844</v>
      </c>
      <c r="E1251" s="129" t="s">
        <v>1758</v>
      </c>
      <c r="F1251" s="130">
        <v>200.0</v>
      </c>
      <c r="G1251" s="129"/>
      <c r="H1251" s="44" t="b">
        <v>1</v>
      </c>
    </row>
    <row r="1252" hidden="1" outlineLevel="1">
      <c r="A1252" s="58"/>
      <c r="B1252" s="58"/>
      <c r="C1252" s="313">
        <v>0.4583333333333333</v>
      </c>
      <c r="D1252" s="129" t="s">
        <v>1785</v>
      </c>
      <c r="E1252" s="129" t="s">
        <v>1758</v>
      </c>
      <c r="F1252" s="130">
        <v>200.0</v>
      </c>
      <c r="G1252" s="129"/>
      <c r="H1252" s="44" t="b">
        <v>1</v>
      </c>
    </row>
    <row r="1253" hidden="1" outlineLevel="1">
      <c r="A1253" s="10"/>
      <c r="B1253" s="10"/>
      <c r="C1253" s="313">
        <v>0.7708333333333334</v>
      </c>
      <c r="D1253" s="129" t="s">
        <v>1838</v>
      </c>
      <c r="E1253" s="129" t="s">
        <v>1758</v>
      </c>
      <c r="F1253" s="130">
        <v>200.0</v>
      </c>
      <c r="G1253" s="129"/>
      <c r="H1253" s="44" t="b">
        <v>1</v>
      </c>
    </row>
    <row r="1254" hidden="1" outlineLevel="1">
      <c r="A1254" s="102">
        <v>45950.0</v>
      </c>
      <c r="B1254" s="97">
        <f>A1254</f>
        <v>45950</v>
      </c>
      <c r="C1254" s="313">
        <v>0.2916666666666667</v>
      </c>
      <c r="D1254" s="129" t="s">
        <v>1756</v>
      </c>
      <c r="E1254" s="129" t="s">
        <v>1758</v>
      </c>
      <c r="F1254" s="130">
        <v>150.0</v>
      </c>
      <c r="G1254" s="129"/>
      <c r="H1254" s="44" t="b">
        <v>1</v>
      </c>
    </row>
    <row r="1255" hidden="1" outlineLevel="1">
      <c r="A1255" s="10"/>
      <c r="B1255" s="10"/>
      <c r="C1255" s="313">
        <v>0.5069444444444444</v>
      </c>
      <c r="D1255" s="129" t="s">
        <v>1849</v>
      </c>
      <c r="E1255" s="129" t="s">
        <v>1758</v>
      </c>
      <c r="F1255" s="130">
        <v>150.0</v>
      </c>
      <c r="G1255" s="129"/>
      <c r="H1255" s="44" t="b">
        <v>1</v>
      </c>
    </row>
    <row r="1256" hidden="1" outlineLevel="1">
      <c r="A1256" s="102">
        <v>45951.0</v>
      </c>
      <c r="B1256" s="97">
        <f>A1256</f>
        <v>45951</v>
      </c>
      <c r="C1256" s="398">
        <v>0.2916666666666667</v>
      </c>
      <c r="D1256" s="129" t="s">
        <v>1756</v>
      </c>
      <c r="E1256" s="129" t="s">
        <v>469</v>
      </c>
      <c r="F1256" s="130">
        <v>150.0</v>
      </c>
      <c r="G1256" s="129"/>
      <c r="H1256" s="44" t="b">
        <v>1</v>
      </c>
    </row>
    <row r="1257" hidden="1" outlineLevel="1">
      <c r="A1257" s="58"/>
      <c r="B1257" s="58"/>
      <c r="C1257" s="10"/>
      <c r="D1257" s="129" t="s">
        <v>183</v>
      </c>
      <c r="E1257" s="129" t="s">
        <v>1758</v>
      </c>
      <c r="F1257" s="130">
        <v>150.0</v>
      </c>
      <c r="G1257" s="129"/>
      <c r="H1257" s="44" t="b">
        <v>1</v>
      </c>
    </row>
    <row r="1258" hidden="1" outlineLevel="1">
      <c r="A1258" s="10"/>
      <c r="B1258" s="10"/>
      <c r="C1258" s="313">
        <v>0.5069444444444444</v>
      </c>
      <c r="D1258" s="129" t="s">
        <v>1849</v>
      </c>
      <c r="E1258" s="129" t="s">
        <v>1758</v>
      </c>
      <c r="F1258" s="130">
        <v>150.0</v>
      </c>
      <c r="G1258" s="129"/>
      <c r="H1258" s="44" t="b">
        <v>1</v>
      </c>
    </row>
    <row r="1259" hidden="1" outlineLevel="1">
      <c r="A1259" s="102">
        <v>45952.0</v>
      </c>
      <c r="B1259" s="97">
        <f>A1259</f>
        <v>45952</v>
      </c>
      <c r="C1259" s="313">
        <v>0.2916666666666667</v>
      </c>
      <c r="D1259" s="129" t="s">
        <v>1756</v>
      </c>
      <c r="E1259" s="129" t="s">
        <v>1758</v>
      </c>
      <c r="F1259" s="130">
        <v>150.0</v>
      </c>
      <c r="G1259" s="129"/>
      <c r="H1259" s="44" t="b">
        <v>1</v>
      </c>
    </row>
    <row r="1260" hidden="1" outlineLevel="1">
      <c r="A1260" s="58"/>
      <c r="B1260" s="58"/>
      <c r="C1260" s="313">
        <v>0.5069444444444444</v>
      </c>
      <c r="D1260" s="129" t="s">
        <v>1849</v>
      </c>
      <c r="E1260" s="129" t="s">
        <v>1758</v>
      </c>
      <c r="F1260" s="130">
        <v>150.0</v>
      </c>
      <c r="G1260" s="129"/>
      <c r="H1260" s="44" t="b">
        <v>1</v>
      </c>
    </row>
    <row r="1261" hidden="1" outlineLevel="1">
      <c r="A1261" s="10"/>
      <c r="B1261" s="10"/>
      <c r="C1261" s="313">
        <v>0.7916666666666666</v>
      </c>
      <c r="D1261" s="129" t="s">
        <v>1849</v>
      </c>
      <c r="E1261" s="129" t="s">
        <v>1758</v>
      </c>
      <c r="F1261" s="130">
        <v>150.0</v>
      </c>
      <c r="G1261" s="129" t="s">
        <v>2053</v>
      </c>
      <c r="H1261" s="44" t="b">
        <v>1</v>
      </c>
    </row>
    <row r="1262" hidden="1" outlineLevel="1">
      <c r="A1262" s="102">
        <v>45953.0</v>
      </c>
      <c r="B1262" s="97">
        <f>A1262</f>
        <v>45953</v>
      </c>
      <c r="C1262" s="313">
        <v>0.2916666666666667</v>
      </c>
      <c r="D1262" s="129" t="s">
        <v>1756</v>
      </c>
      <c r="E1262" s="129" t="s">
        <v>1758</v>
      </c>
      <c r="F1262" s="130">
        <v>150.0</v>
      </c>
      <c r="G1262" s="129"/>
      <c r="H1262" s="44" t="b">
        <v>1</v>
      </c>
    </row>
    <row r="1263" hidden="1" outlineLevel="1">
      <c r="A1263" s="10"/>
      <c r="B1263" s="10"/>
      <c r="C1263" s="313">
        <v>0.5069444444444444</v>
      </c>
      <c r="D1263" s="129" t="s">
        <v>562</v>
      </c>
      <c r="E1263" s="129" t="s">
        <v>1758</v>
      </c>
      <c r="F1263" s="130">
        <v>150.0</v>
      </c>
      <c r="G1263" s="129"/>
      <c r="H1263" s="44" t="b">
        <v>1</v>
      </c>
    </row>
    <row r="1264" hidden="1" outlineLevel="1">
      <c r="A1264" s="102">
        <v>45954.0</v>
      </c>
      <c r="B1264" s="97">
        <f>A1264</f>
        <v>45954</v>
      </c>
      <c r="C1264" s="398">
        <v>0.2916666666666667</v>
      </c>
      <c r="D1264" s="129" t="s">
        <v>1756</v>
      </c>
      <c r="E1264" s="129" t="s">
        <v>469</v>
      </c>
      <c r="F1264" s="130">
        <v>150.0</v>
      </c>
      <c r="G1264" s="129"/>
      <c r="H1264" s="44" t="b">
        <v>1</v>
      </c>
    </row>
    <row r="1265" hidden="1" outlineLevel="1">
      <c r="A1265" s="58"/>
      <c r="B1265" s="58"/>
      <c r="C1265" s="10"/>
      <c r="D1265" s="129" t="s">
        <v>183</v>
      </c>
      <c r="E1265" s="129" t="s">
        <v>1758</v>
      </c>
      <c r="F1265" s="130">
        <v>150.0</v>
      </c>
      <c r="G1265" s="129"/>
      <c r="H1265" s="44" t="b">
        <v>1</v>
      </c>
    </row>
    <row r="1266" hidden="1" outlineLevel="1">
      <c r="A1266" s="10"/>
      <c r="B1266" s="10"/>
      <c r="C1266" s="313">
        <v>0.5069444444444444</v>
      </c>
      <c r="D1266" s="129" t="s">
        <v>1849</v>
      </c>
      <c r="E1266" s="129" t="s">
        <v>1758</v>
      </c>
      <c r="F1266" s="130">
        <v>150.0</v>
      </c>
      <c r="G1266" s="129"/>
      <c r="H1266" s="44" t="b">
        <v>1</v>
      </c>
    </row>
    <row r="1267" hidden="1" outlineLevel="1">
      <c r="A1267" s="125">
        <v>45955.0</v>
      </c>
      <c r="B1267" s="126">
        <f t="shared" ref="B1267:B1268" si="395">A1267</f>
        <v>45955</v>
      </c>
      <c r="C1267" s="313">
        <v>0.3333333333333333</v>
      </c>
      <c r="D1267" s="129" t="s">
        <v>1756</v>
      </c>
      <c r="E1267" s="129" t="s">
        <v>1758</v>
      </c>
      <c r="F1267" s="130">
        <v>150.0</v>
      </c>
      <c r="G1267" s="129"/>
      <c r="H1267" s="44" t="b">
        <v>1</v>
      </c>
    </row>
    <row r="1268" hidden="1" outlineLevel="1">
      <c r="A1268" s="102">
        <v>45956.0</v>
      </c>
      <c r="B1268" s="97">
        <f t="shared" si="395"/>
        <v>45956</v>
      </c>
      <c r="C1268" s="313">
        <v>0.3333333333333333</v>
      </c>
      <c r="D1268" s="129" t="s">
        <v>1830</v>
      </c>
      <c r="E1268" s="129" t="s">
        <v>1758</v>
      </c>
      <c r="F1268" s="130">
        <v>0.0</v>
      </c>
      <c r="G1268" s="129" t="s">
        <v>2077</v>
      </c>
      <c r="H1268" s="44" t="b">
        <v>1</v>
      </c>
    </row>
    <row r="1269" hidden="1" outlineLevel="1">
      <c r="A1269" s="58"/>
      <c r="B1269" s="58"/>
      <c r="C1269" s="313">
        <v>0.4583333333333333</v>
      </c>
      <c r="D1269" s="129" t="s">
        <v>562</v>
      </c>
      <c r="E1269" s="129" t="s">
        <v>1758</v>
      </c>
      <c r="F1269" s="130">
        <v>200.0</v>
      </c>
      <c r="G1269" s="129"/>
      <c r="H1269" s="44" t="b">
        <v>1</v>
      </c>
    </row>
    <row r="1270" hidden="1" outlineLevel="1">
      <c r="A1270" s="10"/>
      <c r="B1270" s="10"/>
      <c r="C1270" s="313">
        <v>0.7708333333333334</v>
      </c>
      <c r="D1270" s="129" t="s">
        <v>1838</v>
      </c>
      <c r="E1270" s="129" t="s">
        <v>1758</v>
      </c>
      <c r="F1270" s="130">
        <v>200.0</v>
      </c>
      <c r="G1270" s="129"/>
      <c r="H1270" s="44" t="b">
        <v>1</v>
      </c>
    </row>
    <row r="1271" hidden="1" outlineLevel="1">
      <c r="A1271" s="102">
        <v>45957.0</v>
      </c>
      <c r="B1271" s="97">
        <f>A1271</f>
        <v>45957</v>
      </c>
      <c r="C1271" s="313">
        <v>0.2916666666666667</v>
      </c>
      <c r="D1271" s="129" t="s">
        <v>1756</v>
      </c>
      <c r="E1271" s="129" t="s">
        <v>1758</v>
      </c>
      <c r="F1271" s="130">
        <v>150.0</v>
      </c>
      <c r="G1271" s="129"/>
      <c r="H1271" s="44" t="b">
        <v>1</v>
      </c>
    </row>
    <row r="1272" hidden="1" outlineLevel="1">
      <c r="A1272" s="10"/>
      <c r="B1272" s="10"/>
      <c r="C1272" s="313">
        <v>0.5069444444444444</v>
      </c>
      <c r="D1272" s="129" t="s">
        <v>1849</v>
      </c>
      <c r="E1272" s="129" t="s">
        <v>1758</v>
      </c>
      <c r="F1272" s="130">
        <v>150.0</v>
      </c>
      <c r="G1272" s="129"/>
      <c r="H1272" s="44" t="b">
        <v>1</v>
      </c>
    </row>
    <row r="1273" hidden="1" outlineLevel="1">
      <c r="A1273" s="102">
        <v>45958.0</v>
      </c>
      <c r="B1273" s="97">
        <f>A1273</f>
        <v>45958</v>
      </c>
      <c r="C1273" s="398">
        <v>0.2916666666666667</v>
      </c>
      <c r="D1273" s="129" t="s">
        <v>1756</v>
      </c>
      <c r="E1273" s="129" t="s">
        <v>469</v>
      </c>
      <c r="F1273" s="130">
        <v>150.0</v>
      </c>
      <c r="G1273" s="129"/>
      <c r="H1273" s="44" t="b">
        <v>1</v>
      </c>
    </row>
    <row r="1274" hidden="1" outlineLevel="1">
      <c r="A1274" s="58"/>
      <c r="B1274" s="58"/>
      <c r="C1274" s="10"/>
      <c r="D1274" s="129" t="s">
        <v>183</v>
      </c>
      <c r="E1274" s="129" t="s">
        <v>1758</v>
      </c>
      <c r="F1274" s="130">
        <v>150.0</v>
      </c>
      <c r="G1274" s="129"/>
      <c r="H1274" s="44" t="b">
        <v>1</v>
      </c>
    </row>
    <row r="1275" hidden="1" outlineLevel="1">
      <c r="A1275" s="10"/>
      <c r="B1275" s="10"/>
      <c r="C1275" s="313">
        <v>0.5069444444444444</v>
      </c>
      <c r="D1275" s="129" t="s">
        <v>1849</v>
      </c>
      <c r="E1275" s="129" t="s">
        <v>1758</v>
      </c>
      <c r="F1275" s="130">
        <v>150.0</v>
      </c>
      <c r="G1275" s="129"/>
      <c r="H1275" s="44" t="b">
        <v>1</v>
      </c>
    </row>
    <row r="1276" hidden="1" outlineLevel="1">
      <c r="A1276" s="102">
        <v>45959.0</v>
      </c>
      <c r="B1276" s="97">
        <f>A1276</f>
        <v>45959</v>
      </c>
      <c r="C1276" s="313">
        <v>0.2916666666666667</v>
      </c>
      <c r="D1276" s="129" t="s">
        <v>1756</v>
      </c>
      <c r="E1276" s="129" t="s">
        <v>1758</v>
      </c>
      <c r="F1276" s="130">
        <v>150.0</v>
      </c>
      <c r="G1276" s="129"/>
      <c r="H1276" s="44" t="b">
        <v>1</v>
      </c>
    </row>
    <row r="1277" hidden="1" outlineLevel="1">
      <c r="A1277" s="10"/>
      <c r="B1277" s="10"/>
      <c r="C1277" s="313">
        <v>0.5069444444444444</v>
      </c>
      <c r="D1277" s="129" t="s">
        <v>1849</v>
      </c>
      <c r="E1277" s="129" t="s">
        <v>1758</v>
      </c>
      <c r="F1277" s="130">
        <v>150.0</v>
      </c>
      <c r="G1277" s="129"/>
      <c r="H1277" s="44" t="b">
        <v>1</v>
      </c>
    </row>
    <row r="1278" hidden="1" outlineLevel="1">
      <c r="A1278" s="102">
        <v>45960.0</v>
      </c>
      <c r="B1278" s="97">
        <f>A1278</f>
        <v>45960</v>
      </c>
      <c r="C1278" s="313">
        <v>0.2916666666666667</v>
      </c>
      <c r="D1278" s="129" t="s">
        <v>1756</v>
      </c>
      <c r="E1278" s="129" t="s">
        <v>1758</v>
      </c>
      <c r="F1278" s="130">
        <v>150.0</v>
      </c>
      <c r="G1278" s="129"/>
      <c r="H1278" s="44" t="b">
        <v>1</v>
      </c>
    </row>
    <row r="1279" hidden="1" outlineLevel="1">
      <c r="A1279" s="10"/>
      <c r="B1279" s="10"/>
      <c r="C1279" s="313">
        <v>0.5069444444444444</v>
      </c>
      <c r="D1279" s="129" t="s">
        <v>562</v>
      </c>
      <c r="E1279" s="129" t="s">
        <v>1758</v>
      </c>
      <c r="F1279" s="130">
        <v>150.0</v>
      </c>
      <c r="G1279" s="129"/>
      <c r="H1279" s="44" t="b">
        <v>1</v>
      </c>
    </row>
    <row r="1280" hidden="1" outlineLevel="1">
      <c r="A1280" s="102">
        <v>45961.0</v>
      </c>
      <c r="B1280" s="97">
        <f>A1280</f>
        <v>45961</v>
      </c>
      <c r="C1280" s="398">
        <v>0.2916666666666667</v>
      </c>
      <c r="D1280" s="129" t="s">
        <v>1756</v>
      </c>
      <c r="E1280" s="129" t="s">
        <v>469</v>
      </c>
      <c r="F1280" s="130">
        <v>150.0</v>
      </c>
      <c r="G1280" s="129"/>
      <c r="H1280" s="44" t="b">
        <v>1</v>
      </c>
    </row>
    <row r="1281" hidden="1" outlineLevel="1">
      <c r="A1281" s="58"/>
      <c r="B1281" s="58"/>
      <c r="C1281" s="10"/>
      <c r="D1281" s="129" t="s">
        <v>183</v>
      </c>
      <c r="E1281" s="129" t="s">
        <v>1758</v>
      </c>
      <c r="F1281" s="130">
        <v>150.0</v>
      </c>
      <c r="G1281" s="129"/>
      <c r="H1281" s="44" t="b">
        <v>1</v>
      </c>
    </row>
    <row r="1282" hidden="1" outlineLevel="1">
      <c r="A1282" s="10"/>
      <c r="B1282" s="10"/>
      <c r="C1282" s="313">
        <v>0.5069444444444444</v>
      </c>
      <c r="D1282" s="129" t="s">
        <v>1849</v>
      </c>
      <c r="E1282" s="129" t="s">
        <v>1758</v>
      </c>
      <c r="F1282" s="130">
        <v>150.0</v>
      </c>
      <c r="G1282" s="129"/>
      <c r="H1282" s="44" t="b">
        <v>1</v>
      </c>
    </row>
    <row r="1283">
      <c r="A1283" s="484" t="s">
        <v>195</v>
      </c>
      <c r="B1283" s="27"/>
      <c r="C1283" s="27"/>
      <c r="D1283" s="27"/>
      <c r="E1283" s="28"/>
      <c r="F1283" s="485">
        <f>SUM(F1208:F1282)</f>
        <v>11650</v>
      </c>
      <c r="G1283" s="486"/>
      <c r="H1283" s="28"/>
    </row>
    <row r="1284" collapsed="1">
      <c r="A1284" s="339" t="s">
        <v>1307</v>
      </c>
      <c r="B1284" s="246"/>
      <c r="C1284" s="246"/>
      <c r="D1284" s="246"/>
      <c r="E1284" s="246"/>
      <c r="F1284" s="246"/>
      <c r="G1284" s="246"/>
      <c r="H1284" s="247"/>
    </row>
    <row r="1285" hidden="1" outlineLevel="1">
      <c r="A1285" s="125">
        <v>45962.0</v>
      </c>
      <c r="B1285" s="126">
        <f t="shared" ref="B1285:B1286" si="396">A1285</f>
        <v>45962</v>
      </c>
      <c r="C1285" s="313">
        <v>0.3333333333333333</v>
      </c>
      <c r="D1285" s="129" t="s">
        <v>1756</v>
      </c>
      <c r="E1285" s="129" t="s">
        <v>1758</v>
      </c>
      <c r="F1285" s="130">
        <v>150.0</v>
      </c>
      <c r="G1285" s="129"/>
      <c r="H1285" s="44" t="b">
        <v>1</v>
      </c>
      <c r="K1285" s="440" t="s">
        <v>2078</v>
      </c>
      <c r="L1285" s="27"/>
      <c r="M1285" s="27"/>
      <c r="N1285" s="27"/>
      <c r="O1285" s="27"/>
      <c r="P1285" s="27"/>
      <c r="Q1285" s="28"/>
    </row>
    <row r="1286" hidden="1" outlineLevel="1">
      <c r="A1286" s="102">
        <v>45963.0</v>
      </c>
      <c r="B1286" s="97">
        <f t="shared" si="396"/>
        <v>45963</v>
      </c>
      <c r="C1286" s="313">
        <v>0.3333333333333333</v>
      </c>
      <c r="D1286" s="129" t="s">
        <v>1828</v>
      </c>
      <c r="E1286" s="129" t="s">
        <v>1758</v>
      </c>
      <c r="F1286" s="130">
        <v>200.0</v>
      </c>
      <c r="G1286" s="129"/>
      <c r="H1286" s="44" t="b">
        <v>1</v>
      </c>
      <c r="K1286" s="441" t="s">
        <v>1749</v>
      </c>
      <c r="L1286" s="441" t="s">
        <v>1758</v>
      </c>
      <c r="M1286" s="441" t="s">
        <v>469</v>
      </c>
      <c r="N1286" s="441" t="s">
        <v>195</v>
      </c>
      <c r="O1286" s="441" t="s">
        <v>1764</v>
      </c>
      <c r="P1286" s="441" t="s">
        <v>1765</v>
      </c>
      <c r="Q1286" s="441" t="s">
        <v>1766</v>
      </c>
    </row>
    <row r="1287" hidden="1" outlineLevel="1">
      <c r="A1287" s="58"/>
      <c r="B1287" s="58"/>
      <c r="C1287" s="313">
        <v>0.4583333333333333</v>
      </c>
      <c r="D1287" s="129" t="s">
        <v>1785</v>
      </c>
      <c r="E1287" s="129" t="s">
        <v>1758</v>
      </c>
      <c r="F1287" s="130">
        <v>200.0</v>
      </c>
      <c r="G1287" s="129"/>
      <c r="H1287" s="44" t="b">
        <v>1</v>
      </c>
      <c r="K1287" s="91" t="s">
        <v>1756</v>
      </c>
      <c r="L1287" s="90">
        <f t="shared" ref="L1287:L1301" si="397">COUNTIFS($D$1285:$D$1352, $K1287,$E$1285:$E$1352,$L$1286)</f>
        <v>18</v>
      </c>
      <c r="M1287" s="90">
        <f t="shared" ref="M1287:M1301" si="398">COUNTIFS($D$1285:$D$1352, $K1287,$E$1285:$E$1352,$M$1286)</f>
        <v>8</v>
      </c>
      <c r="N1287" s="90">
        <f t="shared" ref="N1287:N1301" si="399">L1287+M1287</f>
        <v>26</v>
      </c>
      <c r="O1287" s="92">
        <f t="shared" ref="O1287:O1301" si="400">SUMIFS($F$1285:$F$1352,$D$1285:$D$1352,$K1287)</f>
        <v>3900</v>
      </c>
      <c r="P1287" s="92">
        <f t="shared" ref="P1287:P1301" si="401">SUMIFS($F$1285:$F$1352,$D$1285:$D$1352,$K1287,$H$1285:$H$1352,TRUE())</f>
        <v>3900</v>
      </c>
      <c r="Q1287" s="92">
        <f t="shared" ref="Q1287:Q1301" si="402">O1287-P1287</f>
        <v>0</v>
      </c>
    </row>
    <row r="1288" hidden="1" outlineLevel="1">
      <c r="A1288" s="10"/>
      <c r="B1288" s="10"/>
      <c r="C1288" s="313">
        <v>0.7708333333333334</v>
      </c>
      <c r="D1288" s="129" t="s">
        <v>1851</v>
      </c>
      <c r="E1288" s="129" t="s">
        <v>1758</v>
      </c>
      <c r="F1288" s="130">
        <v>200.0</v>
      </c>
      <c r="G1288" s="129"/>
      <c r="H1288" s="44" t="b">
        <v>1</v>
      </c>
      <c r="K1288" s="91" t="s">
        <v>1840</v>
      </c>
      <c r="L1288" s="90">
        <f t="shared" si="397"/>
        <v>1</v>
      </c>
      <c r="M1288" s="90">
        <f t="shared" si="398"/>
        <v>0</v>
      </c>
      <c r="N1288" s="90">
        <f t="shared" si="399"/>
        <v>1</v>
      </c>
      <c r="O1288" s="92">
        <f t="shared" si="400"/>
        <v>200</v>
      </c>
      <c r="P1288" s="92">
        <f t="shared" si="401"/>
        <v>200</v>
      </c>
      <c r="Q1288" s="92">
        <f t="shared" si="402"/>
        <v>0</v>
      </c>
    </row>
    <row r="1289" hidden="1" outlineLevel="1">
      <c r="A1289" s="102">
        <v>45964.0</v>
      </c>
      <c r="B1289" s="97">
        <f>A1289</f>
        <v>45964</v>
      </c>
      <c r="C1289" s="313">
        <v>0.2916666666666667</v>
      </c>
      <c r="D1289" s="129" t="s">
        <v>1756</v>
      </c>
      <c r="E1289" s="129" t="s">
        <v>1758</v>
      </c>
      <c r="F1289" s="130">
        <v>150.0</v>
      </c>
      <c r="G1289" s="129"/>
      <c r="H1289" s="44" t="b">
        <v>1</v>
      </c>
      <c r="K1289" s="91" t="s">
        <v>1851</v>
      </c>
      <c r="L1289" s="90">
        <f t="shared" si="397"/>
        <v>1</v>
      </c>
      <c r="M1289" s="90">
        <f t="shared" si="398"/>
        <v>0</v>
      </c>
      <c r="N1289" s="90">
        <f t="shared" si="399"/>
        <v>1</v>
      </c>
      <c r="O1289" s="92">
        <f t="shared" si="400"/>
        <v>200</v>
      </c>
      <c r="P1289" s="92">
        <f t="shared" si="401"/>
        <v>200</v>
      </c>
      <c r="Q1289" s="92">
        <f t="shared" si="402"/>
        <v>0</v>
      </c>
    </row>
    <row r="1290" hidden="1" outlineLevel="1">
      <c r="A1290" s="10"/>
      <c r="B1290" s="10"/>
      <c r="C1290" s="313">
        <v>0.5069444444444444</v>
      </c>
      <c r="D1290" s="129" t="s">
        <v>1849</v>
      </c>
      <c r="E1290" s="129" t="s">
        <v>1758</v>
      </c>
      <c r="F1290" s="130">
        <v>150.0</v>
      </c>
      <c r="G1290" s="129"/>
      <c r="H1290" s="44" t="b">
        <v>1</v>
      </c>
      <c r="K1290" s="91" t="s">
        <v>183</v>
      </c>
      <c r="L1290" s="90">
        <f t="shared" si="397"/>
        <v>8</v>
      </c>
      <c r="M1290" s="90">
        <f t="shared" si="398"/>
        <v>0</v>
      </c>
      <c r="N1290" s="90">
        <f t="shared" si="399"/>
        <v>8</v>
      </c>
      <c r="O1290" s="92">
        <f t="shared" si="400"/>
        <v>1200</v>
      </c>
      <c r="P1290" s="92">
        <f t="shared" si="401"/>
        <v>1200</v>
      </c>
      <c r="Q1290" s="92">
        <f t="shared" si="402"/>
        <v>0</v>
      </c>
    </row>
    <row r="1291" hidden="1" outlineLevel="1">
      <c r="A1291" s="102">
        <v>45965.0</v>
      </c>
      <c r="B1291" s="97">
        <f>A1291</f>
        <v>45965</v>
      </c>
      <c r="C1291" s="398">
        <v>0.2916666666666667</v>
      </c>
      <c r="D1291" s="129" t="s">
        <v>1756</v>
      </c>
      <c r="E1291" s="129" t="s">
        <v>469</v>
      </c>
      <c r="F1291" s="130">
        <v>150.0</v>
      </c>
      <c r="G1291" s="129"/>
      <c r="H1291" s="44" t="b">
        <v>1</v>
      </c>
      <c r="K1291" s="91" t="s">
        <v>1848</v>
      </c>
      <c r="L1291" s="90">
        <f t="shared" si="397"/>
        <v>1</v>
      </c>
      <c r="M1291" s="90">
        <f t="shared" si="398"/>
        <v>0</v>
      </c>
      <c r="N1291" s="90">
        <f t="shared" si="399"/>
        <v>1</v>
      </c>
      <c r="O1291" s="92">
        <f t="shared" si="400"/>
        <v>200</v>
      </c>
      <c r="P1291" s="92">
        <f t="shared" si="401"/>
        <v>200</v>
      </c>
      <c r="Q1291" s="92">
        <f t="shared" si="402"/>
        <v>0</v>
      </c>
    </row>
    <row r="1292" hidden="1" outlineLevel="1">
      <c r="A1292" s="58"/>
      <c r="B1292" s="58"/>
      <c r="C1292" s="10"/>
      <c r="D1292" s="129" t="s">
        <v>183</v>
      </c>
      <c r="E1292" s="129" t="s">
        <v>1758</v>
      </c>
      <c r="F1292" s="130">
        <v>150.0</v>
      </c>
      <c r="G1292" s="129"/>
      <c r="H1292" s="44" t="b">
        <v>1</v>
      </c>
      <c r="K1292" s="91" t="s">
        <v>1785</v>
      </c>
      <c r="L1292" s="90">
        <f t="shared" si="397"/>
        <v>3</v>
      </c>
      <c r="M1292" s="90">
        <f t="shared" si="398"/>
        <v>0</v>
      </c>
      <c r="N1292" s="90">
        <f t="shared" si="399"/>
        <v>3</v>
      </c>
      <c r="O1292" s="92">
        <f t="shared" si="400"/>
        <v>600</v>
      </c>
      <c r="P1292" s="92">
        <f t="shared" si="401"/>
        <v>600</v>
      </c>
      <c r="Q1292" s="92">
        <f t="shared" si="402"/>
        <v>0</v>
      </c>
    </row>
    <row r="1293" hidden="1" outlineLevel="1">
      <c r="A1293" s="10"/>
      <c r="B1293" s="10"/>
      <c r="C1293" s="313">
        <v>0.5069444444444444</v>
      </c>
      <c r="D1293" s="129" t="s">
        <v>1849</v>
      </c>
      <c r="E1293" s="129" t="s">
        <v>1758</v>
      </c>
      <c r="F1293" s="130">
        <v>150.0</v>
      </c>
      <c r="G1293" s="129"/>
      <c r="H1293" s="44" t="b">
        <v>1</v>
      </c>
      <c r="K1293" s="91" t="s">
        <v>1842</v>
      </c>
      <c r="L1293" s="90">
        <f t="shared" si="397"/>
        <v>0</v>
      </c>
      <c r="M1293" s="90">
        <f t="shared" si="398"/>
        <v>0</v>
      </c>
      <c r="N1293" s="90">
        <f t="shared" si="399"/>
        <v>0</v>
      </c>
      <c r="O1293" s="92">
        <f t="shared" si="400"/>
        <v>0</v>
      </c>
      <c r="P1293" s="92">
        <f t="shared" si="401"/>
        <v>0</v>
      </c>
      <c r="Q1293" s="92">
        <f t="shared" si="402"/>
        <v>0</v>
      </c>
    </row>
    <row r="1294" hidden="1" outlineLevel="1">
      <c r="A1294" s="102">
        <v>45966.0</v>
      </c>
      <c r="B1294" s="97">
        <f>A1294</f>
        <v>45966</v>
      </c>
      <c r="C1294" s="313">
        <v>0.2916666666666667</v>
      </c>
      <c r="D1294" s="129" t="s">
        <v>1756</v>
      </c>
      <c r="E1294" s="129" t="s">
        <v>1758</v>
      </c>
      <c r="F1294" s="130">
        <v>150.0</v>
      </c>
      <c r="G1294" s="129"/>
      <c r="H1294" s="44" t="b">
        <v>1</v>
      </c>
      <c r="K1294" s="91" t="s">
        <v>562</v>
      </c>
      <c r="L1294" s="90">
        <f t="shared" si="397"/>
        <v>4</v>
      </c>
      <c r="M1294" s="90">
        <f t="shared" si="398"/>
        <v>0</v>
      </c>
      <c r="N1294" s="90">
        <f t="shared" si="399"/>
        <v>4</v>
      </c>
      <c r="O1294" s="92">
        <f t="shared" si="400"/>
        <v>700</v>
      </c>
      <c r="P1294" s="92">
        <f t="shared" si="401"/>
        <v>700</v>
      </c>
      <c r="Q1294" s="92">
        <f t="shared" si="402"/>
        <v>0</v>
      </c>
    </row>
    <row r="1295" hidden="1" outlineLevel="1">
      <c r="A1295" s="10"/>
      <c r="B1295" s="10"/>
      <c r="C1295" s="313">
        <v>0.5069444444444444</v>
      </c>
      <c r="D1295" s="129" t="s">
        <v>1849</v>
      </c>
      <c r="E1295" s="129" t="s">
        <v>1758</v>
      </c>
      <c r="F1295" s="130">
        <v>150.0</v>
      </c>
      <c r="G1295" s="129"/>
      <c r="H1295" s="44" t="b">
        <v>1</v>
      </c>
      <c r="K1295" s="91" t="s">
        <v>1828</v>
      </c>
      <c r="L1295" s="90">
        <f t="shared" si="397"/>
        <v>3</v>
      </c>
      <c r="M1295" s="90">
        <f t="shared" si="398"/>
        <v>0</v>
      </c>
      <c r="N1295" s="90">
        <f t="shared" si="399"/>
        <v>3</v>
      </c>
      <c r="O1295" s="92">
        <f t="shared" si="400"/>
        <v>600</v>
      </c>
      <c r="P1295" s="92">
        <f t="shared" si="401"/>
        <v>600</v>
      </c>
      <c r="Q1295" s="92">
        <f t="shared" si="402"/>
        <v>0</v>
      </c>
    </row>
    <row r="1296" hidden="1" outlineLevel="1">
      <c r="A1296" s="102">
        <v>45967.0</v>
      </c>
      <c r="B1296" s="97">
        <f>A1296</f>
        <v>45967</v>
      </c>
      <c r="C1296" s="313">
        <v>0.2916666666666667</v>
      </c>
      <c r="D1296" s="129" t="s">
        <v>1756</v>
      </c>
      <c r="E1296" s="129" t="s">
        <v>1758</v>
      </c>
      <c r="F1296" s="130">
        <v>150.0</v>
      </c>
      <c r="G1296" s="129"/>
      <c r="H1296" s="44" t="b">
        <v>1</v>
      </c>
      <c r="K1296" s="91" t="s">
        <v>1845</v>
      </c>
      <c r="L1296" s="90">
        <f t="shared" si="397"/>
        <v>1</v>
      </c>
      <c r="M1296" s="90">
        <f t="shared" si="398"/>
        <v>0</v>
      </c>
      <c r="N1296" s="90">
        <f t="shared" si="399"/>
        <v>1</v>
      </c>
      <c r="O1296" s="92">
        <f t="shared" si="400"/>
        <v>200</v>
      </c>
      <c r="P1296" s="92">
        <f t="shared" si="401"/>
        <v>200</v>
      </c>
      <c r="Q1296" s="92">
        <f t="shared" si="402"/>
        <v>0</v>
      </c>
    </row>
    <row r="1297" hidden="1" outlineLevel="1">
      <c r="A1297" s="10"/>
      <c r="B1297" s="10"/>
      <c r="C1297" s="313">
        <v>0.5069444444444444</v>
      </c>
      <c r="D1297" s="129" t="s">
        <v>562</v>
      </c>
      <c r="E1297" s="129" t="s">
        <v>1758</v>
      </c>
      <c r="F1297" s="130">
        <v>150.0</v>
      </c>
      <c r="G1297" s="129"/>
      <c r="H1297" s="44" t="b">
        <v>1</v>
      </c>
      <c r="K1297" s="91" t="s">
        <v>1849</v>
      </c>
      <c r="L1297" s="90">
        <f t="shared" si="397"/>
        <v>15</v>
      </c>
      <c r="M1297" s="90">
        <f t="shared" si="398"/>
        <v>0</v>
      </c>
      <c r="N1297" s="90">
        <f t="shared" si="399"/>
        <v>15</v>
      </c>
      <c r="O1297" s="92">
        <f t="shared" si="400"/>
        <v>2250</v>
      </c>
      <c r="P1297" s="92">
        <f t="shared" si="401"/>
        <v>2250</v>
      </c>
      <c r="Q1297" s="92">
        <f t="shared" si="402"/>
        <v>0</v>
      </c>
    </row>
    <row r="1298" hidden="1" outlineLevel="1">
      <c r="A1298" s="102">
        <v>45968.0</v>
      </c>
      <c r="B1298" s="97">
        <f>A1298</f>
        <v>45968</v>
      </c>
      <c r="C1298" s="398">
        <v>0.2916666666666667</v>
      </c>
      <c r="D1298" s="129" t="s">
        <v>1756</v>
      </c>
      <c r="E1298" s="129" t="s">
        <v>469</v>
      </c>
      <c r="F1298" s="130">
        <v>150.0</v>
      </c>
      <c r="G1298" s="129"/>
      <c r="H1298" s="44" t="b">
        <v>1</v>
      </c>
      <c r="K1298" s="91" t="s">
        <v>1838</v>
      </c>
      <c r="L1298" s="90">
        <f t="shared" si="397"/>
        <v>2</v>
      </c>
      <c r="M1298" s="90">
        <f t="shared" si="398"/>
        <v>0</v>
      </c>
      <c r="N1298" s="90">
        <f t="shared" si="399"/>
        <v>2</v>
      </c>
      <c r="O1298" s="92">
        <f t="shared" si="400"/>
        <v>400</v>
      </c>
      <c r="P1298" s="92">
        <f t="shared" si="401"/>
        <v>400</v>
      </c>
      <c r="Q1298" s="92">
        <f t="shared" si="402"/>
        <v>0</v>
      </c>
    </row>
    <row r="1299" hidden="1" outlineLevel="1">
      <c r="A1299" s="58"/>
      <c r="B1299" s="58"/>
      <c r="C1299" s="10"/>
      <c r="D1299" s="129" t="s">
        <v>183</v>
      </c>
      <c r="E1299" s="129" t="s">
        <v>1758</v>
      </c>
      <c r="F1299" s="130">
        <v>150.0</v>
      </c>
      <c r="G1299" s="129"/>
      <c r="H1299" s="44" t="b">
        <v>1</v>
      </c>
      <c r="K1299" s="91" t="s">
        <v>1761</v>
      </c>
      <c r="L1299" s="90">
        <f t="shared" si="397"/>
        <v>0</v>
      </c>
      <c r="M1299" s="90">
        <f t="shared" si="398"/>
        <v>0</v>
      </c>
      <c r="N1299" s="90">
        <f t="shared" si="399"/>
        <v>0</v>
      </c>
      <c r="O1299" s="92">
        <f t="shared" si="400"/>
        <v>0</v>
      </c>
      <c r="P1299" s="92">
        <f t="shared" si="401"/>
        <v>0</v>
      </c>
      <c r="Q1299" s="92">
        <f t="shared" si="402"/>
        <v>0</v>
      </c>
    </row>
    <row r="1300" hidden="1" outlineLevel="1">
      <c r="A1300" s="10"/>
      <c r="B1300" s="10"/>
      <c r="C1300" s="313">
        <v>0.5069444444444444</v>
      </c>
      <c r="D1300" s="129" t="s">
        <v>1849</v>
      </c>
      <c r="E1300" s="129" t="s">
        <v>1758</v>
      </c>
      <c r="F1300" s="130">
        <v>150.0</v>
      </c>
      <c r="G1300" s="129"/>
      <c r="H1300" s="44" t="b">
        <v>1</v>
      </c>
      <c r="K1300" s="91" t="s">
        <v>1833</v>
      </c>
      <c r="L1300" s="90">
        <f t="shared" si="397"/>
        <v>1</v>
      </c>
      <c r="M1300" s="90">
        <f t="shared" si="398"/>
        <v>0</v>
      </c>
      <c r="N1300" s="90">
        <f t="shared" si="399"/>
        <v>1</v>
      </c>
      <c r="O1300" s="92">
        <f t="shared" si="400"/>
        <v>200</v>
      </c>
      <c r="P1300" s="92">
        <f t="shared" si="401"/>
        <v>200</v>
      </c>
      <c r="Q1300" s="92">
        <f t="shared" si="402"/>
        <v>0</v>
      </c>
    </row>
    <row r="1301" hidden="1" outlineLevel="1">
      <c r="A1301" s="125">
        <v>45969.0</v>
      </c>
      <c r="B1301" s="126">
        <f t="shared" ref="B1301:B1302" si="403">A1301</f>
        <v>45969</v>
      </c>
      <c r="C1301" s="313">
        <v>0.3333333333333333</v>
      </c>
      <c r="D1301" s="129" t="s">
        <v>1756</v>
      </c>
      <c r="E1301" s="129" t="s">
        <v>1758</v>
      </c>
      <c r="F1301" s="130">
        <v>150.0</v>
      </c>
      <c r="G1301" s="129"/>
      <c r="H1301" s="44" t="b">
        <v>1</v>
      </c>
      <c r="K1301" s="91" t="s">
        <v>1855</v>
      </c>
      <c r="L1301" s="90">
        <f t="shared" si="397"/>
        <v>2</v>
      </c>
      <c r="M1301" s="90">
        <f t="shared" si="398"/>
        <v>0</v>
      </c>
      <c r="N1301" s="90">
        <f t="shared" si="399"/>
        <v>2</v>
      </c>
      <c r="O1301" s="92">
        <f t="shared" si="400"/>
        <v>0</v>
      </c>
      <c r="P1301" s="92">
        <f t="shared" si="401"/>
        <v>0</v>
      </c>
      <c r="Q1301" s="92">
        <f t="shared" si="402"/>
        <v>0</v>
      </c>
    </row>
    <row r="1302" hidden="1" outlineLevel="1">
      <c r="A1302" s="102">
        <v>45970.0</v>
      </c>
      <c r="B1302" s="97">
        <f t="shared" si="403"/>
        <v>45970</v>
      </c>
      <c r="C1302" s="313">
        <v>0.3333333333333333</v>
      </c>
      <c r="D1302" s="129" t="s">
        <v>1828</v>
      </c>
      <c r="E1302" s="129" t="s">
        <v>1758</v>
      </c>
      <c r="F1302" s="130">
        <v>200.0</v>
      </c>
      <c r="G1302" s="129"/>
      <c r="H1302" s="44" t="b">
        <v>1</v>
      </c>
      <c r="K1302" s="276"/>
      <c r="L1302" s="90"/>
      <c r="M1302" s="276"/>
      <c r="N1302" s="276"/>
      <c r="O1302" s="276"/>
      <c r="P1302" s="276"/>
      <c r="Q1302" s="276"/>
    </row>
    <row r="1303" hidden="1" outlineLevel="1">
      <c r="A1303" s="58"/>
      <c r="B1303" s="58"/>
      <c r="C1303" s="313">
        <v>0.4583333333333333</v>
      </c>
      <c r="D1303" s="129" t="s">
        <v>562</v>
      </c>
      <c r="E1303" s="129" t="s">
        <v>1758</v>
      </c>
      <c r="F1303" s="130">
        <v>200.0</v>
      </c>
      <c r="G1303" s="129"/>
      <c r="H1303" s="44" t="b">
        <v>1</v>
      </c>
      <c r="K1303" s="276"/>
      <c r="L1303" s="90"/>
      <c r="M1303" s="276"/>
      <c r="N1303" s="276"/>
      <c r="O1303" s="276"/>
      <c r="P1303" s="276"/>
      <c r="Q1303" s="276"/>
    </row>
    <row r="1304" hidden="1" outlineLevel="1">
      <c r="A1304" s="10"/>
      <c r="B1304" s="10"/>
      <c r="C1304" s="313">
        <v>0.7708333333333334</v>
      </c>
      <c r="D1304" s="129" t="s">
        <v>1845</v>
      </c>
      <c r="E1304" s="129" t="s">
        <v>1758</v>
      </c>
      <c r="F1304" s="130">
        <v>200.0</v>
      </c>
      <c r="G1304" s="129"/>
      <c r="H1304" s="44" t="b">
        <v>1</v>
      </c>
      <c r="K1304" s="91"/>
      <c r="L1304" s="90"/>
      <c r="M1304" s="90"/>
      <c r="N1304" s="90"/>
      <c r="O1304" s="92"/>
      <c r="P1304" s="92"/>
      <c r="Q1304" s="90"/>
    </row>
    <row r="1305" hidden="1" outlineLevel="1">
      <c r="A1305" s="102">
        <v>45971.0</v>
      </c>
      <c r="B1305" s="97">
        <f>A1305</f>
        <v>45971</v>
      </c>
      <c r="C1305" s="313">
        <v>0.2916666666666667</v>
      </c>
      <c r="D1305" s="129" t="s">
        <v>1756</v>
      </c>
      <c r="E1305" s="129" t="s">
        <v>1758</v>
      </c>
      <c r="F1305" s="130">
        <v>150.0</v>
      </c>
      <c r="G1305" s="129"/>
      <c r="H1305" s="44" t="b">
        <v>1</v>
      </c>
      <c r="K1305" s="477" t="s">
        <v>195</v>
      </c>
      <c r="L1305" s="478">
        <f t="shared" ref="L1305:Q1305" si="404">SUM(L1287:L1304)</f>
        <v>60</v>
      </c>
      <c r="M1305" s="478">
        <f t="shared" si="404"/>
        <v>8</v>
      </c>
      <c r="N1305" s="478">
        <f t="shared" si="404"/>
        <v>68</v>
      </c>
      <c r="O1305" s="479">
        <f t="shared" si="404"/>
        <v>10650</v>
      </c>
      <c r="P1305" s="479">
        <f t="shared" si="404"/>
        <v>10650</v>
      </c>
      <c r="Q1305" s="479">
        <f t="shared" si="404"/>
        <v>0</v>
      </c>
    </row>
    <row r="1306" hidden="1" outlineLevel="1">
      <c r="A1306" s="10"/>
      <c r="B1306" s="10"/>
      <c r="C1306" s="313">
        <v>0.5069444444444444</v>
      </c>
      <c r="D1306" s="129" t="s">
        <v>1849</v>
      </c>
      <c r="E1306" s="129" t="s">
        <v>1758</v>
      </c>
      <c r="F1306" s="130">
        <v>150.0</v>
      </c>
      <c r="G1306" s="129"/>
      <c r="H1306" s="44" t="b">
        <v>1</v>
      </c>
    </row>
    <row r="1307" hidden="1" outlineLevel="1">
      <c r="A1307" s="102">
        <v>45972.0</v>
      </c>
      <c r="B1307" s="97">
        <f>A1307</f>
        <v>45972</v>
      </c>
      <c r="C1307" s="398">
        <v>0.2916666666666667</v>
      </c>
      <c r="D1307" s="129" t="s">
        <v>1756</v>
      </c>
      <c r="E1307" s="129" t="s">
        <v>469</v>
      </c>
      <c r="F1307" s="130">
        <v>150.0</v>
      </c>
      <c r="G1307" s="129"/>
      <c r="H1307" s="44" t="b">
        <v>1</v>
      </c>
    </row>
    <row r="1308" hidden="1" outlineLevel="1">
      <c r="A1308" s="58"/>
      <c r="B1308" s="58"/>
      <c r="C1308" s="10"/>
      <c r="D1308" s="129" t="s">
        <v>183</v>
      </c>
      <c r="E1308" s="129" t="s">
        <v>1758</v>
      </c>
      <c r="F1308" s="130">
        <v>150.0</v>
      </c>
      <c r="G1308" s="129"/>
      <c r="H1308" s="44" t="b">
        <v>1</v>
      </c>
    </row>
    <row r="1309" hidden="1" outlineLevel="1">
      <c r="A1309" s="10"/>
      <c r="B1309" s="10"/>
      <c r="C1309" s="313">
        <v>0.5069444444444444</v>
      </c>
      <c r="D1309" s="129" t="s">
        <v>1849</v>
      </c>
      <c r="E1309" s="129" t="s">
        <v>1758</v>
      </c>
      <c r="F1309" s="130">
        <v>150.0</v>
      </c>
      <c r="G1309" s="129"/>
      <c r="H1309" s="44" t="b">
        <v>1</v>
      </c>
    </row>
    <row r="1310" hidden="1" outlineLevel="1">
      <c r="A1310" s="102">
        <v>45973.0</v>
      </c>
      <c r="B1310" s="97">
        <f>A1310</f>
        <v>45973</v>
      </c>
      <c r="C1310" s="313">
        <v>0.2916666666666667</v>
      </c>
      <c r="D1310" s="129" t="s">
        <v>1756</v>
      </c>
      <c r="E1310" s="129" t="s">
        <v>1758</v>
      </c>
      <c r="F1310" s="130">
        <v>150.0</v>
      </c>
      <c r="G1310" s="129"/>
      <c r="H1310" s="44" t="b">
        <v>1</v>
      </c>
    </row>
    <row r="1311" hidden="1" outlineLevel="1">
      <c r="A1311" s="58"/>
      <c r="B1311" s="58"/>
      <c r="C1311" s="313">
        <v>0.5069444444444444</v>
      </c>
      <c r="D1311" s="129" t="s">
        <v>1849</v>
      </c>
      <c r="E1311" s="129" t="s">
        <v>1758</v>
      </c>
      <c r="F1311" s="130">
        <v>150.0</v>
      </c>
      <c r="G1311" s="129"/>
      <c r="H1311" s="44" t="b">
        <v>1</v>
      </c>
    </row>
    <row r="1312" hidden="1" outlineLevel="1">
      <c r="A1312" s="10"/>
      <c r="B1312" s="10"/>
      <c r="C1312" s="313">
        <v>0.7916666666666666</v>
      </c>
      <c r="D1312" s="129" t="s">
        <v>1855</v>
      </c>
      <c r="E1312" s="129" t="s">
        <v>1758</v>
      </c>
      <c r="F1312" s="130">
        <v>0.0</v>
      </c>
      <c r="G1312" s="129" t="s">
        <v>2079</v>
      </c>
      <c r="H1312" s="44" t="b">
        <v>1</v>
      </c>
    </row>
    <row r="1313" hidden="1" outlineLevel="1">
      <c r="A1313" s="102">
        <v>45974.0</v>
      </c>
      <c r="B1313" s="97">
        <f>A1313</f>
        <v>45974</v>
      </c>
      <c r="C1313" s="313">
        <v>0.2916666666666667</v>
      </c>
      <c r="D1313" s="129" t="s">
        <v>1756</v>
      </c>
      <c r="E1313" s="129" t="s">
        <v>1758</v>
      </c>
      <c r="F1313" s="130">
        <v>150.0</v>
      </c>
      <c r="G1313" s="129"/>
      <c r="H1313" s="44" t="b">
        <v>1</v>
      </c>
    </row>
    <row r="1314" hidden="1" outlineLevel="1">
      <c r="A1314" s="10"/>
      <c r="B1314" s="10"/>
      <c r="C1314" s="313">
        <v>0.5069444444444444</v>
      </c>
      <c r="D1314" s="129" t="s">
        <v>1756</v>
      </c>
      <c r="E1314" s="129" t="s">
        <v>1758</v>
      </c>
      <c r="F1314" s="130">
        <v>150.0</v>
      </c>
      <c r="G1314" s="129"/>
      <c r="H1314" s="44" t="b">
        <v>1</v>
      </c>
    </row>
    <row r="1315" hidden="1" outlineLevel="1">
      <c r="A1315" s="102">
        <v>45975.0</v>
      </c>
      <c r="B1315" s="97">
        <f>A1315</f>
        <v>45975</v>
      </c>
      <c r="C1315" s="398">
        <v>0.2916666666666667</v>
      </c>
      <c r="D1315" s="129" t="s">
        <v>1756</v>
      </c>
      <c r="E1315" s="129" t="s">
        <v>469</v>
      </c>
      <c r="F1315" s="130">
        <v>150.0</v>
      </c>
      <c r="G1315" s="129"/>
      <c r="H1315" s="44" t="b">
        <v>1</v>
      </c>
    </row>
    <row r="1316" hidden="1" outlineLevel="1">
      <c r="A1316" s="58"/>
      <c r="B1316" s="58"/>
      <c r="C1316" s="10"/>
      <c r="D1316" s="129" t="s">
        <v>183</v>
      </c>
      <c r="E1316" s="129" t="s">
        <v>1758</v>
      </c>
      <c r="F1316" s="130">
        <v>150.0</v>
      </c>
      <c r="G1316" s="129"/>
      <c r="H1316" s="44" t="b">
        <v>1</v>
      </c>
    </row>
    <row r="1317" hidden="1" outlineLevel="1">
      <c r="A1317" s="10"/>
      <c r="B1317" s="10"/>
      <c r="C1317" s="313">
        <v>0.5069444444444444</v>
      </c>
      <c r="D1317" s="129" t="s">
        <v>1849</v>
      </c>
      <c r="E1317" s="129" t="s">
        <v>1758</v>
      </c>
      <c r="F1317" s="130">
        <v>150.0</v>
      </c>
      <c r="G1317" s="129"/>
      <c r="H1317" s="44" t="b">
        <v>1</v>
      </c>
    </row>
    <row r="1318" hidden="1" outlineLevel="1">
      <c r="A1318" s="125">
        <v>45976.0</v>
      </c>
      <c r="B1318" s="126">
        <f t="shared" ref="B1318:B1319" si="405">A1318</f>
        <v>45976</v>
      </c>
      <c r="C1318" s="313">
        <v>0.3333333333333333</v>
      </c>
      <c r="D1318" s="129" t="s">
        <v>1756</v>
      </c>
      <c r="E1318" s="129" t="s">
        <v>1758</v>
      </c>
      <c r="F1318" s="130">
        <v>150.0</v>
      </c>
      <c r="G1318" s="129"/>
      <c r="H1318" s="44" t="b">
        <v>1</v>
      </c>
    </row>
    <row r="1319" hidden="1" outlineLevel="1">
      <c r="A1319" s="102">
        <v>45977.0</v>
      </c>
      <c r="B1319" s="97">
        <f t="shared" si="405"/>
        <v>45977</v>
      </c>
      <c r="C1319" s="313">
        <v>0.3333333333333333</v>
      </c>
      <c r="D1319" s="129" t="s">
        <v>1848</v>
      </c>
      <c r="E1319" s="129" t="s">
        <v>1758</v>
      </c>
      <c r="F1319" s="130">
        <v>200.0</v>
      </c>
      <c r="G1319" s="129"/>
      <c r="H1319" s="44" t="b">
        <v>1</v>
      </c>
    </row>
    <row r="1320" hidden="1" outlineLevel="1">
      <c r="A1320" s="58"/>
      <c r="B1320" s="58"/>
      <c r="C1320" s="313">
        <v>0.4583333333333333</v>
      </c>
      <c r="D1320" s="129" t="s">
        <v>1785</v>
      </c>
      <c r="E1320" s="129" t="s">
        <v>1758</v>
      </c>
      <c r="F1320" s="130">
        <v>200.0</v>
      </c>
      <c r="G1320" s="129"/>
      <c r="H1320" s="44" t="b">
        <v>1</v>
      </c>
    </row>
    <row r="1321" hidden="1" outlineLevel="1">
      <c r="A1321" s="10"/>
      <c r="B1321" s="10"/>
      <c r="C1321" s="313">
        <v>0.7708333333333334</v>
      </c>
      <c r="D1321" s="129" t="s">
        <v>1838</v>
      </c>
      <c r="E1321" s="129" t="s">
        <v>1758</v>
      </c>
      <c r="F1321" s="130">
        <v>200.0</v>
      </c>
      <c r="G1321" s="129"/>
      <c r="H1321" s="44" t="b">
        <v>1</v>
      </c>
    </row>
    <row r="1322" hidden="1" outlineLevel="1">
      <c r="A1322" s="102">
        <v>45978.0</v>
      </c>
      <c r="B1322" s="97">
        <f>A1322</f>
        <v>45978</v>
      </c>
      <c r="C1322" s="313">
        <v>0.2916666666666667</v>
      </c>
      <c r="D1322" s="129" t="s">
        <v>1756</v>
      </c>
      <c r="E1322" s="129" t="s">
        <v>1758</v>
      </c>
      <c r="F1322" s="130">
        <v>150.0</v>
      </c>
      <c r="G1322" s="129"/>
      <c r="H1322" s="44" t="b">
        <v>1</v>
      </c>
    </row>
    <row r="1323" hidden="1" outlineLevel="1">
      <c r="A1323" s="10"/>
      <c r="B1323" s="10"/>
      <c r="C1323" s="313">
        <v>0.5069444444444444</v>
      </c>
      <c r="D1323" s="129" t="s">
        <v>1849</v>
      </c>
      <c r="E1323" s="129" t="s">
        <v>1758</v>
      </c>
      <c r="F1323" s="130">
        <v>150.0</v>
      </c>
      <c r="G1323" s="129"/>
      <c r="H1323" s="44" t="b">
        <v>1</v>
      </c>
    </row>
    <row r="1324" hidden="1" outlineLevel="1">
      <c r="A1324" s="102">
        <v>45979.0</v>
      </c>
      <c r="B1324" s="97">
        <f>A1324</f>
        <v>45979</v>
      </c>
      <c r="C1324" s="398">
        <v>0.2916666666666667</v>
      </c>
      <c r="D1324" s="129" t="s">
        <v>1756</v>
      </c>
      <c r="E1324" s="129" t="s">
        <v>469</v>
      </c>
      <c r="F1324" s="130">
        <v>150.0</v>
      </c>
      <c r="G1324" s="129"/>
      <c r="H1324" s="44" t="b">
        <v>1</v>
      </c>
    </row>
    <row r="1325" hidden="1" outlineLevel="1">
      <c r="A1325" s="58"/>
      <c r="B1325" s="58"/>
      <c r="C1325" s="10"/>
      <c r="D1325" s="129" t="s">
        <v>183</v>
      </c>
      <c r="E1325" s="129" t="s">
        <v>1758</v>
      </c>
      <c r="F1325" s="130">
        <v>150.0</v>
      </c>
      <c r="G1325" s="129"/>
      <c r="H1325" s="44" t="b">
        <v>1</v>
      </c>
    </row>
    <row r="1326" hidden="1" outlineLevel="1">
      <c r="A1326" s="10"/>
      <c r="B1326" s="10"/>
      <c r="C1326" s="313">
        <v>0.5069444444444444</v>
      </c>
      <c r="D1326" s="129" t="s">
        <v>1849</v>
      </c>
      <c r="E1326" s="129" t="s">
        <v>1758</v>
      </c>
      <c r="F1326" s="130">
        <v>150.0</v>
      </c>
      <c r="G1326" s="129"/>
      <c r="H1326" s="44" t="b">
        <v>1</v>
      </c>
    </row>
    <row r="1327" hidden="1" outlineLevel="1">
      <c r="A1327" s="102">
        <v>45980.0</v>
      </c>
      <c r="B1327" s="97">
        <f>A1327</f>
        <v>45980</v>
      </c>
      <c r="C1327" s="313">
        <v>0.2916666666666667</v>
      </c>
      <c r="D1327" s="129" t="s">
        <v>1756</v>
      </c>
      <c r="E1327" s="129" t="s">
        <v>1758</v>
      </c>
      <c r="F1327" s="130">
        <v>150.0</v>
      </c>
      <c r="G1327" s="129"/>
      <c r="H1327" s="44" t="b">
        <v>1</v>
      </c>
    </row>
    <row r="1328" hidden="1" outlineLevel="1">
      <c r="A1328" s="10"/>
      <c r="B1328" s="10"/>
      <c r="C1328" s="313">
        <v>0.5069444444444444</v>
      </c>
      <c r="D1328" s="129" t="s">
        <v>1849</v>
      </c>
      <c r="E1328" s="129" t="s">
        <v>1758</v>
      </c>
      <c r="F1328" s="130">
        <v>150.0</v>
      </c>
      <c r="G1328" s="129"/>
      <c r="H1328" s="44" t="b">
        <v>1</v>
      </c>
    </row>
    <row r="1329" hidden="1" outlineLevel="1">
      <c r="A1329" s="125">
        <v>45981.0</v>
      </c>
      <c r="B1329" s="126">
        <f t="shared" ref="B1329:B1330" si="406">A1329</f>
        <v>45981</v>
      </c>
      <c r="C1329" s="313">
        <v>0.3333333333333333</v>
      </c>
      <c r="D1329" s="129" t="s">
        <v>1756</v>
      </c>
      <c r="E1329" s="129" t="s">
        <v>1758</v>
      </c>
      <c r="F1329" s="130">
        <v>150.0</v>
      </c>
      <c r="G1329" s="129"/>
      <c r="H1329" s="44" t="b">
        <v>1</v>
      </c>
    </row>
    <row r="1330" hidden="1" outlineLevel="1">
      <c r="A1330" s="102">
        <v>45982.0</v>
      </c>
      <c r="B1330" s="97">
        <f t="shared" si="406"/>
        <v>45982</v>
      </c>
      <c r="C1330" s="398">
        <v>0.2916666666666667</v>
      </c>
      <c r="D1330" s="129" t="s">
        <v>1756</v>
      </c>
      <c r="E1330" s="129" t="s">
        <v>469</v>
      </c>
      <c r="F1330" s="130">
        <v>150.0</v>
      </c>
      <c r="G1330" s="129"/>
      <c r="H1330" s="44" t="b">
        <v>1</v>
      </c>
    </row>
    <row r="1331" hidden="1" outlineLevel="1">
      <c r="A1331" s="58"/>
      <c r="B1331" s="58"/>
      <c r="C1331" s="10"/>
      <c r="D1331" s="129" t="s">
        <v>183</v>
      </c>
      <c r="E1331" s="129" t="s">
        <v>1758</v>
      </c>
      <c r="F1331" s="130">
        <v>150.0</v>
      </c>
      <c r="G1331" s="129"/>
      <c r="H1331" s="44" t="b">
        <v>1</v>
      </c>
    </row>
    <row r="1332" hidden="1" outlineLevel="1">
      <c r="A1332" s="10"/>
      <c r="B1332" s="10"/>
      <c r="C1332" s="313">
        <v>0.5069444444444444</v>
      </c>
      <c r="D1332" s="129" t="s">
        <v>1849</v>
      </c>
      <c r="E1332" s="129" t="s">
        <v>1758</v>
      </c>
      <c r="F1332" s="130">
        <v>150.0</v>
      </c>
      <c r="G1332" s="129"/>
      <c r="H1332" s="44" t="b">
        <v>1</v>
      </c>
    </row>
    <row r="1333" hidden="1" outlineLevel="1">
      <c r="A1333" s="125">
        <v>45983.0</v>
      </c>
      <c r="B1333" s="126">
        <f t="shared" ref="B1333:B1334" si="407">A1333</f>
        <v>45983</v>
      </c>
      <c r="C1333" s="313">
        <v>0.3333333333333333</v>
      </c>
      <c r="D1333" s="129" t="s">
        <v>1756</v>
      </c>
      <c r="E1333" s="129" t="s">
        <v>1758</v>
      </c>
      <c r="F1333" s="130">
        <v>150.0</v>
      </c>
      <c r="G1333" s="129"/>
      <c r="H1333" s="44" t="b">
        <v>1</v>
      </c>
    </row>
    <row r="1334" hidden="1" outlineLevel="1">
      <c r="A1334" s="102">
        <v>45984.0</v>
      </c>
      <c r="B1334" s="97">
        <f t="shared" si="407"/>
        <v>45984</v>
      </c>
      <c r="C1334" s="313">
        <v>0.3333333333333333</v>
      </c>
      <c r="D1334" s="129" t="s">
        <v>1828</v>
      </c>
      <c r="E1334" s="129" t="s">
        <v>1758</v>
      </c>
      <c r="F1334" s="130">
        <v>200.0</v>
      </c>
      <c r="G1334" s="129"/>
      <c r="H1334" s="44" t="b">
        <v>1</v>
      </c>
    </row>
    <row r="1335" hidden="1" outlineLevel="1">
      <c r="A1335" s="58"/>
      <c r="B1335" s="58"/>
      <c r="C1335" s="313">
        <v>0.4583333333333333</v>
      </c>
      <c r="D1335" s="129" t="s">
        <v>562</v>
      </c>
      <c r="E1335" s="129" t="s">
        <v>1758</v>
      </c>
      <c r="F1335" s="130">
        <v>200.0</v>
      </c>
      <c r="G1335" s="129"/>
      <c r="H1335" s="44" t="b">
        <v>1</v>
      </c>
    </row>
    <row r="1336" hidden="1" outlineLevel="1">
      <c r="A1336" s="10"/>
      <c r="B1336" s="10"/>
      <c r="C1336" s="313">
        <v>0.7708333333333334</v>
      </c>
      <c r="D1336" s="129" t="s">
        <v>1833</v>
      </c>
      <c r="E1336" s="129" t="s">
        <v>1758</v>
      </c>
      <c r="F1336" s="130">
        <v>200.0</v>
      </c>
      <c r="G1336" s="129"/>
      <c r="H1336" s="44" t="b">
        <v>1</v>
      </c>
    </row>
    <row r="1337" hidden="1" outlineLevel="1">
      <c r="A1337" s="102">
        <v>45985.0</v>
      </c>
      <c r="B1337" s="97">
        <f>A1337</f>
        <v>45985</v>
      </c>
      <c r="C1337" s="313">
        <v>0.2916666666666667</v>
      </c>
      <c r="D1337" s="129" t="s">
        <v>1756</v>
      </c>
      <c r="E1337" s="129" t="s">
        <v>1758</v>
      </c>
      <c r="F1337" s="130">
        <v>150.0</v>
      </c>
      <c r="G1337" s="129"/>
      <c r="H1337" s="44" t="b">
        <v>1</v>
      </c>
    </row>
    <row r="1338" hidden="1" outlineLevel="1">
      <c r="A1338" s="10"/>
      <c r="B1338" s="10"/>
      <c r="C1338" s="313">
        <v>0.5069444444444444</v>
      </c>
      <c r="D1338" s="129" t="s">
        <v>1849</v>
      </c>
      <c r="E1338" s="129" t="s">
        <v>1758</v>
      </c>
      <c r="F1338" s="130">
        <v>150.0</v>
      </c>
      <c r="G1338" s="129"/>
      <c r="H1338" s="44" t="b">
        <v>1</v>
      </c>
    </row>
    <row r="1339" hidden="1" outlineLevel="1">
      <c r="A1339" s="102">
        <v>45986.0</v>
      </c>
      <c r="B1339" s="97">
        <f>A1339</f>
        <v>45986</v>
      </c>
      <c r="C1339" s="398">
        <v>0.2916666666666667</v>
      </c>
      <c r="D1339" s="129" t="s">
        <v>1756</v>
      </c>
      <c r="E1339" s="129" t="s">
        <v>469</v>
      </c>
      <c r="F1339" s="130">
        <v>150.0</v>
      </c>
      <c r="G1339" s="129"/>
      <c r="H1339" s="44" t="b">
        <v>1</v>
      </c>
    </row>
    <row r="1340" hidden="1" outlineLevel="1">
      <c r="A1340" s="58"/>
      <c r="B1340" s="58"/>
      <c r="C1340" s="10"/>
      <c r="D1340" s="129" t="s">
        <v>183</v>
      </c>
      <c r="E1340" s="129" t="s">
        <v>1758</v>
      </c>
      <c r="F1340" s="130">
        <v>150.0</v>
      </c>
      <c r="G1340" s="129"/>
      <c r="H1340" s="44" t="b">
        <v>1</v>
      </c>
    </row>
    <row r="1341" hidden="1" outlineLevel="1">
      <c r="A1341" s="10"/>
      <c r="B1341" s="10"/>
      <c r="C1341" s="313">
        <v>0.5069444444444444</v>
      </c>
      <c r="D1341" s="129" t="s">
        <v>1855</v>
      </c>
      <c r="E1341" s="129" t="s">
        <v>1758</v>
      </c>
      <c r="F1341" s="130">
        <v>0.0</v>
      </c>
      <c r="G1341" s="129"/>
      <c r="H1341" s="44" t="b">
        <v>1</v>
      </c>
    </row>
    <row r="1342" hidden="1" outlineLevel="1">
      <c r="A1342" s="102">
        <v>45987.0</v>
      </c>
      <c r="B1342" s="97">
        <f>A1342</f>
        <v>45987</v>
      </c>
      <c r="C1342" s="313">
        <v>0.2916666666666667</v>
      </c>
      <c r="D1342" s="129" t="s">
        <v>1756</v>
      </c>
      <c r="E1342" s="129" t="s">
        <v>1758</v>
      </c>
      <c r="F1342" s="130">
        <v>150.0</v>
      </c>
      <c r="G1342" s="129"/>
      <c r="H1342" s="44" t="b">
        <v>1</v>
      </c>
    </row>
    <row r="1343" hidden="1" outlineLevel="1">
      <c r="A1343" s="10"/>
      <c r="B1343" s="10"/>
      <c r="C1343" s="313">
        <v>0.5069444444444444</v>
      </c>
      <c r="D1343" s="129" t="s">
        <v>1849</v>
      </c>
      <c r="E1343" s="129" t="s">
        <v>1758</v>
      </c>
      <c r="F1343" s="130">
        <v>150.0</v>
      </c>
      <c r="G1343" s="129"/>
      <c r="H1343" s="44" t="b">
        <v>1</v>
      </c>
    </row>
    <row r="1344" hidden="1" outlineLevel="1">
      <c r="A1344" s="102">
        <v>45988.0</v>
      </c>
      <c r="B1344" s="97">
        <f>A1344</f>
        <v>45988</v>
      </c>
      <c r="C1344" s="313">
        <v>0.2916666666666667</v>
      </c>
      <c r="D1344" s="129" t="s">
        <v>1756</v>
      </c>
      <c r="E1344" s="129" t="s">
        <v>1758</v>
      </c>
      <c r="F1344" s="130">
        <v>150.0</v>
      </c>
      <c r="G1344" s="129"/>
      <c r="H1344" s="44" t="b">
        <v>1</v>
      </c>
    </row>
    <row r="1345" hidden="1" outlineLevel="1">
      <c r="A1345" s="10"/>
      <c r="B1345" s="10"/>
      <c r="C1345" s="313">
        <v>0.5069444444444444</v>
      </c>
      <c r="D1345" s="129" t="s">
        <v>562</v>
      </c>
      <c r="E1345" s="129" t="s">
        <v>1758</v>
      </c>
      <c r="F1345" s="130">
        <v>150.0</v>
      </c>
      <c r="G1345" s="129"/>
      <c r="H1345" s="44" t="b">
        <v>1</v>
      </c>
    </row>
    <row r="1346" hidden="1" outlineLevel="1">
      <c r="A1346" s="102">
        <v>45989.0</v>
      </c>
      <c r="B1346" s="97">
        <f>A1346</f>
        <v>45989</v>
      </c>
      <c r="C1346" s="398">
        <v>0.2916666666666667</v>
      </c>
      <c r="D1346" s="129" t="s">
        <v>1756</v>
      </c>
      <c r="E1346" s="129" t="s">
        <v>469</v>
      </c>
      <c r="F1346" s="130">
        <v>150.0</v>
      </c>
      <c r="G1346" s="129"/>
      <c r="H1346" s="44" t="b">
        <v>1</v>
      </c>
    </row>
    <row r="1347" hidden="1" outlineLevel="1">
      <c r="A1347" s="58"/>
      <c r="B1347" s="58"/>
      <c r="C1347" s="10"/>
      <c r="D1347" s="129" t="s">
        <v>183</v>
      </c>
      <c r="E1347" s="129" t="s">
        <v>1758</v>
      </c>
      <c r="F1347" s="130">
        <v>150.0</v>
      </c>
      <c r="G1347" s="129"/>
      <c r="H1347" s="44" t="b">
        <v>1</v>
      </c>
    </row>
    <row r="1348" hidden="1" outlineLevel="1">
      <c r="A1348" s="10"/>
      <c r="B1348" s="10"/>
      <c r="C1348" s="313">
        <v>0.5069444444444444</v>
      </c>
      <c r="D1348" s="129" t="s">
        <v>1849</v>
      </c>
      <c r="E1348" s="129" t="s">
        <v>1758</v>
      </c>
      <c r="F1348" s="130">
        <v>150.0</v>
      </c>
      <c r="G1348" s="129"/>
      <c r="H1348" s="44" t="b">
        <v>1</v>
      </c>
    </row>
    <row r="1349" hidden="1" outlineLevel="1">
      <c r="A1349" s="125">
        <v>45990.0</v>
      </c>
      <c r="B1349" s="126">
        <f t="shared" ref="B1349:B1350" si="408">A1349</f>
        <v>45990</v>
      </c>
      <c r="C1349" s="313">
        <v>0.3333333333333333</v>
      </c>
      <c r="D1349" s="129" t="s">
        <v>1756</v>
      </c>
      <c r="E1349" s="129" t="s">
        <v>1758</v>
      </c>
      <c r="F1349" s="130">
        <v>150.0</v>
      </c>
      <c r="G1349" s="129"/>
      <c r="H1349" s="44" t="b">
        <v>1</v>
      </c>
    </row>
    <row r="1350" hidden="1" outlineLevel="1">
      <c r="A1350" s="102">
        <v>45991.0</v>
      </c>
      <c r="B1350" s="97">
        <f t="shared" si="408"/>
        <v>45991</v>
      </c>
      <c r="C1350" s="313">
        <v>0.3333333333333333</v>
      </c>
      <c r="D1350" s="129" t="s">
        <v>1840</v>
      </c>
      <c r="E1350" s="129" t="s">
        <v>1758</v>
      </c>
      <c r="F1350" s="130">
        <v>200.0</v>
      </c>
      <c r="G1350" s="129"/>
      <c r="H1350" s="44" t="b">
        <v>1</v>
      </c>
    </row>
    <row r="1351" hidden="1" outlineLevel="1">
      <c r="A1351" s="58"/>
      <c r="B1351" s="58"/>
      <c r="C1351" s="313">
        <v>0.4583333333333333</v>
      </c>
      <c r="D1351" s="129" t="s">
        <v>1785</v>
      </c>
      <c r="E1351" s="129" t="s">
        <v>1758</v>
      </c>
      <c r="F1351" s="130">
        <v>200.0</v>
      </c>
      <c r="G1351" s="129"/>
      <c r="H1351" s="44" t="b">
        <v>1</v>
      </c>
    </row>
    <row r="1352" hidden="1" outlineLevel="1">
      <c r="A1352" s="10"/>
      <c r="B1352" s="10"/>
      <c r="C1352" s="313">
        <v>0.7708333333333334</v>
      </c>
      <c r="D1352" s="129" t="s">
        <v>1838</v>
      </c>
      <c r="E1352" s="129" t="s">
        <v>1758</v>
      </c>
      <c r="F1352" s="130">
        <v>200.0</v>
      </c>
      <c r="G1352" s="129"/>
      <c r="H1352" s="44" t="b">
        <v>1</v>
      </c>
    </row>
    <row r="1353">
      <c r="A1353" s="484" t="s">
        <v>195</v>
      </c>
      <c r="B1353" s="27"/>
      <c r="C1353" s="27"/>
      <c r="D1353" s="27"/>
      <c r="E1353" s="28"/>
      <c r="F1353" s="485">
        <f>SUM(F1285:F1352)</f>
        <v>10650</v>
      </c>
      <c r="G1353" s="486"/>
      <c r="H1353" s="28"/>
    </row>
    <row r="1354" collapsed="1">
      <c r="A1354" s="339" t="s">
        <v>1343</v>
      </c>
      <c r="B1354" s="246"/>
      <c r="C1354" s="246"/>
      <c r="D1354" s="246"/>
      <c r="E1354" s="246"/>
      <c r="F1354" s="246"/>
      <c r="G1354" s="246"/>
      <c r="H1354" s="247"/>
    </row>
    <row r="1355" hidden="1" outlineLevel="1">
      <c r="A1355" s="102">
        <v>45992.0</v>
      </c>
      <c r="B1355" s="97">
        <f>A1355</f>
        <v>45992</v>
      </c>
      <c r="C1355" s="313">
        <v>0.2916666666666667</v>
      </c>
      <c r="D1355" s="129" t="s">
        <v>1756</v>
      </c>
      <c r="E1355" s="129" t="s">
        <v>1758</v>
      </c>
      <c r="F1355" s="130">
        <v>150.0</v>
      </c>
      <c r="G1355" s="129"/>
      <c r="H1355" s="44" t="b">
        <v>1</v>
      </c>
      <c r="K1355" s="440" t="s">
        <v>2080</v>
      </c>
      <c r="L1355" s="27"/>
      <c r="M1355" s="27"/>
      <c r="N1355" s="27"/>
      <c r="O1355" s="27"/>
      <c r="P1355" s="27"/>
      <c r="Q1355" s="28"/>
    </row>
    <row r="1356" hidden="1" outlineLevel="1">
      <c r="A1356" s="10"/>
      <c r="B1356" s="10"/>
      <c r="C1356" s="313">
        <v>0.5069444444444444</v>
      </c>
      <c r="D1356" s="129" t="s">
        <v>1849</v>
      </c>
      <c r="E1356" s="129" t="s">
        <v>1758</v>
      </c>
      <c r="F1356" s="130">
        <v>150.0</v>
      </c>
      <c r="G1356" s="129"/>
      <c r="H1356" s="44" t="b">
        <v>1</v>
      </c>
      <c r="K1356" s="441" t="s">
        <v>1749</v>
      </c>
      <c r="L1356" s="441" t="s">
        <v>1758</v>
      </c>
      <c r="M1356" s="441" t="s">
        <v>469</v>
      </c>
      <c r="N1356" s="441" t="s">
        <v>195</v>
      </c>
      <c r="O1356" s="441" t="s">
        <v>1764</v>
      </c>
      <c r="P1356" s="441" t="s">
        <v>1765</v>
      </c>
      <c r="Q1356" s="441" t="s">
        <v>1766</v>
      </c>
    </row>
    <row r="1357" hidden="1" outlineLevel="1">
      <c r="A1357" s="102">
        <v>45993.0</v>
      </c>
      <c r="B1357" s="97">
        <f>A1357</f>
        <v>45993</v>
      </c>
      <c r="C1357" s="398">
        <v>0.2916666666666667</v>
      </c>
      <c r="D1357" s="129" t="s">
        <v>1756</v>
      </c>
      <c r="E1357" s="129" t="s">
        <v>469</v>
      </c>
      <c r="F1357" s="130">
        <v>150.0</v>
      </c>
      <c r="G1357" s="129"/>
      <c r="H1357" s="44" t="b">
        <v>1</v>
      </c>
      <c r="K1357" s="91" t="s">
        <v>1756</v>
      </c>
      <c r="L1357" s="90">
        <f t="shared" ref="L1357:L1371" si="409">COUNTIFS($D$1355:$D$1424, $K1357,$E$1355:$E$1424,$L$1356)</f>
        <v>15</v>
      </c>
      <c r="M1357" s="90">
        <f t="shared" ref="M1357:M1371" si="410">COUNTIFS($D$1355:$D$1424, $K1357,$E$1355:$E$1424,$M$1356)</f>
        <v>10</v>
      </c>
      <c r="N1357" s="90">
        <f t="shared" ref="N1357:N1371" si="411">L1357+M1357</f>
        <v>25</v>
      </c>
      <c r="O1357" s="92">
        <f t="shared" ref="O1357:O1371" si="412">SUMIFS($F$1355:$F$1424,$D$1355:$D$1424,$K1357)</f>
        <v>3750</v>
      </c>
      <c r="P1357" s="92">
        <f t="shared" ref="P1357:P1371" si="413">SUMIFS($F$1355:$F$1424,$D$1355:$D$1424,$K1357,$H$1355:$H$1424,TRUE())</f>
        <v>3750</v>
      </c>
      <c r="Q1357" s="92">
        <f t="shared" ref="Q1357:Q1371" si="414">O1357-P1357</f>
        <v>0</v>
      </c>
    </row>
    <row r="1358" hidden="1" outlineLevel="1">
      <c r="A1358" s="58"/>
      <c r="B1358" s="58"/>
      <c r="C1358" s="10"/>
      <c r="D1358" s="129" t="s">
        <v>183</v>
      </c>
      <c r="E1358" s="129" t="s">
        <v>1758</v>
      </c>
      <c r="F1358" s="130">
        <v>150.0</v>
      </c>
      <c r="G1358" s="129"/>
      <c r="H1358" s="44" t="b">
        <v>1</v>
      </c>
      <c r="K1358" s="91" t="s">
        <v>1857</v>
      </c>
      <c r="L1358" s="90">
        <f t="shared" si="409"/>
        <v>1</v>
      </c>
      <c r="M1358" s="90">
        <f t="shared" si="410"/>
        <v>0</v>
      </c>
      <c r="N1358" s="90">
        <f t="shared" si="411"/>
        <v>1</v>
      </c>
      <c r="O1358" s="92">
        <f t="shared" si="412"/>
        <v>200</v>
      </c>
      <c r="P1358" s="92">
        <f t="shared" si="413"/>
        <v>200</v>
      </c>
      <c r="Q1358" s="92">
        <f t="shared" si="414"/>
        <v>0</v>
      </c>
    </row>
    <row r="1359" hidden="1" outlineLevel="1">
      <c r="A1359" s="10"/>
      <c r="B1359" s="10"/>
      <c r="C1359" s="313">
        <v>0.5069444444444444</v>
      </c>
      <c r="D1359" s="129" t="s">
        <v>1849</v>
      </c>
      <c r="E1359" s="129" t="s">
        <v>1758</v>
      </c>
      <c r="F1359" s="130">
        <v>150.0</v>
      </c>
      <c r="G1359" s="129"/>
      <c r="H1359" s="44" t="b">
        <v>1</v>
      </c>
      <c r="K1359" s="91" t="s">
        <v>1856</v>
      </c>
      <c r="L1359" s="90">
        <f t="shared" si="409"/>
        <v>1</v>
      </c>
      <c r="M1359" s="90">
        <f t="shared" si="410"/>
        <v>0</v>
      </c>
      <c r="N1359" s="90">
        <f t="shared" si="411"/>
        <v>1</v>
      </c>
      <c r="O1359" s="92">
        <f t="shared" si="412"/>
        <v>200</v>
      </c>
      <c r="P1359" s="92">
        <f t="shared" si="413"/>
        <v>200</v>
      </c>
      <c r="Q1359" s="92">
        <f t="shared" si="414"/>
        <v>0</v>
      </c>
    </row>
    <row r="1360" hidden="1" outlineLevel="1">
      <c r="A1360" s="102">
        <v>45994.0</v>
      </c>
      <c r="B1360" s="97">
        <f>A1360</f>
        <v>45994</v>
      </c>
      <c r="C1360" s="313">
        <v>0.2916666666666667</v>
      </c>
      <c r="D1360" s="129" t="s">
        <v>1756</v>
      </c>
      <c r="E1360" s="129" t="s">
        <v>1758</v>
      </c>
      <c r="F1360" s="130">
        <v>150.0</v>
      </c>
      <c r="G1360" s="129"/>
      <c r="H1360" s="44" t="b">
        <v>1</v>
      </c>
      <c r="K1360" s="91" t="s">
        <v>183</v>
      </c>
      <c r="L1360" s="90">
        <f t="shared" si="409"/>
        <v>9</v>
      </c>
      <c r="M1360" s="90">
        <f t="shared" si="410"/>
        <v>0</v>
      </c>
      <c r="N1360" s="90">
        <f t="shared" si="411"/>
        <v>9</v>
      </c>
      <c r="O1360" s="92">
        <f t="shared" si="412"/>
        <v>1350</v>
      </c>
      <c r="P1360" s="92">
        <f t="shared" si="413"/>
        <v>1350</v>
      </c>
      <c r="Q1360" s="92">
        <f t="shared" si="414"/>
        <v>0</v>
      </c>
    </row>
    <row r="1361" hidden="1" outlineLevel="1">
      <c r="A1361" s="10"/>
      <c r="B1361" s="10"/>
      <c r="C1361" s="313">
        <v>0.5069444444444444</v>
      </c>
      <c r="D1361" s="129" t="s">
        <v>1849</v>
      </c>
      <c r="E1361" s="129" t="s">
        <v>1758</v>
      </c>
      <c r="F1361" s="130">
        <v>150.0</v>
      </c>
      <c r="G1361" s="129"/>
      <c r="H1361" s="44" t="b">
        <v>1</v>
      </c>
      <c r="K1361" s="91" t="s">
        <v>1798</v>
      </c>
      <c r="L1361" s="90">
        <f t="shared" si="409"/>
        <v>1</v>
      </c>
      <c r="M1361" s="90">
        <f t="shared" si="410"/>
        <v>0</v>
      </c>
      <c r="N1361" s="90">
        <f t="shared" si="411"/>
        <v>1</v>
      </c>
      <c r="O1361" s="92">
        <f t="shared" si="412"/>
        <v>200</v>
      </c>
      <c r="P1361" s="92">
        <f t="shared" si="413"/>
        <v>200</v>
      </c>
      <c r="Q1361" s="92">
        <f t="shared" si="414"/>
        <v>0</v>
      </c>
    </row>
    <row r="1362" hidden="1" outlineLevel="1">
      <c r="A1362" s="102">
        <v>45995.0</v>
      </c>
      <c r="B1362" s="97">
        <f>A1362</f>
        <v>45995</v>
      </c>
      <c r="C1362" s="313">
        <v>0.2916666666666667</v>
      </c>
      <c r="D1362" s="129" t="s">
        <v>1756</v>
      </c>
      <c r="E1362" s="129" t="s">
        <v>1758</v>
      </c>
      <c r="F1362" s="130">
        <v>150.0</v>
      </c>
      <c r="G1362" s="129"/>
      <c r="H1362" s="44" t="b">
        <v>1</v>
      </c>
      <c r="K1362" s="91" t="s">
        <v>1785</v>
      </c>
      <c r="L1362" s="90">
        <f t="shared" si="409"/>
        <v>2</v>
      </c>
      <c r="M1362" s="90">
        <f t="shared" si="410"/>
        <v>0</v>
      </c>
      <c r="N1362" s="90">
        <f t="shared" si="411"/>
        <v>2</v>
      </c>
      <c r="O1362" s="92">
        <f t="shared" si="412"/>
        <v>350</v>
      </c>
      <c r="P1362" s="92">
        <f t="shared" si="413"/>
        <v>350</v>
      </c>
      <c r="Q1362" s="92">
        <f t="shared" si="414"/>
        <v>0</v>
      </c>
    </row>
    <row r="1363" hidden="1" outlineLevel="1">
      <c r="A1363" s="10"/>
      <c r="B1363" s="10"/>
      <c r="C1363" s="313">
        <v>0.5069444444444444</v>
      </c>
      <c r="D1363" s="129" t="s">
        <v>562</v>
      </c>
      <c r="E1363" s="129" t="s">
        <v>1758</v>
      </c>
      <c r="F1363" s="130">
        <v>150.0</v>
      </c>
      <c r="G1363" s="129"/>
      <c r="H1363" s="44" t="b">
        <v>1</v>
      </c>
      <c r="K1363" s="91" t="s">
        <v>1842</v>
      </c>
      <c r="L1363" s="90">
        <f t="shared" si="409"/>
        <v>0</v>
      </c>
      <c r="M1363" s="90">
        <f t="shared" si="410"/>
        <v>0</v>
      </c>
      <c r="N1363" s="90">
        <f t="shared" si="411"/>
        <v>0</v>
      </c>
      <c r="O1363" s="92">
        <f t="shared" si="412"/>
        <v>0</v>
      </c>
      <c r="P1363" s="92">
        <f t="shared" si="413"/>
        <v>0</v>
      </c>
      <c r="Q1363" s="92">
        <f t="shared" si="414"/>
        <v>0</v>
      </c>
    </row>
    <row r="1364" hidden="1" outlineLevel="1">
      <c r="A1364" s="102">
        <v>45996.0</v>
      </c>
      <c r="B1364" s="97">
        <f>A1364</f>
        <v>45996</v>
      </c>
      <c r="C1364" s="398">
        <v>0.2916666666666667</v>
      </c>
      <c r="D1364" s="129" t="s">
        <v>1756</v>
      </c>
      <c r="E1364" s="129" t="s">
        <v>469</v>
      </c>
      <c r="F1364" s="130">
        <v>150.0</v>
      </c>
      <c r="G1364" s="129"/>
      <c r="H1364" s="44" t="b">
        <v>1</v>
      </c>
      <c r="K1364" s="91" t="s">
        <v>562</v>
      </c>
      <c r="L1364" s="90">
        <f t="shared" si="409"/>
        <v>5</v>
      </c>
      <c r="M1364" s="90">
        <f t="shared" si="410"/>
        <v>0</v>
      </c>
      <c r="N1364" s="90">
        <f t="shared" si="411"/>
        <v>5</v>
      </c>
      <c r="O1364" s="92">
        <f t="shared" si="412"/>
        <v>850</v>
      </c>
      <c r="P1364" s="92">
        <f t="shared" si="413"/>
        <v>850</v>
      </c>
      <c r="Q1364" s="92">
        <f t="shared" si="414"/>
        <v>0</v>
      </c>
    </row>
    <row r="1365" hidden="1" outlineLevel="1">
      <c r="A1365" s="58"/>
      <c r="B1365" s="58"/>
      <c r="C1365" s="10"/>
      <c r="D1365" s="129" t="s">
        <v>183</v>
      </c>
      <c r="E1365" s="129" t="s">
        <v>1758</v>
      </c>
      <c r="F1365" s="130">
        <v>150.0</v>
      </c>
      <c r="G1365" s="129"/>
      <c r="H1365" s="44" t="b">
        <v>1</v>
      </c>
      <c r="K1365" s="91" t="s">
        <v>1828</v>
      </c>
      <c r="L1365" s="90">
        <f t="shared" si="409"/>
        <v>6</v>
      </c>
      <c r="M1365" s="90">
        <f t="shared" si="410"/>
        <v>0</v>
      </c>
      <c r="N1365" s="90">
        <f t="shared" si="411"/>
        <v>6</v>
      </c>
      <c r="O1365" s="92">
        <f t="shared" si="412"/>
        <v>1150</v>
      </c>
      <c r="P1365" s="92">
        <f t="shared" si="413"/>
        <v>1150</v>
      </c>
      <c r="Q1365" s="92">
        <f t="shared" si="414"/>
        <v>0</v>
      </c>
    </row>
    <row r="1366" hidden="1" outlineLevel="1">
      <c r="A1366" s="10"/>
      <c r="B1366" s="10"/>
      <c r="C1366" s="313">
        <v>0.5069444444444444</v>
      </c>
      <c r="D1366" s="129" t="s">
        <v>1849</v>
      </c>
      <c r="E1366" s="129" t="s">
        <v>1758</v>
      </c>
      <c r="F1366" s="130">
        <v>150.0</v>
      </c>
      <c r="G1366" s="129"/>
      <c r="H1366" s="44" t="b">
        <v>1</v>
      </c>
      <c r="K1366" s="91" t="s">
        <v>1845</v>
      </c>
      <c r="L1366" s="90">
        <f t="shared" si="409"/>
        <v>1</v>
      </c>
      <c r="M1366" s="90">
        <f t="shared" si="410"/>
        <v>0</v>
      </c>
      <c r="N1366" s="90">
        <f t="shared" si="411"/>
        <v>1</v>
      </c>
      <c r="O1366" s="92">
        <f t="shared" si="412"/>
        <v>200</v>
      </c>
      <c r="P1366" s="92">
        <f t="shared" si="413"/>
        <v>200</v>
      </c>
      <c r="Q1366" s="92">
        <f t="shared" si="414"/>
        <v>0</v>
      </c>
    </row>
    <row r="1367" hidden="1" outlineLevel="1">
      <c r="A1367" s="125">
        <v>45997.0</v>
      </c>
      <c r="B1367" s="126">
        <f t="shared" ref="B1367:B1368" si="415">A1367</f>
        <v>45997</v>
      </c>
      <c r="C1367" s="313">
        <v>0.3333333333333333</v>
      </c>
      <c r="D1367" s="129" t="s">
        <v>1756</v>
      </c>
      <c r="E1367" s="129" t="s">
        <v>1758</v>
      </c>
      <c r="F1367" s="130">
        <v>150.0</v>
      </c>
      <c r="G1367" s="129"/>
      <c r="H1367" s="44" t="b">
        <v>1</v>
      </c>
      <c r="K1367" s="91" t="s">
        <v>1849</v>
      </c>
      <c r="L1367" s="90">
        <f t="shared" si="409"/>
        <v>16</v>
      </c>
      <c r="M1367" s="90">
        <f t="shared" si="410"/>
        <v>0</v>
      </c>
      <c r="N1367" s="90">
        <f t="shared" si="411"/>
        <v>16</v>
      </c>
      <c r="O1367" s="92">
        <f t="shared" si="412"/>
        <v>2400</v>
      </c>
      <c r="P1367" s="92">
        <f t="shared" si="413"/>
        <v>2400</v>
      </c>
      <c r="Q1367" s="92">
        <f t="shared" si="414"/>
        <v>0</v>
      </c>
    </row>
    <row r="1368" hidden="1" outlineLevel="1">
      <c r="A1368" s="102">
        <v>45998.0</v>
      </c>
      <c r="B1368" s="97">
        <f t="shared" si="415"/>
        <v>45998</v>
      </c>
      <c r="C1368" s="313">
        <v>0.3333333333333333</v>
      </c>
      <c r="D1368" s="129" t="s">
        <v>1856</v>
      </c>
      <c r="E1368" s="129" t="s">
        <v>1758</v>
      </c>
      <c r="F1368" s="130">
        <v>200.0</v>
      </c>
      <c r="G1368" s="129"/>
      <c r="H1368" s="44" t="b">
        <v>1</v>
      </c>
      <c r="K1368" s="91" t="s">
        <v>1838</v>
      </c>
      <c r="L1368" s="90">
        <f t="shared" si="409"/>
        <v>1</v>
      </c>
      <c r="M1368" s="90">
        <f t="shared" si="410"/>
        <v>0</v>
      </c>
      <c r="N1368" s="90">
        <f t="shared" si="411"/>
        <v>1</v>
      </c>
      <c r="O1368" s="92">
        <f t="shared" si="412"/>
        <v>200</v>
      </c>
      <c r="P1368" s="92">
        <f t="shared" si="413"/>
        <v>200</v>
      </c>
      <c r="Q1368" s="92">
        <f t="shared" si="414"/>
        <v>0</v>
      </c>
    </row>
    <row r="1369" hidden="1" outlineLevel="1">
      <c r="A1369" s="58"/>
      <c r="B1369" s="58"/>
      <c r="C1369" s="313">
        <v>0.4583333333333333</v>
      </c>
      <c r="D1369" s="129" t="s">
        <v>1857</v>
      </c>
      <c r="E1369" s="129" t="s">
        <v>1758</v>
      </c>
      <c r="F1369" s="130">
        <v>200.0</v>
      </c>
      <c r="G1369" s="129"/>
      <c r="H1369" s="44" t="b">
        <v>1</v>
      </c>
      <c r="K1369" s="91" t="s">
        <v>1761</v>
      </c>
      <c r="L1369" s="90">
        <f t="shared" si="409"/>
        <v>0</v>
      </c>
      <c r="M1369" s="90">
        <f t="shared" si="410"/>
        <v>0</v>
      </c>
      <c r="N1369" s="90">
        <f t="shared" si="411"/>
        <v>0</v>
      </c>
      <c r="O1369" s="92">
        <f t="shared" si="412"/>
        <v>0</v>
      </c>
      <c r="P1369" s="92">
        <f t="shared" si="413"/>
        <v>0</v>
      </c>
      <c r="Q1369" s="92">
        <f t="shared" si="414"/>
        <v>0</v>
      </c>
    </row>
    <row r="1370" hidden="1" outlineLevel="1">
      <c r="A1370" s="10"/>
      <c r="B1370" s="10"/>
      <c r="C1370" s="313">
        <v>0.7708333333333334</v>
      </c>
      <c r="D1370" s="129" t="s">
        <v>1107</v>
      </c>
      <c r="E1370" s="129" t="s">
        <v>1758</v>
      </c>
      <c r="F1370" s="130">
        <v>200.0</v>
      </c>
      <c r="G1370" s="129"/>
      <c r="H1370" s="44" t="b">
        <v>1</v>
      </c>
      <c r="K1370" s="91" t="s">
        <v>1856</v>
      </c>
      <c r="L1370" s="90">
        <f t="shared" si="409"/>
        <v>1</v>
      </c>
      <c r="M1370" s="90">
        <f t="shared" si="410"/>
        <v>0</v>
      </c>
      <c r="N1370" s="90">
        <f t="shared" si="411"/>
        <v>1</v>
      </c>
      <c r="O1370" s="92">
        <f t="shared" si="412"/>
        <v>200</v>
      </c>
      <c r="P1370" s="92">
        <f t="shared" si="413"/>
        <v>200</v>
      </c>
      <c r="Q1370" s="92">
        <f t="shared" si="414"/>
        <v>0</v>
      </c>
    </row>
    <row r="1371" hidden="1" outlineLevel="1">
      <c r="A1371" s="102">
        <v>45999.0</v>
      </c>
      <c r="B1371" s="97">
        <f>A1371</f>
        <v>45999</v>
      </c>
      <c r="C1371" s="313">
        <v>0.2916666666666667</v>
      </c>
      <c r="D1371" s="129" t="s">
        <v>1756</v>
      </c>
      <c r="E1371" s="129" t="s">
        <v>1758</v>
      </c>
      <c r="F1371" s="130">
        <v>150.0</v>
      </c>
      <c r="G1371" s="129"/>
      <c r="H1371" s="44" t="b">
        <v>1</v>
      </c>
      <c r="K1371" s="91" t="s">
        <v>1855</v>
      </c>
      <c r="L1371" s="90">
        <f t="shared" si="409"/>
        <v>1</v>
      </c>
      <c r="M1371" s="90">
        <f t="shared" si="410"/>
        <v>0</v>
      </c>
      <c r="N1371" s="90">
        <f t="shared" si="411"/>
        <v>1</v>
      </c>
      <c r="O1371" s="92">
        <f t="shared" si="412"/>
        <v>0</v>
      </c>
      <c r="P1371" s="92">
        <f t="shared" si="413"/>
        <v>0</v>
      </c>
      <c r="Q1371" s="92">
        <f t="shared" si="414"/>
        <v>0</v>
      </c>
    </row>
    <row r="1372" hidden="1" outlineLevel="1">
      <c r="A1372" s="10"/>
      <c r="B1372" s="10"/>
      <c r="C1372" s="313">
        <v>0.5069444444444444</v>
      </c>
      <c r="D1372" s="129" t="s">
        <v>1855</v>
      </c>
      <c r="E1372" s="129" t="s">
        <v>1758</v>
      </c>
      <c r="F1372" s="130">
        <v>0.0</v>
      </c>
      <c r="G1372" s="129"/>
      <c r="H1372" s="44" t="b">
        <v>1</v>
      </c>
      <c r="K1372" s="276"/>
      <c r="L1372" s="90"/>
      <c r="M1372" s="276"/>
      <c r="N1372" s="276"/>
      <c r="O1372" s="276"/>
      <c r="P1372" s="276"/>
      <c r="Q1372" s="276"/>
    </row>
    <row r="1373" hidden="1" outlineLevel="1">
      <c r="A1373" s="102">
        <v>46000.0</v>
      </c>
      <c r="B1373" s="97">
        <f>A1373</f>
        <v>46000</v>
      </c>
      <c r="C1373" s="398">
        <v>0.2916666666666667</v>
      </c>
      <c r="D1373" s="129" t="s">
        <v>1756</v>
      </c>
      <c r="E1373" s="129" t="s">
        <v>469</v>
      </c>
      <c r="F1373" s="130">
        <v>150.0</v>
      </c>
      <c r="G1373" s="129"/>
      <c r="H1373" s="44" t="b">
        <v>1</v>
      </c>
      <c r="K1373" s="276"/>
      <c r="L1373" s="90"/>
      <c r="M1373" s="276"/>
      <c r="N1373" s="276"/>
      <c r="O1373" s="276"/>
      <c r="P1373" s="276"/>
      <c r="Q1373" s="276"/>
    </row>
    <row r="1374" hidden="1" outlineLevel="1">
      <c r="A1374" s="58"/>
      <c r="B1374" s="58"/>
      <c r="C1374" s="10"/>
      <c r="D1374" s="129" t="s">
        <v>183</v>
      </c>
      <c r="E1374" s="129" t="s">
        <v>1758</v>
      </c>
      <c r="F1374" s="130">
        <v>150.0</v>
      </c>
      <c r="G1374" s="129"/>
      <c r="H1374" s="44" t="b">
        <v>1</v>
      </c>
      <c r="K1374" s="91"/>
      <c r="L1374" s="90"/>
      <c r="M1374" s="90"/>
      <c r="N1374" s="90"/>
      <c r="O1374" s="92"/>
      <c r="P1374" s="92"/>
      <c r="Q1374" s="90"/>
    </row>
    <row r="1375" hidden="1" outlineLevel="1">
      <c r="A1375" s="10"/>
      <c r="B1375" s="10"/>
      <c r="C1375" s="313">
        <v>0.5069444444444444</v>
      </c>
      <c r="D1375" s="129" t="s">
        <v>1849</v>
      </c>
      <c r="E1375" s="129" t="s">
        <v>1758</v>
      </c>
      <c r="F1375" s="130">
        <v>150.0</v>
      </c>
      <c r="G1375" s="129"/>
      <c r="H1375" s="44" t="b">
        <v>1</v>
      </c>
      <c r="K1375" s="477" t="s">
        <v>195</v>
      </c>
      <c r="L1375" s="478">
        <f t="shared" ref="L1375:Q1375" si="416">SUM(L1357:L1374)</f>
        <v>60</v>
      </c>
      <c r="M1375" s="478">
        <f t="shared" si="416"/>
        <v>10</v>
      </c>
      <c r="N1375" s="478">
        <f t="shared" si="416"/>
        <v>70</v>
      </c>
      <c r="O1375" s="479">
        <f t="shared" si="416"/>
        <v>11050</v>
      </c>
      <c r="P1375" s="479">
        <f t="shared" si="416"/>
        <v>11050</v>
      </c>
      <c r="Q1375" s="479">
        <f t="shared" si="416"/>
        <v>0</v>
      </c>
    </row>
    <row r="1376" hidden="1" outlineLevel="1">
      <c r="A1376" s="102">
        <v>46001.0</v>
      </c>
      <c r="B1376" s="97">
        <f>A1376</f>
        <v>46001</v>
      </c>
      <c r="C1376" s="313">
        <v>0.2916666666666667</v>
      </c>
      <c r="D1376" s="129" t="s">
        <v>1756</v>
      </c>
      <c r="E1376" s="129" t="s">
        <v>1758</v>
      </c>
      <c r="F1376" s="130">
        <v>150.0</v>
      </c>
      <c r="G1376" s="129"/>
      <c r="H1376" s="44" t="b">
        <v>1</v>
      </c>
    </row>
    <row r="1377" hidden="1" outlineLevel="1">
      <c r="A1377" s="58"/>
      <c r="B1377" s="58"/>
      <c r="C1377" s="313">
        <v>0.5069444444444444</v>
      </c>
      <c r="D1377" s="129" t="s">
        <v>1849</v>
      </c>
      <c r="E1377" s="129" t="s">
        <v>1758</v>
      </c>
      <c r="F1377" s="130">
        <v>150.0</v>
      </c>
      <c r="G1377" s="129"/>
      <c r="H1377" s="44" t="b">
        <v>1</v>
      </c>
    </row>
    <row r="1378" hidden="1" outlineLevel="1">
      <c r="A1378" s="10"/>
      <c r="B1378" s="10"/>
      <c r="C1378" s="313">
        <v>0.7916666666666666</v>
      </c>
      <c r="D1378" s="129" t="s">
        <v>1785</v>
      </c>
      <c r="E1378" s="129" t="s">
        <v>1758</v>
      </c>
      <c r="F1378" s="130">
        <v>150.0</v>
      </c>
      <c r="G1378" s="129"/>
      <c r="H1378" s="44" t="b">
        <v>1</v>
      </c>
    </row>
    <row r="1379" hidden="1" outlineLevel="1">
      <c r="A1379" s="102">
        <v>46002.0</v>
      </c>
      <c r="B1379" s="97">
        <f>A1379</f>
        <v>46002</v>
      </c>
      <c r="C1379" s="313">
        <v>0.2916666666666667</v>
      </c>
      <c r="D1379" s="129" t="s">
        <v>1756</v>
      </c>
      <c r="E1379" s="129" t="s">
        <v>1758</v>
      </c>
      <c r="F1379" s="130">
        <v>150.0</v>
      </c>
      <c r="G1379" s="129"/>
      <c r="H1379" s="44" t="b">
        <v>1</v>
      </c>
    </row>
    <row r="1380" hidden="1" outlineLevel="1">
      <c r="A1380" s="10"/>
      <c r="B1380" s="10"/>
      <c r="C1380" s="313">
        <v>0.5069444444444444</v>
      </c>
      <c r="D1380" s="129" t="s">
        <v>562</v>
      </c>
      <c r="E1380" s="129" t="s">
        <v>1758</v>
      </c>
      <c r="F1380" s="130">
        <v>150.0</v>
      </c>
      <c r="G1380" s="129"/>
      <c r="H1380" s="44" t="b">
        <v>1</v>
      </c>
    </row>
    <row r="1381" hidden="1" outlineLevel="1">
      <c r="A1381" s="102">
        <v>46003.0</v>
      </c>
      <c r="B1381" s="97">
        <f>A1381</f>
        <v>46003</v>
      </c>
      <c r="C1381" s="398">
        <v>0.2916666666666667</v>
      </c>
      <c r="D1381" s="129" t="s">
        <v>1756</v>
      </c>
      <c r="E1381" s="129" t="s">
        <v>469</v>
      </c>
      <c r="F1381" s="130">
        <v>150.0</v>
      </c>
      <c r="G1381" s="129"/>
      <c r="H1381" s="44" t="b">
        <v>1</v>
      </c>
    </row>
    <row r="1382" hidden="1" outlineLevel="1">
      <c r="A1382" s="58"/>
      <c r="B1382" s="58"/>
      <c r="C1382" s="10"/>
      <c r="D1382" s="129" t="s">
        <v>183</v>
      </c>
      <c r="E1382" s="129" t="s">
        <v>1758</v>
      </c>
      <c r="F1382" s="130">
        <v>150.0</v>
      </c>
      <c r="G1382" s="129"/>
      <c r="H1382" s="44" t="b">
        <v>1</v>
      </c>
    </row>
    <row r="1383" hidden="1" outlineLevel="1">
      <c r="A1383" s="10"/>
      <c r="B1383" s="10"/>
      <c r="C1383" s="313">
        <v>0.5069444444444444</v>
      </c>
      <c r="D1383" s="129" t="s">
        <v>1849</v>
      </c>
      <c r="E1383" s="129" t="s">
        <v>1758</v>
      </c>
      <c r="F1383" s="130">
        <v>150.0</v>
      </c>
      <c r="G1383" s="129"/>
      <c r="H1383" s="44" t="b">
        <v>1</v>
      </c>
    </row>
    <row r="1384" hidden="1" outlineLevel="1">
      <c r="A1384" s="102">
        <v>46004.0</v>
      </c>
      <c r="B1384" s="97">
        <f>A1384</f>
        <v>46004</v>
      </c>
      <c r="C1384" s="313">
        <v>0.3333333333333333</v>
      </c>
      <c r="D1384" s="129" t="s">
        <v>1756</v>
      </c>
      <c r="E1384" s="129" t="s">
        <v>469</v>
      </c>
      <c r="F1384" s="130">
        <v>150.0</v>
      </c>
      <c r="G1384" s="129"/>
      <c r="H1384" s="44" t="b">
        <v>1</v>
      </c>
    </row>
    <row r="1385" hidden="1" outlineLevel="1">
      <c r="A1385" s="10"/>
      <c r="B1385" s="10"/>
      <c r="C1385" s="313">
        <v>0.3333333333333333</v>
      </c>
      <c r="D1385" s="129" t="s">
        <v>1828</v>
      </c>
      <c r="E1385" s="129" t="s">
        <v>1758</v>
      </c>
      <c r="F1385" s="130">
        <v>150.0</v>
      </c>
      <c r="G1385" s="129"/>
      <c r="H1385" s="44" t="b">
        <v>1</v>
      </c>
    </row>
    <row r="1386" hidden="1" outlineLevel="1">
      <c r="A1386" s="102">
        <v>46005.0</v>
      </c>
      <c r="B1386" s="97">
        <f>A1386</f>
        <v>46005</v>
      </c>
      <c r="C1386" s="313">
        <v>0.3333333333333333</v>
      </c>
      <c r="D1386" s="129" t="s">
        <v>1828</v>
      </c>
      <c r="E1386" s="129" t="s">
        <v>1758</v>
      </c>
      <c r="F1386" s="130">
        <v>200.0</v>
      </c>
      <c r="G1386" s="129"/>
      <c r="H1386" s="44" t="b">
        <v>1</v>
      </c>
    </row>
    <row r="1387" hidden="1" outlineLevel="1">
      <c r="A1387" s="58"/>
      <c r="B1387" s="58"/>
      <c r="C1387" s="313">
        <v>0.4583333333333333</v>
      </c>
      <c r="D1387" s="129" t="s">
        <v>562</v>
      </c>
      <c r="E1387" s="129" t="s">
        <v>1758</v>
      </c>
      <c r="F1387" s="130">
        <v>200.0</v>
      </c>
      <c r="G1387" s="129"/>
      <c r="H1387" s="44" t="b">
        <v>1</v>
      </c>
    </row>
    <row r="1388" hidden="1" outlineLevel="1">
      <c r="A1388" s="10"/>
      <c r="B1388" s="10"/>
      <c r="C1388" s="313">
        <v>0.7708333333333334</v>
      </c>
      <c r="D1388" s="129" t="s">
        <v>1845</v>
      </c>
      <c r="E1388" s="129" t="s">
        <v>1758</v>
      </c>
      <c r="F1388" s="130">
        <v>200.0</v>
      </c>
      <c r="G1388" s="129"/>
      <c r="H1388" s="44" t="b">
        <v>1</v>
      </c>
    </row>
    <row r="1389" hidden="1" outlineLevel="1">
      <c r="A1389" s="102">
        <v>46006.0</v>
      </c>
      <c r="B1389" s="97">
        <f>A1389</f>
        <v>46006</v>
      </c>
      <c r="C1389" s="313">
        <v>0.2916666666666667</v>
      </c>
      <c r="D1389" s="129" t="s">
        <v>1756</v>
      </c>
      <c r="E1389" s="129" t="s">
        <v>1758</v>
      </c>
      <c r="F1389" s="130">
        <v>150.0</v>
      </c>
      <c r="G1389" s="129"/>
      <c r="H1389" s="44" t="b">
        <v>1</v>
      </c>
    </row>
    <row r="1390" hidden="1" outlineLevel="1">
      <c r="A1390" s="10"/>
      <c r="B1390" s="10"/>
      <c r="C1390" s="313">
        <v>0.5069444444444444</v>
      </c>
      <c r="D1390" s="129" t="s">
        <v>1849</v>
      </c>
      <c r="E1390" s="129" t="s">
        <v>1758</v>
      </c>
      <c r="F1390" s="130">
        <v>150.0</v>
      </c>
      <c r="G1390" s="129"/>
      <c r="H1390" s="44" t="b">
        <v>1</v>
      </c>
    </row>
    <row r="1391" hidden="1" outlineLevel="1">
      <c r="A1391" s="102">
        <v>46007.0</v>
      </c>
      <c r="B1391" s="97">
        <f>A1391</f>
        <v>46007</v>
      </c>
      <c r="C1391" s="398">
        <v>0.2916666666666667</v>
      </c>
      <c r="D1391" s="129" t="s">
        <v>1756</v>
      </c>
      <c r="E1391" s="129" t="s">
        <v>469</v>
      </c>
      <c r="F1391" s="130">
        <v>150.0</v>
      </c>
      <c r="G1391" s="129"/>
      <c r="H1391" s="44" t="b">
        <v>1</v>
      </c>
    </row>
    <row r="1392" hidden="1" outlineLevel="1">
      <c r="A1392" s="58"/>
      <c r="B1392" s="58"/>
      <c r="C1392" s="10"/>
      <c r="D1392" s="129" t="s">
        <v>183</v>
      </c>
      <c r="E1392" s="129" t="s">
        <v>1758</v>
      </c>
      <c r="F1392" s="130">
        <v>150.0</v>
      </c>
      <c r="G1392" s="129"/>
      <c r="H1392" s="44" t="b">
        <v>1</v>
      </c>
    </row>
    <row r="1393" hidden="1" outlineLevel="1">
      <c r="A1393" s="10"/>
      <c r="B1393" s="10"/>
      <c r="C1393" s="313">
        <v>0.5069444444444444</v>
      </c>
      <c r="D1393" s="129" t="s">
        <v>1849</v>
      </c>
      <c r="E1393" s="129" t="s">
        <v>1758</v>
      </c>
      <c r="F1393" s="130">
        <v>150.0</v>
      </c>
      <c r="G1393" s="129"/>
      <c r="H1393" s="44" t="b">
        <v>1</v>
      </c>
    </row>
    <row r="1394" hidden="1" outlineLevel="1">
      <c r="A1394" s="102">
        <v>46008.0</v>
      </c>
      <c r="B1394" s="97">
        <f>A1394</f>
        <v>46008</v>
      </c>
      <c r="C1394" s="313">
        <v>0.2916666666666667</v>
      </c>
      <c r="D1394" s="129" t="s">
        <v>1756</v>
      </c>
      <c r="E1394" s="129" t="s">
        <v>1758</v>
      </c>
      <c r="F1394" s="130">
        <v>150.0</v>
      </c>
      <c r="G1394" s="129"/>
      <c r="H1394" s="44" t="b">
        <v>1</v>
      </c>
    </row>
    <row r="1395" hidden="1" outlineLevel="1">
      <c r="A1395" s="10"/>
      <c r="B1395" s="10"/>
      <c r="C1395" s="313">
        <v>0.5069444444444444</v>
      </c>
      <c r="D1395" s="129" t="s">
        <v>1849</v>
      </c>
      <c r="E1395" s="129" t="s">
        <v>1758</v>
      </c>
      <c r="F1395" s="130">
        <v>150.0</v>
      </c>
      <c r="G1395" s="129"/>
      <c r="H1395" s="44" t="b">
        <v>1</v>
      </c>
    </row>
    <row r="1396" hidden="1" outlineLevel="1">
      <c r="A1396" s="102">
        <v>46009.0</v>
      </c>
      <c r="B1396" s="97">
        <f>A1396</f>
        <v>46009</v>
      </c>
      <c r="C1396" s="313">
        <v>0.2916666666666667</v>
      </c>
      <c r="D1396" s="129" t="s">
        <v>1756</v>
      </c>
      <c r="E1396" s="129" t="s">
        <v>1758</v>
      </c>
      <c r="F1396" s="130">
        <v>150.0</v>
      </c>
      <c r="G1396" s="129"/>
      <c r="H1396" s="44" t="b">
        <v>1</v>
      </c>
    </row>
    <row r="1397" hidden="1" outlineLevel="1">
      <c r="A1397" s="10"/>
      <c r="B1397" s="10"/>
      <c r="C1397" s="313">
        <v>0.5069444444444444</v>
      </c>
      <c r="D1397" s="129" t="s">
        <v>562</v>
      </c>
      <c r="E1397" s="129" t="s">
        <v>1758</v>
      </c>
      <c r="F1397" s="130">
        <v>150.0</v>
      </c>
      <c r="G1397" s="129"/>
      <c r="H1397" s="44" t="b">
        <v>1</v>
      </c>
    </row>
    <row r="1398" hidden="1" outlineLevel="1">
      <c r="A1398" s="102">
        <v>46010.0</v>
      </c>
      <c r="B1398" s="97">
        <f>A1398</f>
        <v>46010</v>
      </c>
      <c r="C1398" s="398">
        <v>0.2916666666666667</v>
      </c>
      <c r="D1398" s="129" t="s">
        <v>1756</v>
      </c>
      <c r="E1398" s="129" t="s">
        <v>469</v>
      </c>
      <c r="F1398" s="130">
        <v>150.0</v>
      </c>
      <c r="G1398" s="129"/>
      <c r="H1398" s="44" t="b">
        <v>1</v>
      </c>
    </row>
    <row r="1399" hidden="1" outlineLevel="1">
      <c r="A1399" s="58"/>
      <c r="B1399" s="58"/>
      <c r="C1399" s="10"/>
      <c r="D1399" s="129" t="s">
        <v>183</v>
      </c>
      <c r="E1399" s="129" t="s">
        <v>1758</v>
      </c>
      <c r="F1399" s="130">
        <v>150.0</v>
      </c>
      <c r="G1399" s="129"/>
      <c r="H1399" s="44" t="b">
        <v>1</v>
      </c>
    </row>
    <row r="1400" hidden="1" outlineLevel="1">
      <c r="A1400" s="10"/>
      <c r="B1400" s="10"/>
      <c r="C1400" s="313">
        <v>0.5069444444444444</v>
      </c>
      <c r="D1400" s="129" t="s">
        <v>1849</v>
      </c>
      <c r="E1400" s="129" t="s">
        <v>1758</v>
      </c>
      <c r="F1400" s="130">
        <v>150.0</v>
      </c>
      <c r="G1400" s="129"/>
      <c r="H1400" s="44" t="b">
        <v>1</v>
      </c>
    </row>
    <row r="1401" hidden="1" outlineLevel="1">
      <c r="A1401" s="125">
        <v>46011.0</v>
      </c>
      <c r="B1401" s="126">
        <f t="shared" ref="B1401:B1402" si="417">A1401</f>
        <v>46011</v>
      </c>
      <c r="C1401" s="313">
        <v>0.3333333333333333</v>
      </c>
      <c r="D1401" s="129" t="s">
        <v>1756</v>
      </c>
      <c r="E1401" s="129" t="s">
        <v>1758</v>
      </c>
      <c r="F1401" s="130">
        <v>150.0</v>
      </c>
      <c r="G1401" s="129"/>
      <c r="H1401" s="44" t="b">
        <v>1</v>
      </c>
    </row>
    <row r="1402" hidden="1" outlineLevel="1">
      <c r="A1402" s="102">
        <v>46012.0</v>
      </c>
      <c r="B1402" s="97">
        <f t="shared" si="417"/>
        <v>46012</v>
      </c>
      <c r="C1402" s="313">
        <v>0.3333333333333333</v>
      </c>
      <c r="D1402" s="129" t="s">
        <v>1828</v>
      </c>
      <c r="E1402" s="129" t="s">
        <v>1758</v>
      </c>
      <c r="F1402" s="130">
        <v>200.0</v>
      </c>
      <c r="G1402" s="129"/>
      <c r="H1402" s="44" t="b">
        <v>1</v>
      </c>
    </row>
    <row r="1403" hidden="1" outlineLevel="1">
      <c r="A1403" s="58"/>
      <c r="B1403" s="58"/>
      <c r="C1403" s="313">
        <v>0.4583333333333333</v>
      </c>
      <c r="D1403" s="129" t="s">
        <v>1785</v>
      </c>
      <c r="E1403" s="129" t="s">
        <v>1758</v>
      </c>
      <c r="F1403" s="130">
        <v>200.0</v>
      </c>
      <c r="G1403" s="129"/>
      <c r="H1403" s="44" t="b">
        <v>1</v>
      </c>
    </row>
    <row r="1404" hidden="1" outlineLevel="1">
      <c r="A1404" s="10"/>
      <c r="B1404" s="10"/>
      <c r="C1404" s="313">
        <v>0.7708333333333334</v>
      </c>
      <c r="D1404" s="129" t="s">
        <v>1838</v>
      </c>
      <c r="E1404" s="129" t="s">
        <v>1758</v>
      </c>
      <c r="F1404" s="130">
        <v>200.0</v>
      </c>
      <c r="G1404" s="129"/>
      <c r="H1404" s="44" t="b">
        <v>1</v>
      </c>
    </row>
    <row r="1405" hidden="1" outlineLevel="1">
      <c r="A1405" s="102">
        <v>46013.0</v>
      </c>
      <c r="B1405" s="97">
        <f>A1405</f>
        <v>46013</v>
      </c>
      <c r="C1405" s="313">
        <v>0.2916666666666667</v>
      </c>
      <c r="D1405" s="129" t="s">
        <v>1756</v>
      </c>
      <c r="E1405" s="129" t="s">
        <v>1758</v>
      </c>
      <c r="F1405" s="130">
        <v>150.0</v>
      </c>
      <c r="G1405" s="129"/>
      <c r="H1405" s="44" t="b">
        <v>1</v>
      </c>
    </row>
    <row r="1406" hidden="1" outlineLevel="1">
      <c r="A1406" s="10"/>
      <c r="B1406" s="10"/>
      <c r="C1406" s="313">
        <v>0.5069444444444444</v>
      </c>
      <c r="D1406" s="129" t="s">
        <v>1849</v>
      </c>
      <c r="E1406" s="129" t="s">
        <v>1758</v>
      </c>
      <c r="F1406" s="130">
        <v>150.0</v>
      </c>
      <c r="G1406" s="129"/>
      <c r="H1406" s="44" t="b">
        <v>1</v>
      </c>
    </row>
    <row r="1407" hidden="1" outlineLevel="1">
      <c r="A1407" s="102">
        <v>46014.0</v>
      </c>
      <c r="B1407" s="97">
        <f>A1407</f>
        <v>46014</v>
      </c>
      <c r="C1407" s="398">
        <v>0.2916666666666667</v>
      </c>
      <c r="D1407" s="129" t="s">
        <v>1756</v>
      </c>
      <c r="E1407" s="129" t="s">
        <v>469</v>
      </c>
      <c r="F1407" s="130">
        <v>150.0</v>
      </c>
      <c r="G1407" s="129"/>
      <c r="H1407" s="44" t="b">
        <v>1</v>
      </c>
    </row>
    <row r="1408" hidden="1" outlineLevel="1">
      <c r="A1408" s="58"/>
      <c r="B1408" s="58"/>
      <c r="C1408" s="10"/>
      <c r="D1408" s="129" t="s">
        <v>183</v>
      </c>
      <c r="E1408" s="129" t="s">
        <v>1758</v>
      </c>
      <c r="F1408" s="130">
        <v>150.0</v>
      </c>
      <c r="G1408" s="129"/>
      <c r="H1408" s="44" t="b">
        <v>1</v>
      </c>
    </row>
    <row r="1409" hidden="1" outlineLevel="1">
      <c r="A1409" s="10"/>
      <c r="B1409" s="10"/>
      <c r="C1409" s="313">
        <v>0.5069444444444444</v>
      </c>
      <c r="D1409" s="129" t="s">
        <v>1849</v>
      </c>
      <c r="E1409" s="129" t="s">
        <v>1758</v>
      </c>
      <c r="F1409" s="130">
        <v>150.0</v>
      </c>
      <c r="G1409" s="129"/>
      <c r="H1409" s="44" t="b">
        <v>1</v>
      </c>
    </row>
    <row r="1410" hidden="1" outlineLevel="1">
      <c r="A1410" s="125">
        <v>46015.0</v>
      </c>
      <c r="B1410" s="126">
        <f t="shared" ref="B1410:B1412" si="418">A1410</f>
        <v>46015</v>
      </c>
      <c r="C1410" s="313">
        <v>0.7708333333333334</v>
      </c>
      <c r="D1410" s="129" t="s">
        <v>1828</v>
      </c>
      <c r="E1410" s="129" t="s">
        <v>1758</v>
      </c>
      <c r="F1410" s="130">
        <v>200.0</v>
      </c>
      <c r="G1410" s="129"/>
      <c r="H1410" s="44" t="b">
        <v>1</v>
      </c>
    </row>
    <row r="1411" hidden="1" outlineLevel="1">
      <c r="A1411" s="125">
        <v>46016.0</v>
      </c>
      <c r="B1411" s="126">
        <f t="shared" si="418"/>
        <v>46016</v>
      </c>
      <c r="C1411" s="313">
        <v>0.7708333333333334</v>
      </c>
      <c r="D1411" s="129" t="s">
        <v>1828</v>
      </c>
      <c r="E1411" s="129" t="s">
        <v>1758</v>
      </c>
      <c r="F1411" s="130">
        <v>200.0</v>
      </c>
      <c r="G1411" s="129"/>
      <c r="H1411" s="44" t="b">
        <v>1</v>
      </c>
    </row>
    <row r="1412" hidden="1" outlineLevel="1">
      <c r="A1412" s="102">
        <v>46017.0</v>
      </c>
      <c r="B1412" s="97">
        <f t="shared" si="418"/>
        <v>46017</v>
      </c>
      <c r="C1412" s="398">
        <v>0.2916666666666667</v>
      </c>
      <c r="D1412" s="129" t="s">
        <v>1756</v>
      </c>
      <c r="E1412" s="129" t="s">
        <v>469</v>
      </c>
      <c r="F1412" s="130">
        <v>150.0</v>
      </c>
      <c r="G1412" s="129"/>
      <c r="H1412" s="44" t="b">
        <v>1</v>
      </c>
    </row>
    <row r="1413" hidden="1" outlineLevel="1">
      <c r="A1413" s="58"/>
      <c r="B1413" s="58"/>
      <c r="C1413" s="10"/>
      <c r="D1413" s="129" t="s">
        <v>183</v>
      </c>
      <c r="E1413" s="129" t="s">
        <v>1758</v>
      </c>
      <c r="F1413" s="130">
        <v>150.0</v>
      </c>
      <c r="G1413" s="129"/>
      <c r="H1413" s="44" t="b">
        <v>1</v>
      </c>
    </row>
    <row r="1414" hidden="1" outlineLevel="1">
      <c r="A1414" s="10"/>
      <c r="B1414" s="10"/>
      <c r="C1414" s="313">
        <v>0.5069444444444444</v>
      </c>
      <c r="D1414" s="129" t="s">
        <v>1849</v>
      </c>
      <c r="E1414" s="129" t="s">
        <v>1758</v>
      </c>
      <c r="F1414" s="130">
        <v>150.0</v>
      </c>
      <c r="G1414" s="129"/>
      <c r="H1414" s="44" t="b">
        <v>1</v>
      </c>
    </row>
    <row r="1415" hidden="1" outlineLevel="1">
      <c r="A1415" s="125">
        <v>46018.0</v>
      </c>
      <c r="B1415" s="126">
        <f t="shared" ref="B1415:B1416" si="419">A1415</f>
        <v>46018</v>
      </c>
      <c r="C1415" s="313">
        <v>0.3333333333333333</v>
      </c>
      <c r="D1415" s="129" t="s">
        <v>1756</v>
      </c>
      <c r="E1415" s="129" t="s">
        <v>1758</v>
      </c>
      <c r="F1415" s="130">
        <v>150.0</v>
      </c>
      <c r="G1415" s="129"/>
      <c r="H1415" s="44" t="b">
        <v>1</v>
      </c>
    </row>
    <row r="1416" hidden="1" outlineLevel="1">
      <c r="A1416" s="102">
        <v>46019.0</v>
      </c>
      <c r="B1416" s="97">
        <f t="shared" si="419"/>
        <v>46019</v>
      </c>
      <c r="C1416" s="313">
        <v>0.3333333333333333</v>
      </c>
      <c r="D1416" s="129" t="s">
        <v>1828</v>
      </c>
      <c r="E1416" s="129" t="s">
        <v>1758</v>
      </c>
      <c r="F1416" s="130">
        <v>200.0</v>
      </c>
      <c r="G1416" s="129"/>
      <c r="H1416" s="44" t="b">
        <v>1</v>
      </c>
    </row>
    <row r="1417" hidden="1" outlineLevel="1">
      <c r="A1417" s="58"/>
      <c r="B1417" s="58"/>
      <c r="C1417" s="313">
        <v>0.4583333333333333</v>
      </c>
      <c r="D1417" s="129" t="s">
        <v>562</v>
      </c>
      <c r="E1417" s="129" t="s">
        <v>1758</v>
      </c>
      <c r="F1417" s="130">
        <v>200.0</v>
      </c>
      <c r="G1417" s="129"/>
      <c r="H1417" s="44" t="b">
        <v>1</v>
      </c>
    </row>
    <row r="1418" hidden="1" outlineLevel="1">
      <c r="A1418" s="10"/>
      <c r="B1418" s="10"/>
      <c r="C1418" s="313">
        <v>0.7708333333333334</v>
      </c>
      <c r="D1418" s="129" t="s">
        <v>1798</v>
      </c>
      <c r="E1418" s="129" t="s">
        <v>1758</v>
      </c>
      <c r="F1418" s="130">
        <v>200.0</v>
      </c>
      <c r="G1418" s="129"/>
      <c r="H1418" s="44" t="b">
        <v>1</v>
      </c>
    </row>
    <row r="1419" hidden="1" outlineLevel="1">
      <c r="A1419" s="102">
        <v>46020.0</v>
      </c>
      <c r="B1419" s="97">
        <f>A1419</f>
        <v>46020</v>
      </c>
      <c r="C1419" s="313">
        <v>0.2916666666666667</v>
      </c>
      <c r="D1419" s="129" t="s">
        <v>1756</v>
      </c>
      <c r="E1419" s="129" t="s">
        <v>1758</v>
      </c>
      <c r="F1419" s="130">
        <v>150.0</v>
      </c>
      <c r="G1419" s="129"/>
      <c r="H1419" s="44" t="b">
        <v>1</v>
      </c>
    </row>
    <row r="1420" hidden="1" outlineLevel="1">
      <c r="A1420" s="10"/>
      <c r="B1420" s="10"/>
      <c r="C1420" s="313">
        <v>0.5069444444444444</v>
      </c>
      <c r="D1420" s="129" t="s">
        <v>1849</v>
      </c>
      <c r="E1420" s="129" t="s">
        <v>1758</v>
      </c>
      <c r="F1420" s="130">
        <v>150.0</v>
      </c>
      <c r="G1420" s="129"/>
      <c r="H1420" s="44" t="b">
        <v>1</v>
      </c>
    </row>
    <row r="1421" hidden="1" outlineLevel="1">
      <c r="A1421" s="102">
        <v>46021.0</v>
      </c>
      <c r="B1421" s="97">
        <f>A1421</f>
        <v>46021</v>
      </c>
      <c r="C1421" s="398">
        <v>0.2916666666666667</v>
      </c>
      <c r="D1421" s="129" t="s">
        <v>1756</v>
      </c>
      <c r="E1421" s="129" t="s">
        <v>469</v>
      </c>
      <c r="F1421" s="130">
        <v>150.0</v>
      </c>
      <c r="G1421" s="129"/>
      <c r="H1421" s="44" t="b">
        <v>1</v>
      </c>
    </row>
    <row r="1422" hidden="1" outlineLevel="1">
      <c r="A1422" s="58"/>
      <c r="B1422" s="58"/>
      <c r="C1422" s="10"/>
      <c r="D1422" s="129" t="s">
        <v>183</v>
      </c>
      <c r="E1422" s="129" t="s">
        <v>1758</v>
      </c>
      <c r="F1422" s="130">
        <v>150.0</v>
      </c>
      <c r="G1422" s="129"/>
      <c r="H1422" s="44" t="b">
        <v>1</v>
      </c>
    </row>
    <row r="1423" hidden="1" outlineLevel="1">
      <c r="A1423" s="10"/>
      <c r="B1423" s="10"/>
      <c r="C1423" s="313">
        <v>0.5069444444444444</v>
      </c>
      <c r="D1423" s="129" t="s">
        <v>1849</v>
      </c>
      <c r="E1423" s="129" t="s">
        <v>1758</v>
      </c>
      <c r="F1423" s="130">
        <v>150.0</v>
      </c>
      <c r="G1423" s="129"/>
      <c r="H1423" s="44" t="b">
        <v>1</v>
      </c>
    </row>
    <row r="1424" hidden="1" outlineLevel="1">
      <c r="A1424" s="125">
        <v>46022.0</v>
      </c>
      <c r="B1424" s="126">
        <f>A1424</f>
        <v>46022</v>
      </c>
      <c r="C1424" s="313">
        <v>0.2916666666666667</v>
      </c>
      <c r="D1424" s="129" t="s">
        <v>1756</v>
      </c>
      <c r="E1424" s="129" t="s">
        <v>1758</v>
      </c>
      <c r="F1424" s="130">
        <v>150.0</v>
      </c>
      <c r="G1424" s="129"/>
      <c r="H1424" s="44" t="b">
        <v>1</v>
      </c>
    </row>
    <row r="1425">
      <c r="A1425" s="484" t="s">
        <v>195</v>
      </c>
      <c r="B1425" s="27"/>
      <c r="C1425" s="27"/>
      <c r="D1425" s="27"/>
      <c r="E1425" s="28"/>
      <c r="F1425" s="485">
        <f>SUM(F1355:F1424)</f>
        <v>11050</v>
      </c>
      <c r="G1425" s="486"/>
      <c r="H1425" s="28"/>
    </row>
    <row r="1426" collapsed="1">
      <c r="A1426" s="339" t="s">
        <v>1390</v>
      </c>
      <c r="B1426" s="246"/>
      <c r="C1426" s="246"/>
      <c r="D1426" s="246"/>
      <c r="E1426" s="246"/>
      <c r="F1426" s="246"/>
      <c r="G1426" s="246"/>
      <c r="H1426" s="247"/>
    </row>
    <row r="1427" hidden="1" outlineLevel="1">
      <c r="A1427" s="125">
        <v>46023.0</v>
      </c>
      <c r="B1427" s="126">
        <f t="shared" ref="B1427:B1428" si="420">A1427</f>
        <v>46023</v>
      </c>
      <c r="C1427" s="313">
        <v>0.2916666666666667</v>
      </c>
      <c r="D1427" s="129" t="s">
        <v>1858</v>
      </c>
      <c r="E1427" s="129" t="s">
        <v>1758</v>
      </c>
      <c r="F1427" s="130">
        <v>200.0</v>
      </c>
      <c r="G1427" s="129" t="s">
        <v>2081</v>
      </c>
      <c r="H1427" s="44" t="b">
        <v>1</v>
      </c>
      <c r="K1427" s="440" t="s">
        <v>2082</v>
      </c>
      <c r="L1427" s="27"/>
      <c r="M1427" s="27"/>
      <c r="N1427" s="27"/>
      <c r="O1427" s="27"/>
      <c r="P1427" s="27"/>
      <c r="Q1427" s="28"/>
    </row>
    <row r="1428" hidden="1" outlineLevel="1">
      <c r="A1428" s="102">
        <v>46024.0</v>
      </c>
      <c r="B1428" s="97">
        <f t="shared" si="420"/>
        <v>46024</v>
      </c>
      <c r="C1428" s="398">
        <v>0.2916666666666667</v>
      </c>
      <c r="D1428" s="129" t="s">
        <v>1756</v>
      </c>
      <c r="E1428" s="129" t="s">
        <v>469</v>
      </c>
      <c r="F1428" s="130">
        <v>150.0</v>
      </c>
      <c r="G1428" s="129"/>
      <c r="H1428" s="44" t="b">
        <v>1</v>
      </c>
      <c r="K1428" s="441" t="s">
        <v>1749</v>
      </c>
      <c r="L1428" s="441" t="s">
        <v>1758</v>
      </c>
      <c r="M1428" s="441" t="s">
        <v>469</v>
      </c>
      <c r="N1428" s="441" t="s">
        <v>195</v>
      </c>
      <c r="O1428" s="441" t="s">
        <v>1764</v>
      </c>
      <c r="P1428" s="441" t="s">
        <v>1765</v>
      </c>
      <c r="Q1428" s="441" t="s">
        <v>1766</v>
      </c>
    </row>
    <row r="1429" hidden="1" outlineLevel="1">
      <c r="A1429" s="58"/>
      <c r="B1429" s="58"/>
      <c r="C1429" s="10"/>
      <c r="D1429" s="129" t="s">
        <v>183</v>
      </c>
      <c r="E1429" s="129" t="s">
        <v>1758</v>
      </c>
      <c r="F1429" s="130">
        <v>150.0</v>
      </c>
      <c r="G1429" s="129"/>
      <c r="H1429" s="44" t="b">
        <v>1</v>
      </c>
      <c r="K1429" s="91" t="s">
        <v>1756</v>
      </c>
      <c r="L1429" s="90">
        <f t="shared" ref="L1429:L1444" si="421">COUNTIFS($D$1427:$D$1496, $K1429,$E$1427:$E$1496,$L$1428)</f>
        <v>13</v>
      </c>
      <c r="M1429" s="90">
        <f t="shared" ref="M1429:M1444" si="422">COUNTIFS($D$1427:$D$1496, $K1429,$E$1427:$E$1496,$M$1428)</f>
        <v>9</v>
      </c>
      <c r="N1429" s="90">
        <f t="shared" ref="N1429:N1444" si="423">L1429+M1429</f>
        <v>22</v>
      </c>
      <c r="O1429" s="92">
        <f t="shared" ref="O1429:O1444" si="424">SUMIFS($F$1427:$F$1496,$D$1427:$D$1496,$K1429)</f>
        <v>3300</v>
      </c>
      <c r="P1429" s="92">
        <f t="shared" ref="P1429:P1444" si="425">SUMIFS($F$1427:$F$1496,$D$1427:$D$1496,$K1429,$H$1427:$H$1496,TRUE())</f>
        <v>3300</v>
      </c>
      <c r="Q1429" s="92">
        <f t="shared" ref="Q1429:Q1444" si="426">O1429-P1429</f>
        <v>0</v>
      </c>
    </row>
    <row r="1430" hidden="1" outlineLevel="1">
      <c r="A1430" s="10"/>
      <c r="B1430" s="10"/>
      <c r="C1430" s="313">
        <v>0.5069444444444444</v>
      </c>
      <c r="D1430" s="129" t="s">
        <v>1849</v>
      </c>
      <c r="E1430" s="129" t="s">
        <v>1758</v>
      </c>
      <c r="F1430" s="130">
        <v>150.0</v>
      </c>
      <c r="G1430" s="129"/>
      <c r="H1430" s="44" t="b">
        <v>1</v>
      </c>
      <c r="K1430" s="91" t="s">
        <v>1857</v>
      </c>
      <c r="L1430" s="90">
        <f t="shared" si="421"/>
        <v>2</v>
      </c>
      <c r="M1430" s="90">
        <f t="shared" si="422"/>
        <v>0</v>
      </c>
      <c r="N1430" s="90">
        <f t="shared" si="423"/>
        <v>2</v>
      </c>
      <c r="O1430" s="92">
        <f t="shared" si="424"/>
        <v>400</v>
      </c>
      <c r="P1430" s="92">
        <f t="shared" si="425"/>
        <v>400</v>
      </c>
      <c r="Q1430" s="92">
        <f t="shared" si="426"/>
        <v>0</v>
      </c>
    </row>
    <row r="1431" hidden="1" outlineLevel="1">
      <c r="A1431" s="125">
        <v>46025.0</v>
      </c>
      <c r="B1431" s="126">
        <f t="shared" ref="B1431:B1433" si="427">A1431</f>
        <v>46025</v>
      </c>
      <c r="C1431" s="313">
        <v>0.3333333333333333</v>
      </c>
      <c r="D1431" s="129" t="s">
        <v>1756</v>
      </c>
      <c r="E1431" s="129" t="s">
        <v>1758</v>
      </c>
      <c r="F1431" s="130">
        <v>150.0</v>
      </c>
      <c r="G1431" s="129"/>
      <c r="H1431" s="44" t="b">
        <v>1</v>
      </c>
      <c r="K1431" s="91" t="s">
        <v>1851</v>
      </c>
      <c r="L1431" s="90">
        <f t="shared" si="421"/>
        <v>1</v>
      </c>
      <c r="M1431" s="90">
        <f t="shared" si="422"/>
        <v>0</v>
      </c>
      <c r="N1431" s="90">
        <f t="shared" si="423"/>
        <v>1</v>
      </c>
      <c r="O1431" s="92">
        <f t="shared" si="424"/>
        <v>200</v>
      </c>
      <c r="P1431" s="92">
        <f t="shared" si="425"/>
        <v>200</v>
      </c>
      <c r="Q1431" s="92">
        <f t="shared" si="426"/>
        <v>0</v>
      </c>
    </row>
    <row r="1432" hidden="1" outlineLevel="1">
      <c r="A1432" s="125">
        <v>46025.0</v>
      </c>
      <c r="B1432" s="126">
        <f t="shared" si="427"/>
        <v>46025</v>
      </c>
      <c r="C1432" s="313">
        <v>0.2916666666666667</v>
      </c>
      <c r="D1432" s="129" t="s">
        <v>1851</v>
      </c>
      <c r="E1432" s="129" t="s">
        <v>1758</v>
      </c>
      <c r="F1432" s="130">
        <v>200.0</v>
      </c>
      <c r="G1432" s="129" t="s">
        <v>2083</v>
      </c>
      <c r="H1432" s="44" t="b">
        <v>1</v>
      </c>
      <c r="K1432" s="91" t="s">
        <v>1856</v>
      </c>
      <c r="L1432" s="90">
        <f t="shared" si="421"/>
        <v>0</v>
      </c>
      <c r="M1432" s="90">
        <f t="shared" si="422"/>
        <v>0</v>
      </c>
      <c r="N1432" s="90">
        <f t="shared" si="423"/>
        <v>0</v>
      </c>
      <c r="O1432" s="92">
        <f t="shared" si="424"/>
        <v>0</v>
      </c>
      <c r="P1432" s="92">
        <f t="shared" si="425"/>
        <v>0</v>
      </c>
      <c r="Q1432" s="92">
        <f t="shared" si="426"/>
        <v>0</v>
      </c>
    </row>
    <row r="1433" hidden="1" outlineLevel="1">
      <c r="A1433" s="102">
        <v>46026.0</v>
      </c>
      <c r="B1433" s="97">
        <f t="shared" si="427"/>
        <v>46026</v>
      </c>
      <c r="C1433" s="313">
        <v>0.3333333333333333</v>
      </c>
      <c r="D1433" s="129" t="s">
        <v>1828</v>
      </c>
      <c r="E1433" s="129" t="s">
        <v>1758</v>
      </c>
      <c r="F1433" s="130">
        <v>200.0</v>
      </c>
      <c r="G1433" s="129"/>
      <c r="H1433" s="44" t="b">
        <v>1</v>
      </c>
      <c r="K1433" s="91" t="s">
        <v>183</v>
      </c>
      <c r="L1433" s="90">
        <f t="shared" si="421"/>
        <v>9</v>
      </c>
      <c r="M1433" s="90">
        <f t="shared" si="422"/>
        <v>0</v>
      </c>
      <c r="N1433" s="90">
        <f t="shared" si="423"/>
        <v>9</v>
      </c>
      <c r="O1433" s="92">
        <f t="shared" si="424"/>
        <v>1350</v>
      </c>
      <c r="P1433" s="92">
        <f t="shared" si="425"/>
        <v>1350</v>
      </c>
      <c r="Q1433" s="92">
        <f t="shared" si="426"/>
        <v>0</v>
      </c>
    </row>
    <row r="1434" hidden="1" outlineLevel="1">
      <c r="A1434" s="58"/>
      <c r="B1434" s="58"/>
      <c r="C1434" s="313">
        <v>0.4583333333333333</v>
      </c>
      <c r="D1434" s="129" t="s">
        <v>1857</v>
      </c>
      <c r="E1434" s="129" t="s">
        <v>1758</v>
      </c>
      <c r="F1434" s="130">
        <v>200.0</v>
      </c>
      <c r="G1434" s="129"/>
      <c r="H1434" s="44" t="b">
        <v>1</v>
      </c>
      <c r="K1434" s="91" t="s">
        <v>1798</v>
      </c>
      <c r="L1434" s="90">
        <f t="shared" si="421"/>
        <v>1</v>
      </c>
      <c r="M1434" s="90">
        <f t="shared" si="422"/>
        <v>0</v>
      </c>
      <c r="N1434" s="90">
        <f t="shared" si="423"/>
        <v>1</v>
      </c>
      <c r="O1434" s="92">
        <f t="shared" si="424"/>
        <v>200</v>
      </c>
      <c r="P1434" s="92">
        <f t="shared" si="425"/>
        <v>200</v>
      </c>
      <c r="Q1434" s="92">
        <f t="shared" si="426"/>
        <v>0</v>
      </c>
    </row>
    <row r="1435" hidden="1" outlineLevel="1">
      <c r="A1435" s="10"/>
      <c r="B1435" s="10"/>
      <c r="C1435" s="313">
        <v>0.7708333333333334</v>
      </c>
      <c r="D1435" s="129" t="s">
        <v>1798</v>
      </c>
      <c r="E1435" s="129" t="s">
        <v>1758</v>
      </c>
      <c r="F1435" s="130">
        <v>200.0</v>
      </c>
      <c r="G1435" s="129"/>
      <c r="H1435" s="44" t="b">
        <v>1</v>
      </c>
      <c r="K1435" s="91" t="s">
        <v>1785</v>
      </c>
      <c r="L1435" s="90">
        <f t="shared" si="421"/>
        <v>0</v>
      </c>
      <c r="M1435" s="90">
        <f t="shared" si="422"/>
        <v>0</v>
      </c>
      <c r="N1435" s="90">
        <f t="shared" si="423"/>
        <v>0</v>
      </c>
      <c r="O1435" s="92">
        <f t="shared" si="424"/>
        <v>0</v>
      </c>
      <c r="P1435" s="92">
        <f t="shared" si="425"/>
        <v>0</v>
      </c>
      <c r="Q1435" s="92">
        <f t="shared" si="426"/>
        <v>0</v>
      </c>
    </row>
    <row r="1436" hidden="1" outlineLevel="1">
      <c r="A1436" s="102">
        <v>46027.0</v>
      </c>
      <c r="B1436" s="97">
        <f>A1436</f>
        <v>46027</v>
      </c>
      <c r="C1436" s="313">
        <v>0.2916666666666667</v>
      </c>
      <c r="D1436" s="129" t="s">
        <v>1855</v>
      </c>
      <c r="E1436" s="129" t="s">
        <v>1758</v>
      </c>
      <c r="F1436" s="130">
        <v>150.0</v>
      </c>
      <c r="G1436" s="129"/>
      <c r="H1436" s="44" t="b">
        <v>1</v>
      </c>
      <c r="K1436" s="91" t="s">
        <v>1842</v>
      </c>
      <c r="L1436" s="90">
        <f t="shared" si="421"/>
        <v>0</v>
      </c>
      <c r="M1436" s="90">
        <f t="shared" si="422"/>
        <v>0</v>
      </c>
      <c r="N1436" s="90">
        <f t="shared" si="423"/>
        <v>0</v>
      </c>
      <c r="O1436" s="92">
        <f t="shared" si="424"/>
        <v>0</v>
      </c>
      <c r="P1436" s="92">
        <f t="shared" si="425"/>
        <v>0</v>
      </c>
      <c r="Q1436" s="92">
        <f t="shared" si="426"/>
        <v>0</v>
      </c>
    </row>
    <row r="1437" hidden="1" outlineLevel="1">
      <c r="A1437" s="10"/>
      <c r="B1437" s="10"/>
      <c r="C1437" s="313">
        <v>0.5069444444444444</v>
      </c>
      <c r="D1437" s="129" t="s">
        <v>1849</v>
      </c>
      <c r="E1437" s="129" t="s">
        <v>1758</v>
      </c>
      <c r="F1437" s="130">
        <v>150.0</v>
      </c>
      <c r="G1437" s="129"/>
      <c r="H1437" s="44" t="b">
        <v>1</v>
      </c>
      <c r="K1437" s="91" t="s">
        <v>562</v>
      </c>
      <c r="L1437" s="90">
        <f t="shared" si="421"/>
        <v>6</v>
      </c>
      <c r="M1437" s="90">
        <f t="shared" si="422"/>
        <v>0</v>
      </c>
      <c r="N1437" s="90">
        <f t="shared" si="423"/>
        <v>6</v>
      </c>
      <c r="O1437" s="92">
        <f t="shared" si="424"/>
        <v>1000</v>
      </c>
      <c r="P1437" s="92">
        <f t="shared" si="425"/>
        <v>1000</v>
      </c>
      <c r="Q1437" s="92">
        <f t="shared" si="426"/>
        <v>0</v>
      </c>
    </row>
    <row r="1438" hidden="1" outlineLevel="1">
      <c r="A1438" s="102">
        <v>46028.0</v>
      </c>
      <c r="B1438" s="97">
        <f>A1438</f>
        <v>46028</v>
      </c>
      <c r="C1438" s="398">
        <v>0.2916666666666667</v>
      </c>
      <c r="D1438" s="129" t="s">
        <v>1756</v>
      </c>
      <c r="E1438" s="129" t="s">
        <v>469</v>
      </c>
      <c r="F1438" s="130">
        <v>150.0</v>
      </c>
      <c r="G1438" s="129"/>
      <c r="H1438" s="44" t="b">
        <v>1</v>
      </c>
      <c r="K1438" s="91" t="s">
        <v>1828</v>
      </c>
      <c r="L1438" s="90">
        <f t="shared" si="421"/>
        <v>3</v>
      </c>
      <c r="M1438" s="90">
        <f t="shared" si="422"/>
        <v>0</v>
      </c>
      <c r="N1438" s="90">
        <f t="shared" si="423"/>
        <v>3</v>
      </c>
      <c r="O1438" s="92">
        <f t="shared" si="424"/>
        <v>600</v>
      </c>
      <c r="P1438" s="92">
        <f t="shared" si="425"/>
        <v>600</v>
      </c>
      <c r="Q1438" s="92">
        <f t="shared" si="426"/>
        <v>0</v>
      </c>
    </row>
    <row r="1439" hidden="1" outlineLevel="1">
      <c r="A1439" s="58"/>
      <c r="B1439" s="58"/>
      <c r="C1439" s="10"/>
      <c r="D1439" s="129" t="s">
        <v>183</v>
      </c>
      <c r="E1439" s="129" t="s">
        <v>1758</v>
      </c>
      <c r="F1439" s="130">
        <v>150.0</v>
      </c>
      <c r="G1439" s="129"/>
      <c r="H1439" s="44" t="b">
        <v>1</v>
      </c>
      <c r="K1439" s="91" t="s">
        <v>1845</v>
      </c>
      <c r="L1439" s="90">
        <f t="shared" si="421"/>
        <v>1</v>
      </c>
      <c r="M1439" s="90">
        <f t="shared" si="422"/>
        <v>0</v>
      </c>
      <c r="N1439" s="90">
        <f t="shared" si="423"/>
        <v>1</v>
      </c>
      <c r="O1439" s="92">
        <f t="shared" si="424"/>
        <v>200</v>
      </c>
      <c r="P1439" s="92">
        <f t="shared" si="425"/>
        <v>200</v>
      </c>
      <c r="Q1439" s="92">
        <f t="shared" si="426"/>
        <v>0</v>
      </c>
    </row>
    <row r="1440" hidden="1" outlineLevel="1">
      <c r="A1440" s="10"/>
      <c r="B1440" s="10"/>
      <c r="C1440" s="313">
        <v>0.5069444444444444</v>
      </c>
      <c r="D1440" s="129" t="s">
        <v>1849</v>
      </c>
      <c r="E1440" s="129" t="s">
        <v>1758</v>
      </c>
      <c r="F1440" s="130">
        <v>150.0</v>
      </c>
      <c r="G1440" s="129"/>
      <c r="H1440" s="44" t="b">
        <v>1</v>
      </c>
      <c r="K1440" s="91" t="s">
        <v>1849</v>
      </c>
      <c r="L1440" s="90">
        <f t="shared" si="421"/>
        <v>17</v>
      </c>
      <c r="M1440" s="90">
        <f t="shared" si="422"/>
        <v>0</v>
      </c>
      <c r="N1440" s="90">
        <f t="shared" si="423"/>
        <v>17</v>
      </c>
      <c r="O1440" s="92">
        <f t="shared" si="424"/>
        <v>2550</v>
      </c>
      <c r="P1440" s="92">
        <f t="shared" si="425"/>
        <v>2550</v>
      </c>
      <c r="Q1440" s="92">
        <f t="shared" si="426"/>
        <v>0</v>
      </c>
    </row>
    <row r="1441" hidden="1" outlineLevel="1">
      <c r="A1441" s="102">
        <v>46029.0</v>
      </c>
      <c r="B1441" s="97">
        <f>A1441</f>
        <v>46029</v>
      </c>
      <c r="C1441" s="313">
        <v>0.2916666666666667</v>
      </c>
      <c r="D1441" s="129" t="s">
        <v>1756</v>
      </c>
      <c r="E1441" s="129" t="s">
        <v>1758</v>
      </c>
      <c r="F1441" s="130">
        <v>150.0</v>
      </c>
      <c r="G1441" s="129"/>
      <c r="H1441" s="44" t="b">
        <v>1</v>
      </c>
      <c r="K1441" s="91" t="s">
        <v>1838</v>
      </c>
      <c r="L1441" s="90">
        <f t="shared" si="421"/>
        <v>1</v>
      </c>
      <c r="M1441" s="90">
        <f t="shared" si="422"/>
        <v>0</v>
      </c>
      <c r="N1441" s="90">
        <f t="shared" si="423"/>
        <v>1</v>
      </c>
      <c r="O1441" s="92">
        <f t="shared" si="424"/>
        <v>200</v>
      </c>
      <c r="P1441" s="92">
        <f t="shared" si="425"/>
        <v>200</v>
      </c>
      <c r="Q1441" s="92">
        <f t="shared" si="426"/>
        <v>0</v>
      </c>
    </row>
    <row r="1442" hidden="1" outlineLevel="1">
      <c r="A1442" s="10"/>
      <c r="B1442" s="10"/>
      <c r="C1442" s="313">
        <v>0.5069444444444444</v>
      </c>
      <c r="D1442" s="129" t="s">
        <v>1849</v>
      </c>
      <c r="E1442" s="129" t="s">
        <v>1758</v>
      </c>
      <c r="F1442" s="130">
        <v>150.0</v>
      </c>
      <c r="G1442" s="129"/>
      <c r="H1442" s="44" t="b">
        <v>1</v>
      </c>
      <c r="K1442" s="91" t="s">
        <v>1761</v>
      </c>
      <c r="L1442" s="90">
        <f t="shared" si="421"/>
        <v>2</v>
      </c>
      <c r="M1442" s="90">
        <f t="shared" si="422"/>
        <v>0</v>
      </c>
      <c r="N1442" s="90">
        <f t="shared" si="423"/>
        <v>2</v>
      </c>
      <c r="O1442" s="92">
        <f t="shared" si="424"/>
        <v>400</v>
      </c>
      <c r="P1442" s="92">
        <f t="shared" si="425"/>
        <v>400</v>
      </c>
      <c r="Q1442" s="92">
        <f t="shared" si="426"/>
        <v>0</v>
      </c>
    </row>
    <row r="1443" hidden="1" outlineLevel="1">
      <c r="A1443" s="102">
        <v>46030.0</v>
      </c>
      <c r="B1443" s="97">
        <f>A1443</f>
        <v>46030</v>
      </c>
      <c r="C1443" s="313">
        <v>0.2916666666666667</v>
      </c>
      <c r="D1443" s="129" t="s">
        <v>1756</v>
      </c>
      <c r="E1443" s="129" t="s">
        <v>1758</v>
      </c>
      <c r="F1443" s="130">
        <v>150.0</v>
      </c>
      <c r="G1443" s="129"/>
      <c r="H1443" s="44" t="b">
        <v>1</v>
      </c>
      <c r="K1443" s="91" t="s">
        <v>1858</v>
      </c>
      <c r="L1443" s="90">
        <f t="shared" si="421"/>
        <v>1</v>
      </c>
      <c r="M1443" s="90">
        <f t="shared" si="422"/>
        <v>0</v>
      </c>
      <c r="N1443" s="90">
        <f t="shared" si="423"/>
        <v>1</v>
      </c>
      <c r="O1443" s="92">
        <f t="shared" si="424"/>
        <v>200</v>
      </c>
      <c r="P1443" s="92">
        <f t="shared" si="425"/>
        <v>200</v>
      </c>
      <c r="Q1443" s="92">
        <f t="shared" si="426"/>
        <v>0</v>
      </c>
    </row>
    <row r="1444" hidden="1" outlineLevel="1">
      <c r="A1444" s="10"/>
      <c r="B1444" s="10"/>
      <c r="C1444" s="313">
        <v>0.5069444444444444</v>
      </c>
      <c r="D1444" s="129" t="s">
        <v>562</v>
      </c>
      <c r="E1444" s="129" t="s">
        <v>1758</v>
      </c>
      <c r="F1444" s="130">
        <v>150.0</v>
      </c>
      <c r="G1444" s="129"/>
      <c r="H1444" s="44" t="b">
        <v>1</v>
      </c>
      <c r="K1444" s="91" t="s">
        <v>1855</v>
      </c>
      <c r="L1444" s="90">
        <f t="shared" si="421"/>
        <v>4</v>
      </c>
      <c r="M1444" s="90">
        <f t="shared" si="422"/>
        <v>0</v>
      </c>
      <c r="N1444" s="90">
        <f t="shared" si="423"/>
        <v>4</v>
      </c>
      <c r="O1444" s="92">
        <f t="shared" si="424"/>
        <v>600</v>
      </c>
      <c r="P1444" s="92">
        <f t="shared" si="425"/>
        <v>600</v>
      </c>
      <c r="Q1444" s="92">
        <f t="shared" si="426"/>
        <v>0</v>
      </c>
    </row>
    <row r="1445" hidden="1" outlineLevel="1">
      <c r="A1445" s="102">
        <v>46031.0</v>
      </c>
      <c r="B1445" s="97">
        <f>A1445</f>
        <v>46031</v>
      </c>
      <c r="C1445" s="398">
        <v>0.2916666666666667</v>
      </c>
      <c r="D1445" s="129" t="s">
        <v>1756</v>
      </c>
      <c r="E1445" s="129" t="s">
        <v>469</v>
      </c>
      <c r="F1445" s="130">
        <v>150.0</v>
      </c>
      <c r="G1445" s="129"/>
      <c r="H1445" s="44" t="b">
        <v>1</v>
      </c>
      <c r="K1445" s="276"/>
      <c r="L1445" s="90"/>
      <c r="M1445" s="276"/>
      <c r="N1445" s="276"/>
      <c r="O1445" s="276"/>
      <c r="P1445" s="276"/>
      <c r="Q1445" s="276"/>
    </row>
    <row r="1446" hidden="1" outlineLevel="1">
      <c r="A1446" s="58"/>
      <c r="B1446" s="58"/>
      <c r="C1446" s="10"/>
      <c r="D1446" s="129" t="s">
        <v>183</v>
      </c>
      <c r="E1446" s="129" t="s">
        <v>1758</v>
      </c>
      <c r="F1446" s="130">
        <v>150.0</v>
      </c>
      <c r="G1446" s="129"/>
      <c r="H1446" s="44" t="b">
        <v>1</v>
      </c>
      <c r="K1446" s="276"/>
      <c r="L1446" s="90"/>
      <c r="M1446" s="276"/>
      <c r="N1446" s="276"/>
      <c r="O1446" s="276"/>
      <c r="P1446" s="276"/>
      <c r="Q1446" s="276"/>
    </row>
    <row r="1447" hidden="1" outlineLevel="1">
      <c r="A1447" s="10"/>
      <c r="B1447" s="10"/>
      <c r="C1447" s="313">
        <v>0.5069444444444444</v>
      </c>
      <c r="D1447" s="129" t="s">
        <v>1849</v>
      </c>
      <c r="E1447" s="129" t="s">
        <v>1758</v>
      </c>
      <c r="F1447" s="130">
        <v>150.0</v>
      </c>
      <c r="G1447" s="129"/>
      <c r="H1447" s="44" t="b">
        <v>1</v>
      </c>
      <c r="K1447" s="91"/>
      <c r="L1447" s="90"/>
      <c r="M1447" s="90"/>
      <c r="N1447" s="90"/>
      <c r="O1447" s="92"/>
      <c r="P1447" s="92"/>
      <c r="Q1447" s="90"/>
    </row>
    <row r="1448" hidden="1" outlineLevel="1">
      <c r="A1448" s="125">
        <v>46032.0</v>
      </c>
      <c r="B1448" s="126">
        <f t="shared" ref="B1448:B1449" si="429">A1448</f>
        <v>46032</v>
      </c>
      <c r="C1448" s="313">
        <v>0.3333333333333333</v>
      </c>
      <c r="D1448" s="129" t="s">
        <v>1756</v>
      </c>
      <c r="E1448" s="129" t="s">
        <v>1758</v>
      </c>
      <c r="F1448" s="130">
        <v>150.0</v>
      </c>
      <c r="G1448" s="129"/>
      <c r="H1448" s="44" t="b">
        <v>1</v>
      </c>
      <c r="K1448" s="477" t="s">
        <v>195</v>
      </c>
      <c r="L1448" s="478">
        <f t="shared" ref="L1448:Q1448" si="428">SUM(L1429:L1447)</f>
        <v>61</v>
      </c>
      <c r="M1448" s="478">
        <f t="shared" si="428"/>
        <v>9</v>
      </c>
      <c r="N1448" s="478">
        <f t="shared" si="428"/>
        <v>70</v>
      </c>
      <c r="O1448" s="479">
        <f t="shared" si="428"/>
        <v>11200</v>
      </c>
      <c r="P1448" s="479">
        <f t="shared" si="428"/>
        <v>11200</v>
      </c>
      <c r="Q1448" s="479">
        <f t="shared" si="428"/>
        <v>0</v>
      </c>
    </row>
    <row r="1449" hidden="1" outlineLevel="1">
      <c r="A1449" s="102">
        <v>46033.0</v>
      </c>
      <c r="B1449" s="97">
        <f t="shared" si="429"/>
        <v>46033</v>
      </c>
      <c r="C1449" s="313">
        <v>0.3333333333333333</v>
      </c>
      <c r="D1449" s="129" t="s">
        <v>1828</v>
      </c>
      <c r="E1449" s="129" t="s">
        <v>1758</v>
      </c>
      <c r="F1449" s="130">
        <v>200.0</v>
      </c>
      <c r="G1449" s="129"/>
      <c r="H1449" s="44" t="b">
        <v>1</v>
      </c>
    </row>
    <row r="1450" hidden="1" outlineLevel="1">
      <c r="A1450" s="58"/>
      <c r="B1450" s="58"/>
      <c r="C1450" s="313">
        <v>0.4583333333333333</v>
      </c>
      <c r="D1450" s="129" t="s">
        <v>562</v>
      </c>
      <c r="E1450" s="129" t="s">
        <v>1758</v>
      </c>
      <c r="F1450" s="130">
        <v>200.0</v>
      </c>
      <c r="G1450" s="129"/>
      <c r="H1450" s="44" t="b">
        <v>1</v>
      </c>
    </row>
    <row r="1451" hidden="1" outlineLevel="1">
      <c r="A1451" s="10"/>
      <c r="B1451" s="10"/>
      <c r="C1451" s="313">
        <v>0.7708333333333334</v>
      </c>
      <c r="D1451" s="129" t="s">
        <v>1845</v>
      </c>
      <c r="E1451" s="129" t="s">
        <v>1758</v>
      </c>
      <c r="F1451" s="130">
        <v>200.0</v>
      </c>
      <c r="G1451" s="129"/>
      <c r="H1451" s="44" t="b">
        <v>1</v>
      </c>
    </row>
    <row r="1452" hidden="1" outlineLevel="1">
      <c r="A1452" s="102">
        <v>46034.0</v>
      </c>
      <c r="B1452" s="97">
        <f>A1452</f>
        <v>46034</v>
      </c>
      <c r="C1452" s="313">
        <v>0.2916666666666667</v>
      </c>
      <c r="D1452" s="129" t="s">
        <v>1855</v>
      </c>
      <c r="E1452" s="129" t="s">
        <v>1758</v>
      </c>
      <c r="F1452" s="130">
        <v>150.0</v>
      </c>
      <c r="G1452" s="129"/>
      <c r="H1452" s="44" t="b">
        <v>1</v>
      </c>
    </row>
    <row r="1453" hidden="1" outlineLevel="1">
      <c r="A1453" s="10"/>
      <c r="B1453" s="10"/>
      <c r="C1453" s="313">
        <v>0.5069444444444444</v>
      </c>
      <c r="D1453" s="129" t="s">
        <v>1849</v>
      </c>
      <c r="E1453" s="129" t="s">
        <v>1758</v>
      </c>
      <c r="F1453" s="130">
        <v>150.0</v>
      </c>
      <c r="G1453" s="129"/>
      <c r="H1453" s="44" t="b">
        <v>1</v>
      </c>
    </row>
    <row r="1454" hidden="1" outlineLevel="1">
      <c r="A1454" s="102">
        <v>46035.0</v>
      </c>
      <c r="B1454" s="97">
        <f>A1454</f>
        <v>46035</v>
      </c>
      <c r="C1454" s="398">
        <v>0.2916666666666667</v>
      </c>
      <c r="D1454" s="129" t="s">
        <v>1756</v>
      </c>
      <c r="E1454" s="129" t="s">
        <v>469</v>
      </c>
      <c r="F1454" s="130">
        <v>150.0</v>
      </c>
      <c r="G1454" s="129"/>
      <c r="H1454" s="44" t="b">
        <v>1</v>
      </c>
    </row>
    <row r="1455" hidden="1" outlineLevel="1">
      <c r="A1455" s="58"/>
      <c r="B1455" s="58"/>
      <c r="C1455" s="10"/>
      <c r="D1455" s="129" t="s">
        <v>183</v>
      </c>
      <c r="E1455" s="129" t="s">
        <v>1758</v>
      </c>
      <c r="F1455" s="130">
        <v>150.0</v>
      </c>
      <c r="G1455" s="129"/>
      <c r="H1455" s="44" t="b">
        <v>1</v>
      </c>
    </row>
    <row r="1456" hidden="1" outlineLevel="1">
      <c r="A1456" s="10"/>
      <c r="B1456" s="10"/>
      <c r="C1456" s="313">
        <v>0.5069444444444444</v>
      </c>
      <c r="D1456" s="129" t="s">
        <v>1849</v>
      </c>
      <c r="E1456" s="129" t="s">
        <v>1758</v>
      </c>
      <c r="F1456" s="130">
        <v>150.0</v>
      </c>
      <c r="G1456" s="129"/>
      <c r="H1456" s="44" t="b">
        <v>1</v>
      </c>
    </row>
    <row r="1457" hidden="1" outlineLevel="1">
      <c r="A1457" s="102">
        <v>46036.0</v>
      </c>
      <c r="B1457" s="97">
        <f>A1457</f>
        <v>46036</v>
      </c>
      <c r="C1457" s="313">
        <v>0.2916666666666667</v>
      </c>
      <c r="D1457" s="129" t="s">
        <v>1756</v>
      </c>
      <c r="E1457" s="129" t="s">
        <v>1758</v>
      </c>
      <c r="F1457" s="130">
        <v>150.0</v>
      </c>
      <c r="G1457" s="129"/>
      <c r="H1457" s="44" t="b">
        <v>1</v>
      </c>
    </row>
    <row r="1458" hidden="1" outlineLevel="1">
      <c r="A1458" s="10"/>
      <c r="B1458" s="10"/>
      <c r="C1458" s="313">
        <v>0.5069444444444444</v>
      </c>
      <c r="D1458" s="129" t="s">
        <v>1849</v>
      </c>
      <c r="E1458" s="129" t="s">
        <v>1758</v>
      </c>
      <c r="F1458" s="130">
        <v>150.0</v>
      </c>
      <c r="G1458" s="129"/>
      <c r="H1458" s="44" t="b">
        <v>1</v>
      </c>
    </row>
    <row r="1459" hidden="1" outlineLevel="1">
      <c r="A1459" s="102">
        <v>46037.0</v>
      </c>
      <c r="B1459" s="97">
        <f>A1459</f>
        <v>46037</v>
      </c>
      <c r="C1459" s="313">
        <v>0.2916666666666667</v>
      </c>
      <c r="D1459" s="129" t="s">
        <v>1756</v>
      </c>
      <c r="E1459" s="129" t="s">
        <v>1758</v>
      </c>
      <c r="F1459" s="130">
        <v>150.0</v>
      </c>
      <c r="G1459" s="129"/>
      <c r="H1459" s="44" t="b">
        <v>1</v>
      </c>
    </row>
    <row r="1460" hidden="1" outlineLevel="1">
      <c r="A1460" s="10"/>
      <c r="B1460" s="10"/>
      <c r="C1460" s="313">
        <v>0.5069444444444444</v>
      </c>
      <c r="D1460" s="129" t="s">
        <v>562</v>
      </c>
      <c r="E1460" s="129" t="s">
        <v>1758</v>
      </c>
      <c r="F1460" s="130">
        <v>150.0</v>
      </c>
      <c r="G1460" s="129"/>
      <c r="H1460" s="44" t="b">
        <v>1</v>
      </c>
    </row>
    <row r="1461" hidden="1" outlineLevel="1">
      <c r="A1461" s="102">
        <v>46038.0</v>
      </c>
      <c r="B1461" s="97">
        <f>A1461</f>
        <v>46038</v>
      </c>
      <c r="C1461" s="398">
        <v>0.2916666666666667</v>
      </c>
      <c r="D1461" s="129" t="s">
        <v>1756</v>
      </c>
      <c r="E1461" s="129" t="s">
        <v>469</v>
      </c>
      <c r="F1461" s="130">
        <v>150.0</v>
      </c>
      <c r="G1461" s="129"/>
      <c r="H1461" s="44" t="b">
        <v>1</v>
      </c>
    </row>
    <row r="1462" hidden="1" outlineLevel="1">
      <c r="A1462" s="58"/>
      <c r="B1462" s="58"/>
      <c r="C1462" s="10"/>
      <c r="D1462" s="129" t="s">
        <v>183</v>
      </c>
      <c r="E1462" s="129" t="s">
        <v>1758</v>
      </c>
      <c r="F1462" s="130">
        <v>150.0</v>
      </c>
      <c r="G1462" s="129"/>
      <c r="H1462" s="44" t="b">
        <v>1</v>
      </c>
    </row>
    <row r="1463" hidden="1" outlineLevel="1">
      <c r="A1463" s="10"/>
      <c r="B1463" s="10"/>
      <c r="C1463" s="313">
        <v>0.5069444444444444</v>
      </c>
      <c r="D1463" s="129" t="s">
        <v>1849</v>
      </c>
      <c r="E1463" s="129" t="s">
        <v>1758</v>
      </c>
      <c r="F1463" s="130">
        <v>150.0</v>
      </c>
      <c r="G1463" s="129"/>
      <c r="H1463" s="44" t="b">
        <v>1</v>
      </c>
    </row>
    <row r="1464" hidden="1" outlineLevel="1">
      <c r="A1464" s="125">
        <v>46039.0</v>
      </c>
      <c r="B1464" s="126">
        <f t="shared" ref="B1464:B1465" si="430">A1464</f>
        <v>46039</v>
      </c>
      <c r="C1464" s="313">
        <v>0.3333333333333333</v>
      </c>
      <c r="D1464" s="129" t="s">
        <v>1756</v>
      </c>
      <c r="E1464" s="129" t="s">
        <v>1758</v>
      </c>
      <c r="F1464" s="130">
        <v>150.0</v>
      </c>
      <c r="G1464" s="129"/>
      <c r="H1464" s="44" t="b">
        <v>1</v>
      </c>
    </row>
    <row r="1465" hidden="1" outlineLevel="1">
      <c r="A1465" s="102">
        <v>46040.0</v>
      </c>
      <c r="B1465" s="97">
        <f t="shared" si="430"/>
        <v>46040</v>
      </c>
      <c r="C1465" s="313">
        <v>0.3333333333333333</v>
      </c>
      <c r="D1465" s="129" t="s">
        <v>1761</v>
      </c>
      <c r="E1465" s="129" t="s">
        <v>1758</v>
      </c>
      <c r="F1465" s="130">
        <v>200.0</v>
      </c>
      <c r="G1465" s="129"/>
      <c r="H1465" s="44" t="b">
        <v>1</v>
      </c>
    </row>
    <row r="1466" hidden="1" outlineLevel="1">
      <c r="A1466" s="58"/>
      <c r="B1466" s="58"/>
      <c r="C1466" s="313">
        <v>0.4583333333333333</v>
      </c>
      <c r="D1466" s="129" t="s">
        <v>1857</v>
      </c>
      <c r="E1466" s="129" t="s">
        <v>1758</v>
      </c>
      <c r="F1466" s="130">
        <v>200.0</v>
      </c>
      <c r="G1466" s="129"/>
      <c r="H1466" s="44" t="b">
        <v>1</v>
      </c>
    </row>
    <row r="1467" hidden="1" outlineLevel="1">
      <c r="A1467" s="10"/>
      <c r="B1467" s="10"/>
      <c r="C1467" s="313">
        <v>0.7708333333333334</v>
      </c>
      <c r="D1467" s="129" t="s">
        <v>1838</v>
      </c>
      <c r="E1467" s="129" t="s">
        <v>1758</v>
      </c>
      <c r="F1467" s="130">
        <v>200.0</v>
      </c>
      <c r="G1467" s="129"/>
      <c r="H1467" s="44" t="b">
        <v>1</v>
      </c>
    </row>
    <row r="1468" hidden="1" outlineLevel="1">
      <c r="A1468" s="102">
        <v>46041.0</v>
      </c>
      <c r="B1468" s="97">
        <f>A1468</f>
        <v>46041</v>
      </c>
      <c r="C1468" s="313">
        <v>0.2916666666666667</v>
      </c>
      <c r="D1468" s="129" t="s">
        <v>1855</v>
      </c>
      <c r="E1468" s="129" t="s">
        <v>1758</v>
      </c>
      <c r="F1468" s="130">
        <v>150.0</v>
      </c>
      <c r="G1468" s="129"/>
      <c r="H1468" s="44" t="b">
        <v>1</v>
      </c>
    </row>
    <row r="1469" hidden="1" outlineLevel="1">
      <c r="A1469" s="10"/>
      <c r="B1469" s="10"/>
      <c r="C1469" s="313">
        <v>0.5069444444444444</v>
      </c>
      <c r="D1469" s="129" t="s">
        <v>1849</v>
      </c>
      <c r="E1469" s="129" t="s">
        <v>1758</v>
      </c>
      <c r="F1469" s="130">
        <v>150.0</v>
      </c>
      <c r="G1469" s="129"/>
      <c r="H1469" s="44" t="b">
        <v>1</v>
      </c>
    </row>
    <row r="1470" hidden="1" outlineLevel="1">
      <c r="A1470" s="102">
        <v>46042.0</v>
      </c>
      <c r="B1470" s="97">
        <f>A1470</f>
        <v>46042</v>
      </c>
      <c r="C1470" s="398">
        <v>0.2916666666666667</v>
      </c>
      <c r="D1470" s="129" t="s">
        <v>1756</v>
      </c>
      <c r="E1470" s="129" t="s">
        <v>469</v>
      </c>
      <c r="F1470" s="130">
        <v>150.0</v>
      </c>
      <c r="G1470" s="129"/>
      <c r="H1470" s="44" t="b">
        <v>1</v>
      </c>
    </row>
    <row r="1471" hidden="1" outlineLevel="1">
      <c r="A1471" s="58"/>
      <c r="B1471" s="58"/>
      <c r="C1471" s="10"/>
      <c r="D1471" s="129" t="s">
        <v>183</v>
      </c>
      <c r="E1471" s="129" t="s">
        <v>1758</v>
      </c>
      <c r="F1471" s="130">
        <v>150.0</v>
      </c>
      <c r="G1471" s="129"/>
      <c r="H1471" s="44" t="b">
        <v>1</v>
      </c>
    </row>
    <row r="1472" hidden="1" outlineLevel="1">
      <c r="A1472" s="10"/>
      <c r="B1472" s="10"/>
      <c r="C1472" s="313">
        <v>0.5069444444444444</v>
      </c>
      <c r="D1472" s="129" t="s">
        <v>1849</v>
      </c>
      <c r="E1472" s="129" t="s">
        <v>1758</v>
      </c>
      <c r="F1472" s="130">
        <v>150.0</v>
      </c>
      <c r="G1472" s="129"/>
      <c r="H1472" s="44" t="b">
        <v>1</v>
      </c>
    </row>
    <row r="1473" hidden="1" outlineLevel="1">
      <c r="A1473" s="102">
        <v>46043.0</v>
      </c>
      <c r="B1473" s="97">
        <f>A1473</f>
        <v>46043</v>
      </c>
      <c r="C1473" s="313">
        <v>0.2916666666666667</v>
      </c>
      <c r="D1473" s="129" t="s">
        <v>1756</v>
      </c>
      <c r="E1473" s="129" t="s">
        <v>1758</v>
      </c>
      <c r="F1473" s="130">
        <v>150.0</v>
      </c>
      <c r="G1473" s="129"/>
      <c r="H1473" s="44" t="b">
        <v>1</v>
      </c>
    </row>
    <row r="1474" hidden="1" outlineLevel="1">
      <c r="A1474" s="10"/>
      <c r="B1474" s="10"/>
      <c r="C1474" s="313">
        <v>0.5069444444444444</v>
      </c>
      <c r="D1474" s="129" t="s">
        <v>1849</v>
      </c>
      <c r="E1474" s="129" t="s">
        <v>1758</v>
      </c>
      <c r="F1474" s="130">
        <v>150.0</v>
      </c>
      <c r="G1474" s="129"/>
      <c r="H1474" s="44" t="b">
        <v>1</v>
      </c>
    </row>
    <row r="1475" hidden="1" outlineLevel="1">
      <c r="A1475" s="102">
        <v>46044.0</v>
      </c>
      <c r="B1475" s="97">
        <f>A1475</f>
        <v>46044</v>
      </c>
      <c r="C1475" s="313">
        <v>0.2916666666666667</v>
      </c>
      <c r="D1475" s="129" t="s">
        <v>1756</v>
      </c>
      <c r="E1475" s="129" t="s">
        <v>1758</v>
      </c>
      <c r="F1475" s="130">
        <v>150.0</v>
      </c>
      <c r="G1475" s="129"/>
      <c r="H1475" s="44" t="b">
        <v>1</v>
      </c>
    </row>
    <row r="1476" hidden="1" outlineLevel="1">
      <c r="A1476" s="10"/>
      <c r="B1476" s="10"/>
      <c r="C1476" s="313">
        <v>0.5069444444444444</v>
      </c>
      <c r="D1476" s="129" t="s">
        <v>562</v>
      </c>
      <c r="E1476" s="129" t="s">
        <v>1758</v>
      </c>
      <c r="F1476" s="130">
        <v>150.0</v>
      </c>
      <c r="G1476" s="129"/>
      <c r="H1476" s="44" t="b">
        <v>1</v>
      </c>
    </row>
    <row r="1477" hidden="1" outlineLevel="1">
      <c r="A1477" s="102">
        <v>46045.0</v>
      </c>
      <c r="B1477" s="97">
        <f>A1477</f>
        <v>46045</v>
      </c>
      <c r="C1477" s="398">
        <v>0.2916666666666667</v>
      </c>
      <c r="D1477" s="129" t="s">
        <v>1756</v>
      </c>
      <c r="E1477" s="129" t="s">
        <v>469</v>
      </c>
      <c r="F1477" s="130">
        <v>150.0</v>
      </c>
      <c r="G1477" s="129"/>
      <c r="H1477" s="44" t="b">
        <v>1</v>
      </c>
    </row>
    <row r="1478" hidden="1" outlineLevel="1">
      <c r="A1478" s="58"/>
      <c r="B1478" s="58"/>
      <c r="C1478" s="10"/>
      <c r="D1478" s="129" t="s">
        <v>183</v>
      </c>
      <c r="E1478" s="129" t="s">
        <v>1758</v>
      </c>
      <c r="F1478" s="130">
        <v>150.0</v>
      </c>
      <c r="G1478" s="129"/>
      <c r="H1478" s="44" t="b">
        <v>1</v>
      </c>
    </row>
    <row r="1479" hidden="1" outlineLevel="1">
      <c r="A1479" s="10"/>
      <c r="B1479" s="10"/>
      <c r="C1479" s="313">
        <v>0.5069444444444444</v>
      </c>
      <c r="D1479" s="129" t="s">
        <v>1849</v>
      </c>
      <c r="E1479" s="129" t="s">
        <v>1758</v>
      </c>
      <c r="F1479" s="130">
        <v>150.0</v>
      </c>
      <c r="G1479" s="129"/>
      <c r="H1479" s="44" t="b">
        <v>1</v>
      </c>
    </row>
    <row r="1480" hidden="1" outlineLevel="1">
      <c r="A1480" s="125">
        <v>46046.0</v>
      </c>
      <c r="B1480" s="126">
        <f t="shared" ref="B1480:B1481" si="431">A1480</f>
        <v>46046</v>
      </c>
      <c r="C1480" s="313">
        <v>0.3333333333333333</v>
      </c>
      <c r="D1480" s="129" t="s">
        <v>1756</v>
      </c>
      <c r="E1480" s="129" t="s">
        <v>1758</v>
      </c>
      <c r="F1480" s="130">
        <v>150.0</v>
      </c>
      <c r="G1480" s="129"/>
      <c r="H1480" s="44" t="b">
        <v>1</v>
      </c>
    </row>
    <row r="1481" hidden="1" outlineLevel="1">
      <c r="A1481" s="102">
        <v>46047.0</v>
      </c>
      <c r="B1481" s="97">
        <f t="shared" si="431"/>
        <v>46047</v>
      </c>
      <c r="C1481" s="313">
        <v>0.3333333333333333</v>
      </c>
      <c r="D1481" s="129" t="s">
        <v>1828</v>
      </c>
      <c r="E1481" s="129" t="s">
        <v>1758</v>
      </c>
      <c r="F1481" s="130">
        <v>200.0</v>
      </c>
      <c r="G1481" s="129"/>
      <c r="H1481" s="44" t="b">
        <v>1</v>
      </c>
    </row>
    <row r="1482" hidden="1" outlineLevel="1">
      <c r="A1482" s="58"/>
      <c r="B1482" s="58"/>
      <c r="C1482" s="313">
        <v>0.4583333333333333</v>
      </c>
      <c r="D1482" s="129" t="s">
        <v>562</v>
      </c>
      <c r="E1482" s="129" t="s">
        <v>1758</v>
      </c>
      <c r="F1482" s="130">
        <v>200.0</v>
      </c>
      <c r="G1482" s="129"/>
      <c r="H1482" s="44" t="b">
        <v>1</v>
      </c>
    </row>
    <row r="1483" hidden="1" outlineLevel="1">
      <c r="A1483" s="10"/>
      <c r="B1483" s="10"/>
      <c r="C1483" s="313">
        <v>0.7708333333333334</v>
      </c>
      <c r="D1483" s="129" t="s">
        <v>1761</v>
      </c>
      <c r="E1483" s="129" t="s">
        <v>1758</v>
      </c>
      <c r="F1483" s="130">
        <v>200.0</v>
      </c>
      <c r="G1483" s="129"/>
      <c r="H1483" s="44" t="b">
        <v>1</v>
      </c>
    </row>
    <row r="1484" hidden="1" outlineLevel="1">
      <c r="A1484" s="102">
        <v>46048.0</v>
      </c>
      <c r="B1484" s="97">
        <f>A1484</f>
        <v>46048</v>
      </c>
      <c r="C1484" s="313">
        <v>0.2916666666666667</v>
      </c>
      <c r="D1484" s="129" t="s">
        <v>1855</v>
      </c>
      <c r="E1484" s="129" t="s">
        <v>1758</v>
      </c>
      <c r="F1484" s="130">
        <v>150.0</v>
      </c>
      <c r="G1484" s="129"/>
      <c r="H1484" s="44" t="b">
        <v>1</v>
      </c>
    </row>
    <row r="1485" hidden="1" outlineLevel="1">
      <c r="A1485" s="10"/>
      <c r="B1485" s="10"/>
      <c r="C1485" s="313">
        <v>0.5069444444444444</v>
      </c>
      <c r="D1485" s="129" t="s">
        <v>1849</v>
      </c>
      <c r="E1485" s="129" t="s">
        <v>1758</v>
      </c>
      <c r="F1485" s="130">
        <v>150.0</v>
      </c>
      <c r="G1485" s="129"/>
      <c r="H1485" s="44" t="b">
        <v>1</v>
      </c>
    </row>
    <row r="1486" hidden="1" outlineLevel="1">
      <c r="A1486" s="102">
        <v>46049.0</v>
      </c>
      <c r="B1486" s="97">
        <f>A1486</f>
        <v>46049</v>
      </c>
      <c r="C1486" s="398">
        <v>0.2916666666666667</v>
      </c>
      <c r="D1486" s="129" t="s">
        <v>1756</v>
      </c>
      <c r="E1486" s="129" t="s">
        <v>469</v>
      </c>
      <c r="F1486" s="130">
        <v>150.0</v>
      </c>
      <c r="G1486" s="129"/>
      <c r="H1486" s="44" t="b">
        <v>1</v>
      </c>
    </row>
    <row r="1487" hidden="1" outlineLevel="1">
      <c r="A1487" s="58"/>
      <c r="B1487" s="58"/>
      <c r="C1487" s="10"/>
      <c r="D1487" s="129" t="s">
        <v>183</v>
      </c>
      <c r="E1487" s="129" t="s">
        <v>1758</v>
      </c>
      <c r="F1487" s="130">
        <v>150.0</v>
      </c>
      <c r="G1487" s="129"/>
      <c r="H1487" s="44" t="b">
        <v>1</v>
      </c>
    </row>
    <row r="1488" hidden="1" outlineLevel="1">
      <c r="A1488" s="10"/>
      <c r="B1488" s="10"/>
      <c r="C1488" s="313">
        <v>0.5069444444444444</v>
      </c>
      <c r="D1488" s="129" t="s">
        <v>1849</v>
      </c>
      <c r="E1488" s="129" t="s">
        <v>1758</v>
      </c>
      <c r="F1488" s="130">
        <v>150.0</v>
      </c>
      <c r="G1488" s="129"/>
      <c r="H1488" s="44" t="b">
        <v>1</v>
      </c>
    </row>
    <row r="1489" hidden="1" outlineLevel="1">
      <c r="A1489" s="102">
        <v>46050.0</v>
      </c>
      <c r="B1489" s="97">
        <f>A1489</f>
        <v>46050</v>
      </c>
      <c r="C1489" s="313">
        <v>0.2916666666666667</v>
      </c>
      <c r="D1489" s="129" t="s">
        <v>1756</v>
      </c>
      <c r="E1489" s="129" t="s">
        <v>1758</v>
      </c>
      <c r="F1489" s="130">
        <v>150.0</v>
      </c>
      <c r="G1489" s="129"/>
      <c r="H1489" s="44" t="b">
        <v>1</v>
      </c>
    </row>
    <row r="1490" hidden="1" outlineLevel="1">
      <c r="A1490" s="10"/>
      <c r="B1490" s="10"/>
      <c r="C1490" s="313">
        <v>0.5069444444444444</v>
      </c>
      <c r="D1490" s="129" t="s">
        <v>1849</v>
      </c>
      <c r="E1490" s="129" t="s">
        <v>1758</v>
      </c>
      <c r="F1490" s="130">
        <v>150.0</v>
      </c>
      <c r="G1490" s="129"/>
      <c r="H1490" s="44" t="b">
        <v>1</v>
      </c>
    </row>
    <row r="1491" hidden="1" outlineLevel="1">
      <c r="A1491" s="102">
        <v>46051.0</v>
      </c>
      <c r="B1491" s="97">
        <f>A1491</f>
        <v>46051</v>
      </c>
      <c r="C1491" s="313">
        <v>0.2916666666666667</v>
      </c>
      <c r="D1491" s="129" t="s">
        <v>1756</v>
      </c>
      <c r="E1491" s="129" t="s">
        <v>1758</v>
      </c>
      <c r="F1491" s="130">
        <v>150.0</v>
      </c>
      <c r="G1491" s="129"/>
      <c r="H1491" s="44" t="b">
        <v>1</v>
      </c>
    </row>
    <row r="1492" hidden="1" outlineLevel="1">
      <c r="A1492" s="10"/>
      <c r="B1492" s="10"/>
      <c r="C1492" s="313">
        <v>0.5069444444444444</v>
      </c>
      <c r="D1492" s="129" t="s">
        <v>562</v>
      </c>
      <c r="E1492" s="129" t="s">
        <v>1758</v>
      </c>
      <c r="F1492" s="130">
        <v>150.0</v>
      </c>
      <c r="G1492" s="129"/>
      <c r="H1492" s="44" t="b">
        <v>1</v>
      </c>
    </row>
    <row r="1493" hidden="1" outlineLevel="1">
      <c r="A1493" s="102">
        <v>46052.0</v>
      </c>
      <c r="B1493" s="97">
        <f>A1493</f>
        <v>46052</v>
      </c>
      <c r="C1493" s="398">
        <v>0.2916666666666667</v>
      </c>
      <c r="D1493" s="129" t="s">
        <v>1756</v>
      </c>
      <c r="E1493" s="129" t="s">
        <v>469</v>
      </c>
      <c r="F1493" s="130">
        <v>150.0</v>
      </c>
      <c r="G1493" s="129"/>
      <c r="H1493" s="44" t="b">
        <v>1</v>
      </c>
    </row>
    <row r="1494" hidden="1" outlineLevel="1">
      <c r="A1494" s="58"/>
      <c r="B1494" s="58"/>
      <c r="C1494" s="10"/>
      <c r="D1494" s="129" t="s">
        <v>183</v>
      </c>
      <c r="E1494" s="129" t="s">
        <v>1758</v>
      </c>
      <c r="F1494" s="130">
        <v>150.0</v>
      </c>
      <c r="G1494" s="129"/>
      <c r="H1494" s="44" t="b">
        <v>1</v>
      </c>
    </row>
    <row r="1495" hidden="1" outlineLevel="1">
      <c r="A1495" s="10"/>
      <c r="B1495" s="10"/>
      <c r="C1495" s="313">
        <v>0.5069444444444444</v>
      </c>
      <c r="D1495" s="129" t="s">
        <v>1849</v>
      </c>
      <c r="E1495" s="129" t="s">
        <v>1758</v>
      </c>
      <c r="F1495" s="130">
        <v>150.0</v>
      </c>
      <c r="G1495" s="129"/>
      <c r="H1495" s="44" t="b">
        <v>1</v>
      </c>
    </row>
    <row r="1496" hidden="1" outlineLevel="1">
      <c r="A1496" s="125">
        <v>46053.0</v>
      </c>
      <c r="B1496" s="126">
        <f>A1496</f>
        <v>46053</v>
      </c>
      <c r="C1496" s="313">
        <v>0.3333333333333333</v>
      </c>
      <c r="D1496" s="129" t="s">
        <v>1756</v>
      </c>
      <c r="E1496" s="129" t="s">
        <v>1758</v>
      </c>
      <c r="F1496" s="130">
        <v>150.0</v>
      </c>
      <c r="G1496" s="129"/>
      <c r="H1496" s="44" t="b">
        <v>1</v>
      </c>
    </row>
    <row r="1497">
      <c r="A1497" s="484" t="s">
        <v>195</v>
      </c>
      <c r="B1497" s="27"/>
      <c r="C1497" s="27"/>
      <c r="D1497" s="27"/>
      <c r="E1497" s="28"/>
      <c r="F1497" s="485">
        <f>SUM(F1427:F1496)</f>
        <v>11200</v>
      </c>
      <c r="G1497" s="486"/>
      <c r="H1497" s="28"/>
    </row>
    <row r="1498" collapsed="1">
      <c r="A1498" s="339" t="s">
        <v>1441</v>
      </c>
      <c r="B1498" s="246"/>
      <c r="C1498" s="246"/>
      <c r="D1498" s="246"/>
      <c r="E1498" s="246"/>
      <c r="F1498" s="246"/>
      <c r="G1498" s="246"/>
      <c r="H1498" s="247"/>
    </row>
    <row r="1499" hidden="1" outlineLevel="1">
      <c r="A1499" s="102">
        <v>46054.0</v>
      </c>
      <c r="B1499" s="97">
        <f>A1499</f>
        <v>46054</v>
      </c>
      <c r="C1499" s="313">
        <v>0.3333333333333333</v>
      </c>
      <c r="D1499" s="129" t="s">
        <v>1828</v>
      </c>
      <c r="E1499" s="129" t="s">
        <v>1758</v>
      </c>
      <c r="F1499" s="130">
        <v>200.0</v>
      </c>
      <c r="G1499" s="129"/>
      <c r="H1499" s="44" t="b">
        <v>1</v>
      </c>
      <c r="K1499" s="440" t="s">
        <v>2084</v>
      </c>
      <c r="L1499" s="27"/>
      <c r="M1499" s="27"/>
      <c r="N1499" s="27"/>
      <c r="O1499" s="27"/>
      <c r="P1499" s="27"/>
      <c r="Q1499" s="28"/>
    </row>
    <row r="1500" hidden="1" outlineLevel="1">
      <c r="A1500" s="58"/>
      <c r="B1500" s="58"/>
      <c r="C1500" s="313">
        <v>0.4583333333333333</v>
      </c>
      <c r="D1500" s="129" t="s">
        <v>1857</v>
      </c>
      <c r="E1500" s="129" t="s">
        <v>1758</v>
      </c>
      <c r="F1500" s="130">
        <v>200.0</v>
      </c>
      <c r="G1500" s="129"/>
      <c r="H1500" s="44" t="b">
        <v>1</v>
      </c>
      <c r="K1500" s="441" t="s">
        <v>1749</v>
      </c>
      <c r="L1500" s="441" t="s">
        <v>1758</v>
      </c>
      <c r="M1500" s="441" t="s">
        <v>469</v>
      </c>
      <c r="N1500" s="441" t="s">
        <v>195</v>
      </c>
      <c r="O1500" s="441" t="s">
        <v>1764</v>
      </c>
      <c r="P1500" s="441" t="s">
        <v>1765</v>
      </c>
      <c r="Q1500" s="441" t="s">
        <v>1766</v>
      </c>
    </row>
    <row r="1501" hidden="1" outlineLevel="1">
      <c r="A1501" s="10"/>
      <c r="B1501" s="10"/>
      <c r="C1501" s="313">
        <v>0.7708333333333334</v>
      </c>
      <c r="D1501" s="129" t="s">
        <v>1859</v>
      </c>
      <c r="E1501" s="129" t="s">
        <v>1758</v>
      </c>
      <c r="F1501" s="130">
        <v>200.0</v>
      </c>
      <c r="G1501" s="129"/>
      <c r="H1501" s="44" t="b">
        <v>1</v>
      </c>
      <c r="K1501" s="91" t="s">
        <v>1756</v>
      </c>
      <c r="L1501" s="90">
        <f t="shared" ref="L1501:L1516" si="432">COUNTIFS($D$1499:$D$1561, $K1501,$E$1499:$E$1561,$L$1500)</f>
        <v>11</v>
      </c>
      <c r="M1501" s="90">
        <f t="shared" ref="M1501:M1516" si="433">COUNTIFS($D$1499:$D$1561, $K1501,$E$1499:$E$1561,$M$1500)</f>
        <v>10</v>
      </c>
      <c r="N1501" s="90">
        <f t="shared" ref="N1501:N1516" si="434">L1501+M1501</f>
        <v>21</v>
      </c>
      <c r="O1501" s="92">
        <f t="shared" ref="O1501:O1516" si="435">SUMIFS($F$1499:$F$1561,$D$1499:$D$1561,$K1501)</f>
        <v>3150</v>
      </c>
      <c r="P1501" s="92">
        <f t="shared" ref="P1501:P1516" si="436">SUMIFS($F$1499:$F$1561,$D$1499:$D$1561,$K1501,$H$1499:$H$1561,TRUE())</f>
        <v>3150</v>
      </c>
      <c r="Q1501" s="92">
        <f t="shared" ref="Q1501:Q1516" si="437">O1501-P1501</f>
        <v>0</v>
      </c>
    </row>
    <row r="1502" hidden="1" outlineLevel="1">
      <c r="A1502" s="102">
        <v>46055.0</v>
      </c>
      <c r="B1502" s="97">
        <f>A1502</f>
        <v>46055</v>
      </c>
      <c r="C1502" s="313">
        <v>0.2916666666666667</v>
      </c>
      <c r="D1502" s="129" t="s">
        <v>1855</v>
      </c>
      <c r="E1502" s="129" t="s">
        <v>1758</v>
      </c>
      <c r="F1502" s="130">
        <v>150.0</v>
      </c>
      <c r="G1502" s="129"/>
      <c r="H1502" s="44" t="b">
        <v>1</v>
      </c>
      <c r="K1502" s="91" t="s">
        <v>1857</v>
      </c>
      <c r="L1502" s="90">
        <f t="shared" si="432"/>
        <v>1</v>
      </c>
      <c r="M1502" s="90">
        <f t="shared" si="433"/>
        <v>0</v>
      </c>
      <c r="N1502" s="90">
        <f t="shared" si="434"/>
        <v>1</v>
      </c>
      <c r="O1502" s="92">
        <f t="shared" si="435"/>
        <v>200</v>
      </c>
      <c r="P1502" s="92">
        <f t="shared" si="436"/>
        <v>200</v>
      </c>
      <c r="Q1502" s="92">
        <f t="shared" si="437"/>
        <v>0</v>
      </c>
    </row>
    <row r="1503" hidden="1" outlineLevel="1">
      <c r="A1503" s="10"/>
      <c r="B1503" s="10"/>
      <c r="C1503" s="313">
        <v>0.5069444444444444</v>
      </c>
      <c r="D1503" s="129" t="s">
        <v>1849</v>
      </c>
      <c r="E1503" s="129" t="s">
        <v>1758</v>
      </c>
      <c r="F1503" s="130">
        <v>150.0</v>
      </c>
      <c r="G1503" s="129"/>
      <c r="H1503" s="44" t="b">
        <v>1</v>
      </c>
      <c r="K1503" s="91" t="s">
        <v>1851</v>
      </c>
      <c r="L1503" s="90">
        <f t="shared" si="432"/>
        <v>0</v>
      </c>
      <c r="M1503" s="90">
        <f t="shared" si="433"/>
        <v>0</v>
      </c>
      <c r="N1503" s="90">
        <f t="shared" si="434"/>
        <v>0</v>
      </c>
      <c r="O1503" s="92">
        <f t="shared" si="435"/>
        <v>0</v>
      </c>
      <c r="P1503" s="92">
        <f t="shared" si="436"/>
        <v>0</v>
      </c>
      <c r="Q1503" s="92">
        <f t="shared" si="437"/>
        <v>0</v>
      </c>
    </row>
    <row r="1504" hidden="1" outlineLevel="1">
      <c r="A1504" s="102">
        <v>46056.0</v>
      </c>
      <c r="B1504" s="97">
        <f>A1504</f>
        <v>46056</v>
      </c>
      <c r="C1504" s="398">
        <v>0.2916666666666667</v>
      </c>
      <c r="D1504" s="129" t="s">
        <v>1756</v>
      </c>
      <c r="E1504" s="129" t="s">
        <v>469</v>
      </c>
      <c r="F1504" s="130">
        <v>150.0</v>
      </c>
      <c r="G1504" s="129"/>
      <c r="H1504" s="44" t="b">
        <v>1</v>
      </c>
      <c r="K1504" s="91" t="s">
        <v>1856</v>
      </c>
      <c r="L1504" s="90">
        <f t="shared" si="432"/>
        <v>0</v>
      </c>
      <c r="M1504" s="90">
        <f t="shared" si="433"/>
        <v>0</v>
      </c>
      <c r="N1504" s="90">
        <f t="shared" si="434"/>
        <v>0</v>
      </c>
      <c r="O1504" s="92">
        <f t="shared" si="435"/>
        <v>0</v>
      </c>
      <c r="P1504" s="92">
        <f t="shared" si="436"/>
        <v>0</v>
      </c>
      <c r="Q1504" s="92">
        <f t="shared" si="437"/>
        <v>0</v>
      </c>
    </row>
    <row r="1505" hidden="1" outlineLevel="1">
      <c r="A1505" s="58"/>
      <c r="B1505" s="58"/>
      <c r="C1505" s="10"/>
      <c r="D1505" s="129" t="s">
        <v>183</v>
      </c>
      <c r="E1505" s="129" t="s">
        <v>1758</v>
      </c>
      <c r="F1505" s="130">
        <v>150.0</v>
      </c>
      <c r="G1505" s="129"/>
      <c r="H1505" s="44" t="b">
        <v>1</v>
      </c>
      <c r="K1505" s="91" t="s">
        <v>183</v>
      </c>
      <c r="L1505" s="90">
        <f t="shared" si="432"/>
        <v>8</v>
      </c>
      <c r="M1505" s="90">
        <f t="shared" si="433"/>
        <v>0</v>
      </c>
      <c r="N1505" s="90">
        <f t="shared" si="434"/>
        <v>8</v>
      </c>
      <c r="O1505" s="92">
        <f t="shared" si="435"/>
        <v>1200</v>
      </c>
      <c r="P1505" s="92">
        <f t="shared" si="436"/>
        <v>1200</v>
      </c>
      <c r="Q1505" s="92">
        <f t="shared" si="437"/>
        <v>0</v>
      </c>
    </row>
    <row r="1506" hidden="1" outlineLevel="1">
      <c r="A1506" s="10"/>
      <c r="B1506" s="10"/>
      <c r="C1506" s="313">
        <v>0.5069444444444444</v>
      </c>
      <c r="D1506" s="129" t="s">
        <v>1849</v>
      </c>
      <c r="E1506" s="129" t="s">
        <v>1758</v>
      </c>
      <c r="F1506" s="130">
        <v>150.0</v>
      </c>
      <c r="G1506" s="129"/>
      <c r="H1506" s="44" t="b">
        <v>1</v>
      </c>
      <c r="K1506" s="91" t="s">
        <v>1785</v>
      </c>
      <c r="L1506" s="90">
        <f t="shared" si="432"/>
        <v>2</v>
      </c>
      <c r="M1506" s="90">
        <f t="shared" si="433"/>
        <v>0</v>
      </c>
      <c r="N1506" s="90">
        <f t="shared" si="434"/>
        <v>2</v>
      </c>
      <c r="O1506" s="92">
        <f t="shared" si="435"/>
        <v>400</v>
      </c>
      <c r="P1506" s="92">
        <f t="shared" si="436"/>
        <v>400</v>
      </c>
      <c r="Q1506" s="92">
        <f t="shared" si="437"/>
        <v>0</v>
      </c>
    </row>
    <row r="1507" hidden="1" outlineLevel="1">
      <c r="A1507" s="102">
        <v>46057.0</v>
      </c>
      <c r="B1507" s="97">
        <f>A1507</f>
        <v>46057</v>
      </c>
      <c r="C1507" s="313">
        <v>0.2916666666666667</v>
      </c>
      <c r="D1507" s="129" t="s">
        <v>1756</v>
      </c>
      <c r="E1507" s="129" t="s">
        <v>1758</v>
      </c>
      <c r="F1507" s="130">
        <v>150.0</v>
      </c>
      <c r="G1507" s="129"/>
      <c r="H1507" s="44" t="b">
        <v>1</v>
      </c>
      <c r="K1507" s="91" t="s">
        <v>1848</v>
      </c>
      <c r="L1507" s="90">
        <f t="shared" si="432"/>
        <v>1</v>
      </c>
      <c r="M1507" s="90">
        <f t="shared" si="433"/>
        <v>0</v>
      </c>
      <c r="N1507" s="90">
        <f t="shared" si="434"/>
        <v>1</v>
      </c>
      <c r="O1507" s="92">
        <f t="shared" si="435"/>
        <v>200</v>
      </c>
      <c r="P1507" s="92">
        <f t="shared" si="436"/>
        <v>200</v>
      </c>
      <c r="Q1507" s="92">
        <f t="shared" si="437"/>
        <v>0</v>
      </c>
    </row>
    <row r="1508" hidden="1" outlineLevel="1">
      <c r="A1508" s="10"/>
      <c r="B1508" s="10"/>
      <c r="C1508" s="313">
        <v>0.5069444444444444</v>
      </c>
      <c r="D1508" s="129" t="s">
        <v>1849</v>
      </c>
      <c r="E1508" s="129" t="s">
        <v>1758</v>
      </c>
      <c r="F1508" s="130">
        <v>150.0</v>
      </c>
      <c r="G1508" s="129"/>
      <c r="H1508" s="44" t="b">
        <v>1</v>
      </c>
      <c r="K1508" s="91" t="s">
        <v>1842</v>
      </c>
      <c r="L1508" s="90">
        <f t="shared" si="432"/>
        <v>0</v>
      </c>
      <c r="M1508" s="90">
        <f t="shared" si="433"/>
        <v>0</v>
      </c>
      <c r="N1508" s="90">
        <f t="shared" si="434"/>
        <v>0</v>
      </c>
      <c r="O1508" s="92">
        <f t="shared" si="435"/>
        <v>0</v>
      </c>
      <c r="P1508" s="92">
        <f t="shared" si="436"/>
        <v>0</v>
      </c>
      <c r="Q1508" s="92">
        <f t="shared" si="437"/>
        <v>0</v>
      </c>
    </row>
    <row r="1509" hidden="1" outlineLevel="1">
      <c r="A1509" s="102">
        <v>46058.0</v>
      </c>
      <c r="B1509" s="97">
        <f>A1509</f>
        <v>46058</v>
      </c>
      <c r="C1509" s="313">
        <v>0.2916666666666667</v>
      </c>
      <c r="D1509" s="129" t="s">
        <v>1756</v>
      </c>
      <c r="E1509" s="129" t="s">
        <v>1758</v>
      </c>
      <c r="F1509" s="130">
        <v>150.0</v>
      </c>
      <c r="G1509" s="129"/>
      <c r="H1509" s="44" t="b">
        <v>1</v>
      </c>
      <c r="K1509" s="91" t="s">
        <v>562</v>
      </c>
      <c r="L1509" s="90">
        <f t="shared" si="432"/>
        <v>6</v>
      </c>
      <c r="M1509" s="90">
        <f t="shared" si="433"/>
        <v>0</v>
      </c>
      <c r="N1509" s="90">
        <f t="shared" si="434"/>
        <v>6</v>
      </c>
      <c r="O1509" s="92">
        <f t="shared" si="435"/>
        <v>1000</v>
      </c>
      <c r="P1509" s="92">
        <f t="shared" si="436"/>
        <v>1000</v>
      </c>
      <c r="Q1509" s="92">
        <f t="shared" si="437"/>
        <v>0</v>
      </c>
    </row>
    <row r="1510" hidden="1" outlineLevel="1">
      <c r="A1510" s="10"/>
      <c r="B1510" s="10"/>
      <c r="C1510" s="313">
        <v>0.5069444444444444</v>
      </c>
      <c r="D1510" s="129" t="s">
        <v>562</v>
      </c>
      <c r="E1510" s="129" t="s">
        <v>1758</v>
      </c>
      <c r="F1510" s="130">
        <v>150.0</v>
      </c>
      <c r="G1510" s="129"/>
      <c r="H1510" s="44" t="b">
        <v>1</v>
      </c>
      <c r="K1510" s="91" t="s">
        <v>1828</v>
      </c>
      <c r="L1510" s="90">
        <f t="shared" si="432"/>
        <v>3</v>
      </c>
      <c r="M1510" s="90">
        <f t="shared" si="433"/>
        <v>0</v>
      </c>
      <c r="N1510" s="90">
        <f t="shared" si="434"/>
        <v>3</v>
      </c>
      <c r="O1510" s="92">
        <f t="shared" si="435"/>
        <v>600</v>
      </c>
      <c r="P1510" s="92">
        <f t="shared" si="436"/>
        <v>600</v>
      </c>
      <c r="Q1510" s="92">
        <f t="shared" si="437"/>
        <v>0</v>
      </c>
    </row>
    <row r="1511" hidden="1" outlineLevel="1">
      <c r="A1511" s="102">
        <v>46059.0</v>
      </c>
      <c r="B1511" s="97">
        <f>A1511</f>
        <v>46059</v>
      </c>
      <c r="C1511" s="398">
        <v>0.2916666666666667</v>
      </c>
      <c r="D1511" s="129" t="s">
        <v>1756</v>
      </c>
      <c r="E1511" s="129" t="s">
        <v>469</v>
      </c>
      <c r="F1511" s="130">
        <v>150.0</v>
      </c>
      <c r="G1511" s="129"/>
      <c r="H1511" s="44" t="b">
        <v>1</v>
      </c>
      <c r="K1511" s="91" t="s">
        <v>1845</v>
      </c>
      <c r="L1511" s="90">
        <f t="shared" si="432"/>
        <v>2</v>
      </c>
      <c r="M1511" s="90">
        <f t="shared" si="433"/>
        <v>0</v>
      </c>
      <c r="N1511" s="90">
        <f t="shared" si="434"/>
        <v>2</v>
      </c>
      <c r="O1511" s="92">
        <f t="shared" si="435"/>
        <v>400</v>
      </c>
      <c r="P1511" s="92">
        <f t="shared" si="436"/>
        <v>400</v>
      </c>
      <c r="Q1511" s="92">
        <f t="shared" si="437"/>
        <v>0</v>
      </c>
    </row>
    <row r="1512" hidden="1" outlineLevel="1">
      <c r="A1512" s="58"/>
      <c r="B1512" s="58"/>
      <c r="C1512" s="10"/>
      <c r="D1512" s="129" t="s">
        <v>183</v>
      </c>
      <c r="E1512" s="129" t="s">
        <v>1758</v>
      </c>
      <c r="F1512" s="130">
        <v>150.0</v>
      </c>
      <c r="G1512" s="129"/>
      <c r="H1512" s="44" t="b">
        <v>1</v>
      </c>
      <c r="K1512" s="91" t="s">
        <v>1849</v>
      </c>
      <c r="L1512" s="90">
        <f t="shared" si="432"/>
        <v>13</v>
      </c>
      <c r="M1512" s="90">
        <f t="shared" si="433"/>
        <v>0</v>
      </c>
      <c r="N1512" s="90">
        <f t="shared" si="434"/>
        <v>13</v>
      </c>
      <c r="O1512" s="92">
        <f t="shared" si="435"/>
        <v>1950</v>
      </c>
      <c r="P1512" s="92">
        <f t="shared" si="436"/>
        <v>1950</v>
      </c>
      <c r="Q1512" s="92">
        <f t="shared" si="437"/>
        <v>0</v>
      </c>
    </row>
    <row r="1513" hidden="1" outlineLevel="1">
      <c r="A1513" s="10"/>
      <c r="B1513" s="10"/>
      <c r="C1513" s="313">
        <v>0.5069444444444444</v>
      </c>
      <c r="D1513" s="129" t="s">
        <v>1849</v>
      </c>
      <c r="E1513" s="129" t="s">
        <v>1758</v>
      </c>
      <c r="F1513" s="130">
        <v>150.0</v>
      </c>
      <c r="G1513" s="129"/>
      <c r="H1513" s="44" t="b">
        <v>1</v>
      </c>
      <c r="K1513" s="91" t="s">
        <v>1838</v>
      </c>
      <c r="L1513" s="90">
        <f t="shared" si="432"/>
        <v>1</v>
      </c>
      <c r="M1513" s="90">
        <f t="shared" si="433"/>
        <v>0</v>
      </c>
      <c r="N1513" s="90">
        <f t="shared" si="434"/>
        <v>1</v>
      </c>
      <c r="O1513" s="92">
        <f t="shared" si="435"/>
        <v>200</v>
      </c>
      <c r="P1513" s="92">
        <f t="shared" si="436"/>
        <v>200</v>
      </c>
      <c r="Q1513" s="92">
        <f t="shared" si="437"/>
        <v>0</v>
      </c>
    </row>
    <row r="1514" hidden="1" outlineLevel="1">
      <c r="A1514" s="102">
        <v>46060.0</v>
      </c>
      <c r="B1514" s="97">
        <f>A1514</f>
        <v>46060</v>
      </c>
      <c r="C1514" s="398">
        <v>0.3333333333333333</v>
      </c>
      <c r="D1514" s="129" t="s">
        <v>1756</v>
      </c>
      <c r="E1514" s="129" t="s">
        <v>469</v>
      </c>
      <c r="F1514" s="130">
        <v>150.0</v>
      </c>
      <c r="G1514" s="129"/>
      <c r="H1514" s="44" t="b">
        <v>1</v>
      </c>
      <c r="K1514" s="91" t="s">
        <v>1761</v>
      </c>
      <c r="L1514" s="90">
        <f t="shared" si="432"/>
        <v>0</v>
      </c>
      <c r="M1514" s="90">
        <f t="shared" si="433"/>
        <v>0</v>
      </c>
      <c r="N1514" s="90">
        <f t="shared" si="434"/>
        <v>0</v>
      </c>
      <c r="O1514" s="92">
        <f t="shared" si="435"/>
        <v>0</v>
      </c>
      <c r="P1514" s="92">
        <f t="shared" si="436"/>
        <v>0</v>
      </c>
      <c r="Q1514" s="92">
        <f t="shared" si="437"/>
        <v>0</v>
      </c>
    </row>
    <row r="1515" hidden="1" outlineLevel="1">
      <c r="A1515" s="10"/>
      <c r="B1515" s="10"/>
      <c r="C1515" s="10"/>
      <c r="D1515" s="129" t="s">
        <v>1855</v>
      </c>
      <c r="E1515" s="129" t="s">
        <v>1758</v>
      </c>
      <c r="F1515" s="130">
        <v>150.0</v>
      </c>
      <c r="G1515" s="129"/>
      <c r="H1515" s="44" t="b">
        <v>1</v>
      </c>
      <c r="K1515" s="91" t="s">
        <v>1859</v>
      </c>
      <c r="L1515" s="90">
        <f t="shared" si="432"/>
        <v>1</v>
      </c>
      <c r="M1515" s="90">
        <f t="shared" si="433"/>
        <v>0</v>
      </c>
      <c r="N1515" s="90">
        <f t="shared" si="434"/>
        <v>1</v>
      </c>
      <c r="O1515" s="92">
        <f t="shared" si="435"/>
        <v>200</v>
      </c>
      <c r="P1515" s="92">
        <f t="shared" si="436"/>
        <v>200</v>
      </c>
      <c r="Q1515" s="92">
        <f t="shared" si="437"/>
        <v>0</v>
      </c>
    </row>
    <row r="1516" hidden="1" outlineLevel="1">
      <c r="A1516" s="102">
        <v>46061.0</v>
      </c>
      <c r="B1516" s="97">
        <f>A1516</f>
        <v>46061</v>
      </c>
      <c r="C1516" s="313">
        <v>0.3333333333333333</v>
      </c>
      <c r="D1516" s="129" t="s">
        <v>1848</v>
      </c>
      <c r="E1516" s="129" t="s">
        <v>1758</v>
      </c>
      <c r="F1516" s="130">
        <v>200.0</v>
      </c>
      <c r="G1516" s="129"/>
      <c r="H1516" s="44" t="b">
        <v>1</v>
      </c>
      <c r="K1516" s="91" t="s">
        <v>1855</v>
      </c>
      <c r="L1516" s="90">
        <f t="shared" si="432"/>
        <v>4</v>
      </c>
      <c r="M1516" s="90">
        <f t="shared" si="433"/>
        <v>0</v>
      </c>
      <c r="N1516" s="90">
        <f t="shared" si="434"/>
        <v>4</v>
      </c>
      <c r="O1516" s="92">
        <f t="shared" si="435"/>
        <v>600</v>
      </c>
      <c r="P1516" s="92">
        <f t="shared" si="436"/>
        <v>600</v>
      </c>
      <c r="Q1516" s="92">
        <f t="shared" si="437"/>
        <v>0</v>
      </c>
    </row>
    <row r="1517" hidden="1" outlineLevel="1">
      <c r="A1517" s="58"/>
      <c r="B1517" s="58"/>
      <c r="C1517" s="313">
        <v>0.4583333333333333</v>
      </c>
      <c r="D1517" s="129" t="s">
        <v>562</v>
      </c>
      <c r="E1517" s="129" t="s">
        <v>1758</v>
      </c>
      <c r="F1517" s="130">
        <v>200.0</v>
      </c>
      <c r="G1517" s="129"/>
      <c r="H1517" s="44" t="b">
        <v>1</v>
      </c>
      <c r="K1517" s="276"/>
      <c r="L1517" s="90"/>
      <c r="M1517" s="276"/>
      <c r="N1517" s="276"/>
      <c r="O1517" s="276"/>
      <c r="P1517" s="276"/>
      <c r="Q1517" s="276"/>
    </row>
    <row r="1518" hidden="1" outlineLevel="1">
      <c r="A1518" s="10"/>
      <c r="B1518" s="10"/>
      <c r="C1518" s="313">
        <v>0.7708333333333334</v>
      </c>
      <c r="D1518" s="129" t="s">
        <v>1845</v>
      </c>
      <c r="E1518" s="129" t="s">
        <v>1758</v>
      </c>
      <c r="F1518" s="130">
        <v>200.0</v>
      </c>
      <c r="G1518" s="129"/>
      <c r="H1518" s="44" t="b">
        <v>1</v>
      </c>
      <c r="K1518" s="276"/>
      <c r="L1518" s="90"/>
      <c r="M1518" s="276"/>
      <c r="N1518" s="276"/>
      <c r="O1518" s="276"/>
      <c r="P1518" s="276"/>
      <c r="Q1518" s="276"/>
    </row>
    <row r="1519" hidden="1" outlineLevel="1">
      <c r="A1519" s="102">
        <v>46062.0</v>
      </c>
      <c r="B1519" s="97">
        <f>A1519</f>
        <v>46062</v>
      </c>
      <c r="C1519" s="313">
        <v>0.2916666666666667</v>
      </c>
      <c r="D1519" s="129" t="s">
        <v>1756</v>
      </c>
      <c r="E1519" s="129" t="s">
        <v>1758</v>
      </c>
      <c r="F1519" s="130">
        <v>150.0</v>
      </c>
      <c r="G1519" s="129"/>
      <c r="H1519" s="44" t="b">
        <v>1</v>
      </c>
      <c r="K1519" s="91"/>
      <c r="L1519" s="90"/>
      <c r="M1519" s="90"/>
      <c r="N1519" s="90"/>
      <c r="O1519" s="92"/>
      <c r="P1519" s="92"/>
      <c r="Q1519" s="90"/>
    </row>
    <row r="1520" hidden="1" outlineLevel="1">
      <c r="A1520" s="10"/>
      <c r="B1520" s="10"/>
      <c r="C1520" s="313">
        <v>0.5069444444444444</v>
      </c>
      <c r="D1520" s="129" t="s">
        <v>1849</v>
      </c>
      <c r="E1520" s="129" t="s">
        <v>1758</v>
      </c>
      <c r="F1520" s="130">
        <v>150.0</v>
      </c>
      <c r="G1520" s="129"/>
      <c r="H1520" s="44" t="b">
        <v>1</v>
      </c>
      <c r="K1520" s="477" t="s">
        <v>195</v>
      </c>
      <c r="L1520" s="478">
        <f t="shared" ref="L1520:Q1520" si="438">SUM(L1501:L1519)</f>
        <v>53</v>
      </c>
      <c r="M1520" s="478">
        <f t="shared" si="438"/>
        <v>10</v>
      </c>
      <c r="N1520" s="478">
        <f t="shared" si="438"/>
        <v>63</v>
      </c>
      <c r="O1520" s="479">
        <f t="shared" si="438"/>
        <v>10100</v>
      </c>
      <c r="P1520" s="479">
        <f t="shared" si="438"/>
        <v>10100</v>
      </c>
      <c r="Q1520" s="479">
        <f t="shared" si="438"/>
        <v>0</v>
      </c>
    </row>
    <row r="1521" hidden="1" outlineLevel="1">
      <c r="A1521" s="102">
        <v>46063.0</v>
      </c>
      <c r="B1521" s="97">
        <f>A1521</f>
        <v>46063</v>
      </c>
      <c r="C1521" s="398">
        <v>0.2916666666666667</v>
      </c>
      <c r="D1521" s="129" t="s">
        <v>1756</v>
      </c>
      <c r="E1521" s="129" t="s">
        <v>469</v>
      </c>
      <c r="F1521" s="130">
        <v>150.0</v>
      </c>
      <c r="G1521" s="129"/>
      <c r="H1521" s="44" t="b">
        <v>1</v>
      </c>
    </row>
    <row r="1522" hidden="1" outlineLevel="1">
      <c r="A1522" s="58"/>
      <c r="B1522" s="58"/>
      <c r="C1522" s="10"/>
      <c r="D1522" s="129" t="s">
        <v>183</v>
      </c>
      <c r="E1522" s="129" t="s">
        <v>1758</v>
      </c>
      <c r="F1522" s="130">
        <v>150.0</v>
      </c>
      <c r="G1522" s="129"/>
      <c r="H1522" s="44" t="b">
        <v>1</v>
      </c>
    </row>
    <row r="1523" hidden="1" outlineLevel="1">
      <c r="A1523" s="10"/>
      <c r="B1523" s="10"/>
      <c r="C1523" s="313">
        <v>0.5069444444444444</v>
      </c>
      <c r="D1523" s="129" t="s">
        <v>1849</v>
      </c>
      <c r="E1523" s="129" t="s">
        <v>1758</v>
      </c>
      <c r="F1523" s="130">
        <v>150.0</v>
      </c>
      <c r="G1523" s="129"/>
      <c r="H1523" s="44" t="b">
        <v>1</v>
      </c>
    </row>
    <row r="1524" hidden="1" outlineLevel="1">
      <c r="A1524" s="102">
        <v>46064.0</v>
      </c>
      <c r="B1524" s="97">
        <f>A1524</f>
        <v>46064</v>
      </c>
      <c r="C1524" s="313">
        <v>0.2916666666666667</v>
      </c>
      <c r="D1524" s="129" t="s">
        <v>1756</v>
      </c>
      <c r="E1524" s="129" t="s">
        <v>1758</v>
      </c>
      <c r="F1524" s="130">
        <v>150.0</v>
      </c>
      <c r="G1524" s="129"/>
      <c r="H1524" s="44" t="b">
        <v>1</v>
      </c>
    </row>
    <row r="1525" hidden="1" outlineLevel="1">
      <c r="A1525" s="10"/>
      <c r="B1525" s="10"/>
      <c r="C1525" s="313">
        <v>0.5069444444444444</v>
      </c>
      <c r="D1525" s="129" t="s">
        <v>1849</v>
      </c>
      <c r="E1525" s="129" t="s">
        <v>1758</v>
      </c>
      <c r="F1525" s="130">
        <v>150.0</v>
      </c>
      <c r="G1525" s="129"/>
      <c r="H1525" s="44" t="b">
        <v>1</v>
      </c>
    </row>
    <row r="1526" hidden="1" outlineLevel="1">
      <c r="A1526" s="102">
        <v>46065.0</v>
      </c>
      <c r="B1526" s="97">
        <f>A1526</f>
        <v>46065</v>
      </c>
      <c r="C1526" s="313">
        <v>0.2916666666666667</v>
      </c>
      <c r="D1526" s="129" t="s">
        <v>1756</v>
      </c>
      <c r="E1526" s="129" t="s">
        <v>1758</v>
      </c>
      <c r="F1526" s="130">
        <v>150.0</v>
      </c>
      <c r="G1526" s="129"/>
      <c r="H1526" s="44" t="b">
        <v>1</v>
      </c>
    </row>
    <row r="1527" hidden="1" outlineLevel="1">
      <c r="A1527" s="10"/>
      <c r="B1527" s="10"/>
      <c r="C1527" s="313">
        <v>0.5069444444444444</v>
      </c>
      <c r="D1527" s="129" t="s">
        <v>562</v>
      </c>
      <c r="E1527" s="129" t="s">
        <v>1758</v>
      </c>
      <c r="F1527" s="130">
        <v>150.0</v>
      </c>
      <c r="G1527" s="129"/>
      <c r="H1527" s="44" t="b">
        <v>1</v>
      </c>
    </row>
    <row r="1528" hidden="1" outlineLevel="1">
      <c r="A1528" s="102">
        <v>46066.0</v>
      </c>
      <c r="B1528" s="97">
        <f>A1528</f>
        <v>46066</v>
      </c>
      <c r="C1528" s="398">
        <v>0.2916666666666667</v>
      </c>
      <c r="D1528" s="129" t="s">
        <v>1756</v>
      </c>
      <c r="E1528" s="129" t="s">
        <v>469</v>
      </c>
      <c r="F1528" s="130">
        <v>150.0</v>
      </c>
      <c r="G1528" s="129"/>
      <c r="H1528" s="44" t="b">
        <v>1</v>
      </c>
    </row>
    <row r="1529" hidden="1" outlineLevel="1">
      <c r="A1529" s="58"/>
      <c r="B1529" s="58"/>
      <c r="C1529" s="10"/>
      <c r="D1529" s="129" t="s">
        <v>183</v>
      </c>
      <c r="E1529" s="129" t="s">
        <v>1758</v>
      </c>
      <c r="F1529" s="130">
        <v>150.0</v>
      </c>
      <c r="G1529" s="129"/>
      <c r="H1529" s="44" t="b">
        <v>1</v>
      </c>
    </row>
    <row r="1530" hidden="1" outlineLevel="1">
      <c r="A1530" s="10"/>
      <c r="B1530" s="10"/>
      <c r="C1530" s="313">
        <v>0.5069444444444444</v>
      </c>
      <c r="D1530" s="129" t="s">
        <v>1849</v>
      </c>
      <c r="E1530" s="129" t="s">
        <v>1758</v>
      </c>
      <c r="F1530" s="130">
        <v>150.0</v>
      </c>
      <c r="G1530" s="129"/>
      <c r="H1530" s="44" t="b">
        <v>1</v>
      </c>
    </row>
    <row r="1531" hidden="1" outlineLevel="1">
      <c r="A1531" s="125">
        <v>46067.0</v>
      </c>
      <c r="B1531" s="126">
        <f t="shared" ref="B1531:B1532" si="439">A1531</f>
        <v>46067</v>
      </c>
      <c r="C1531" s="313">
        <v>0.3333333333333333</v>
      </c>
      <c r="D1531" s="129" t="s">
        <v>1756</v>
      </c>
      <c r="E1531" s="129" t="s">
        <v>1758</v>
      </c>
      <c r="F1531" s="130">
        <v>150.0</v>
      </c>
      <c r="G1531" s="129"/>
      <c r="H1531" s="44" t="b">
        <v>1</v>
      </c>
    </row>
    <row r="1532" hidden="1" outlineLevel="1">
      <c r="A1532" s="102">
        <v>46068.0</v>
      </c>
      <c r="B1532" s="97">
        <f t="shared" si="439"/>
        <v>46068</v>
      </c>
      <c r="C1532" s="313">
        <v>0.3333333333333333</v>
      </c>
      <c r="D1532" s="129" t="s">
        <v>1785</v>
      </c>
      <c r="E1532" s="129" t="s">
        <v>1758</v>
      </c>
      <c r="F1532" s="130">
        <v>200.0</v>
      </c>
      <c r="G1532" s="129"/>
      <c r="H1532" s="44" t="b">
        <v>1</v>
      </c>
    </row>
    <row r="1533" hidden="1" outlineLevel="1">
      <c r="A1533" s="58"/>
      <c r="B1533" s="58"/>
      <c r="C1533" s="313">
        <v>0.4583333333333333</v>
      </c>
      <c r="D1533" s="129" t="s">
        <v>1785</v>
      </c>
      <c r="E1533" s="129" t="s">
        <v>1758</v>
      </c>
      <c r="F1533" s="130">
        <v>200.0</v>
      </c>
      <c r="G1533" s="129"/>
      <c r="H1533" s="44" t="b">
        <v>1</v>
      </c>
    </row>
    <row r="1534" hidden="1" outlineLevel="1">
      <c r="A1534" s="10"/>
      <c r="B1534" s="10"/>
      <c r="C1534" s="313">
        <v>0.7708333333333334</v>
      </c>
      <c r="D1534" s="129" t="s">
        <v>1838</v>
      </c>
      <c r="E1534" s="129" t="s">
        <v>1758</v>
      </c>
      <c r="F1534" s="130">
        <v>200.0</v>
      </c>
      <c r="G1534" s="129"/>
      <c r="H1534" s="44" t="b">
        <v>1</v>
      </c>
    </row>
    <row r="1535" hidden="1" outlineLevel="1">
      <c r="A1535" s="125">
        <v>46069.0</v>
      </c>
      <c r="B1535" s="126">
        <f t="shared" ref="B1535:B1536" si="440">A1535</f>
        <v>46069</v>
      </c>
      <c r="C1535" s="313">
        <v>0.2916666666666667</v>
      </c>
      <c r="D1535" s="129" t="s">
        <v>1756</v>
      </c>
      <c r="E1535" s="129" t="s">
        <v>1758</v>
      </c>
      <c r="F1535" s="130">
        <v>150.0</v>
      </c>
      <c r="G1535" s="129" t="s">
        <v>421</v>
      </c>
      <c r="H1535" s="44" t="b">
        <v>1</v>
      </c>
    </row>
    <row r="1536" hidden="1" outlineLevel="1">
      <c r="A1536" s="102">
        <v>46070.0</v>
      </c>
      <c r="B1536" s="97">
        <f t="shared" si="440"/>
        <v>46070</v>
      </c>
      <c r="C1536" s="398">
        <v>0.2916666666666667</v>
      </c>
      <c r="D1536" s="129" t="s">
        <v>1756</v>
      </c>
      <c r="E1536" s="129" t="s">
        <v>469</v>
      </c>
      <c r="F1536" s="130">
        <v>150.0</v>
      </c>
      <c r="G1536" s="129" t="s">
        <v>421</v>
      </c>
      <c r="H1536" s="44" t="b">
        <v>1</v>
      </c>
    </row>
    <row r="1537" hidden="1" outlineLevel="1">
      <c r="A1537" s="10"/>
      <c r="B1537" s="10"/>
      <c r="C1537" s="10"/>
      <c r="D1537" s="129" t="s">
        <v>183</v>
      </c>
      <c r="E1537" s="129" t="s">
        <v>1758</v>
      </c>
      <c r="F1537" s="130">
        <v>150.0</v>
      </c>
      <c r="G1537" s="129" t="s">
        <v>421</v>
      </c>
      <c r="H1537" s="44" t="b">
        <v>1</v>
      </c>
    </row>
    <row r="1538" hidden="1" outlineLevel="1">
      <c r="A1538" s="125">
        <v>46071.0</v>
      </c>
      <c r="B1538" s="126">
        <f t="shared" ref="B1538:B1539" si="441">A1538</f>
        <v>46071</v>
      </c>
      <c r="C1538" s="313">
        <v>0.7708333333333334</v>
      </c>
      <c r="D1538" s="129" t="s">
        <v>1828</v>
      </c>
      <c r="E1538" s="129" t="s">
        <v>1758</v>
      </c>
      <c r="F1538" s="130">
        <v>200.0</v>
      </c>
      <c r="G1538" s="129" t="s">
        <v>969</v>
      </c>
      <c r="H1538" s="44" t="b">
        <v>1</v>
      </c>
    </row>
    <row r="1539" hidden="1" outlineLevel="1">
      <c r="A1539" s="102">
        <v>46072.0</v>
      </c>
      <c r="B1539" s="97">
        <f t="shared" si="441"/>
        <v>46072</v>
      </c>
      <c r="C1539" s="313">
        <v>0.2916666666666667</v>
      </c>
      <c r="D1539" s="129" t="s">
        <v>1756</v>
      </c>
      <c r="E1539" s="129" t="s">
        <v>1758</v>
      </c>
      <c r="F1539" s="130">
        <v>150.0</v>
      </c>
      <c r="G1539" s="129"/>
      <c r="H1539" s="44" t="b">
        <v>1</v>
      </c>
    </row>
    <row r="1540" hidden="1" outlineLevel="1">
      <c r="A1540" s="10"/>
      <c r="B1540" s="10"/>
      <c r="C1540" s="313">
        <v>0.5069444444444444</v>
      </c>
      <c r="D1540" s="129" t="s">
        <v>562</v>
      </c>
      <c r="E1540" s="129" t="s">
        <v>1758</v>
      </c>
      <c r="F1540" s="130">
        <v>150.0</v>
      </c>
      <c r="G1540" s="129"/>
      <c r="H1540" s="44" t="b">
        <v>1</v>
      </c>
    </row>
    <row r="1541" hidden="1" outlineLevel="1">
      <c r="A1541" s="102">
        <v>46073.0</v>
      </c>
      <c r="B1541" s="97">
        <f>A1541</f>
        <v>46073</v>
      </c>
      <c r="C1541" s="398">
        <v>0.2916666666666667</v>
      </c>
      <c r="D1541" s="129" t="s">
        <v>1756</v>
      </c>
      <c r="E1541" s="129" t="s">
        <v>469</v>
      </c>
      <c r="F1541" s="130">
        <v>150.0</v>
      </c>
      <c r="G1541" s="129"/>
      <c r="H1541" s="44" t="b">
        <v>1</v>
      </c>
    </row>
    <row r="1542" hidden="1" outlineLevel="1">
      <c r="A1542" s="58"/>
      <c r="B1542" s="58"/>
      <c r="C1542" s="10"/>
      <c r="D1542" s="129" t="s">
        <v>183</v>
      </c>
      <c r="E1542" s="129" t="s">
        <v>1758</v>
      </c>
      <c r="F1542" s="130">
        <v>150.0</v>
      </c>
      <c r="G1542" s="129"/>
      <c r="H1542" s="44" t="b">
        <v>1</v>
      </c>
    </row>
    <row r="1543" hidden="1" outlineLevel="1">
      <c r="A1543" s="10"/>
      <c r="B1543" s="10"/>
      <c r="C1543" s="313">
        <v>0.5069444444444444</v>
      </c>
      <c r="D1543" s="129" t="s">
        <v>1849</v>
      </c>
      <c r="E1543" s="129" t="s">
        <v>1758</v>
      </c>
      <c r="F1543" s="130">
        <v>150.0</v>
      </c>
      <c r="G1543" s="129"/>
      <c r="H1543" s="44" t="b">
        <v>1</v>
      </c>
    </row>
    <row r="1544" hidden="1" outlineLevel="1">
      <c r="A1544" s="125">
        <v>46074.0</v>
      </c>
      <c r="B1544" s="126">
        <f t="shared" ref="B1544:B1545" si="442">A1544</f>
        <v>46074</v>
      </c>
      <c r="C1544" s="313">
        <v>0.3333333333333333</v>
      </c>
      <c r="D1544" s="129" t="s">
        <v>1756</v>
      </c>
      <c r="E1544" s="129" t="s">
        <v>1758</v>
      </c>
      <c r="F1544" s="130">
        <v>150.0</v>
      </c>
      <c r="G1544" s="129"/>
      <c r="H1544" s="44" t="b">
        <v>1</v>
      </c>
    </row>
    <row r="1545" hidden="1" outlineLevel="1">
      <c r="A1545" s="102">
        <v>46075.0</v>
      </c>
      <c r="B1545" s="97">
        <f t="shared" si="442"/>
        <v>46075</v>
      </c>
      <c r="C1545" s="313">
        <v>0.3333333333333333</v>
      </c>
      <c r="D1545" s="129" t="s">
        <v>1828</v>
      </c>
      <c r="E1545" s="129" t="s">
        <v>1758</v>
      </c>
      <c r="F1545" s="130">
        <v>200.0</v>
      </c>
      <c r="G1545" s="129"/>
      <c r="H1545" s="44" t="b">
        <v>1</v>
      </c>
    </row>
    <row r="1546" hidden="1" outlineLevel="1">
      <c r="A1546" s="58"/>
      <c r="B1546" s="58"/>
      <c r="C1546" s="313">
        <v>0.4583333333333333</v>
      </c>
      <c r="D1546" s="129" t="s">
        <v>562</v>
      </c>
      <c r="E1546" s="129" t="s">
        <v>1758</v>
      </c>
      <c r="F1546" s="130">
        <v>200.0</v>
      </c>
      <c r="G1546" s="129"/>
      <c r="H1546" s="44" t="b">
        <v>1</v>
      </c>
    </row>
    <row r="1547" hidden="1" outlineLevel="1">
      <c r="A1547" s="10"/>
      <c r="B1547" s="10"/>
      <c r="C1547" s="313">
        <v>0.7708333333333334</v>
      </c>
      <c r="D1547" s="129" t="s">
        <v>1845</v>
      </c>
      <c r="E1547" s="129" t="s">
        <v>1758</v>
      </c>
      <c r="F1547" s="130">
        <v>200.0</v>
      </c>
      <c r="G1547" s="129"/>
      <c r="H1547" s="44" t="b">
        <v>1</v>
      </c>
    </row>
    <row r="1548" hidden="1" outlineLevel="1">
      <c r="A1548" s="102">
        <v>46076.0</v>
      </c>
      <c r="B1548" s="97">
        <f>A1548</f>
        <v>46076</v>
      </c>
      <c r="C1548" s="313">
        <v>0.2916666666666667</v>
      </c>
      <c r="D1548" s="129" t="s">
        <v>1855</v>
      </c>
      <c r="E1548" s="129" t="s">
        <v>1758</v>
      </c>
      <c r="F1548" s="130">
        <v>150.0</v>
      </c>
      <c r="G1548" s="129"/>
      <c r="H1548" s="44" t="b">
        <v>1</v>
      </c>
    </row>
    <row r="1549" hidden="1" outlineLevel="1">
      <c r="A1549" s="10"/>
      <c r="B1549" s="10"/>
      <c r="C1549" s="313">
        <v>0.5069444444444444</v>
      </c>
      <c r="D1549" s="129" t="s">
        <v>1849</v>
      </c>
      <c r="E1549" s="129" t="s">
        <v>1758</v>
      </c>
      <c r="F1549" s="130">
        <v>150.0</v>
      </c>
      <c r="G1549" s="129"/>
      <c r="H1549" s="44" t="b">
        <v>1</v>
      </c>
    </row>
    <row r="1550" hidden="1" outlineLevel="1">
      <c r="A1550" s="102">
        <v>46077.0</v>
      </c>
      <c r="B1550" s="97">
        <f>A1550</f>
        <v>46077</v>
      </c>
      <c r="C1550" s="398">
        <v>0.2916666666666667</v>
      </c>
      <c r="D1550" s="129" t="s">
        <v>1756</v>
      </c>
      <c r="E1550" s="129" t="s">
        <v>469</v>
      </c>
      <c r="F1550" s="130">
        <v>150.0</v>
      </c>
      <c r="G1550" s="129"/>
      <c r="H1550" s="44" t="b">
        <v>1</v>
      </c>
    </row>
    <row r="1551" hidden="1" outlineLevel="1">
      <c r="A1551" s="58"/>
      <c r="B1551" s="58"/>
      <c r="C1551" s="10"/>
      <c r="D1551" s="129" t="s">
        <v>183</v>
      </c>
      <c r="E1551" s="129" t="s">
        <v>1758</v>
      </c>
      <c r="F1551" s="130">
        <v>150.0</v>
      </c>
      <c r="G1551" s="129"/>
      <c r="H1551" s="44" t="b">
        <v>1</v>
      </c>
    </row>
    <row r="1552" hidden="1" outlineLevel="1">
      <c r="A1552" s="10"/>
      <c r="B1552" s="10"/>
      <c r="C1552" s="313">
        <v>0.5069444444444444</v>
      </c>
      <c r="D1552" s="129" t="s">
        <v>1849</v>
      </c>
      <c r="E1552" s="129" t="s">
        <v>1758</v>
      </c>
      <c r="F1552" s="130">
        <v>150.0</v>
      </c>
      <c r="G1552" s="129"/>
      <c r="H1552" s="44" t="b">
        <v>1</v>
      </c>
    </row>
    <row r="1553" hidden="1" outlineLevel="1">
      <c r="A1553" s="102">
        <v>46078.0</v>
      </c>
      <c r="B1553" s="97">
        <f>A1553</f>
        <v>46078</v>
      </c>
      <c r="C1553" s="313">
        <v>0.2916666666666667</v>
      </c>
      <c r="D1553" s="129" t="s">
        <v>1756</v>
      </c>
      <c r="E1553" s="129" t="s">
        <v>1758</v>
      </c>
      <c r="F1553" s="130">
        <v>150.0</v>
      </c>
      <c r="G1553" s="129"/>
      <c r="H1553" s="44" t="b">
        <v>1</v>
      </c>
    </row>
    <row r="1554" hidden="1" outlineLevel="1">
      <c r="A1554" s="10"/>
      <c r="B1554" s="10"/>
      <c r="C1554" s="313">
        <v>0.5069444444444444</v>
      </c>
      <c r="D1554" s="129" t="s">
        <v>1849</v>
      </c>
      <c r="E1554" s="129" t="s">
        <v>1758</v>
      </c>
      <c r="F1554" s="130">
        <v>150.0</v>
      </c>
      <c r="G1554" s="129"/>
      <c r="H1554" s="44" t="b">
        <v>1</v>
      </c>
    </row>
    <row r="1555" hidden="1" outlineLevel="1">
      <c r="A1555" s="102">
        <v>46079.0</v>
      </c>
      <c r="B1555" s="97">
        <f>A1555</f>
        <v>46079</v>
      </c>
      <c r="C1555" s="313">
        <v>0.2916666666666667</v>
      </c>
      <c r="D1555" s="129" t="s">
        <v>1756</v>
      </c>
      <c r="E1555" s="129" t="s">
        <v>1758</v>
      </c>
      <c r="F1555" s="130">
        <v>150.0</v>
      </c>
      <c r="G1555" s="129"/>
      <c r="H1555" s="44" t="b">
        <v>1</v>
      </c>
    </row>
    <row r="1556" hidden="1" outlineLevel="1">
      <c r="A1556" s="10"/>
      <c r="B1556" s="10"/>
      <c r="C1556" s="313">
        <v>0.5069444444444444</v>
      </c>
      <c r="D1556" s="129" t="s">
        <v>562</v>
      </c>
      <c r="E1556" s="129" t="s">
        <v>1758</v>
      </c>
      <c r="F1556" s="130">
        <v>150.0</v>
      </c>
      <c r="G1556" s="129"/>
      <c r="H1556" s="44" t="b">
        <v>1</v>
      </c>
    </row>
    <row r="1557" hidden="1" outlineLevel="1">
      <c r="A1557" s="102">
        <v>46080.0</v>
      </c>
      <c r="B1557" s="97">
        <f>A1557</f>
        <v>46080</v>
      </c>
      <c r="C1557" s="398">
        <v>0.2916666666666667</v>
      </c>
      <c r="D1557" s="129" t="s">
        <v>1756</v>
      </c>
      <c r="E1557" s="129" t="s">
        <v>469</v>
      </c>
      <c r="F1557" s="130">
        <v>150.0</v>
      </c>
      <c r="G1557" s="129"/>
      <c r="H1557" s="44" t="b">
        <v>1</v>
      </c>
    </row>
    <row r="1558" hidden="1" outlineLevel="1">
      <c r="A1558" s="58"/>
      <c r="B1558" s="58"/>
      <c r="C1558" s="10"/>
      <c r="D1558" s="129" t="s">
        <v>183</v>
      </c>
      <c r="E1558" s="129" t="s">
        <v>1758</v>
      </c>
      <c r="F1558" s="130">
        <v>150.0</v>
      </c>
      <c r="G1558" s="129"/>
      <c r="H1558" s="44" t="b">
        <v>1</v>
      </c>
    </row>
    <row r="1559" hidden="1" outlineLevel="1">
      <c r="A1559" s="10"/>
      <c r="B1559" s="10"/>
      <c r="C1559" s="313">
        <v>0.5069444444444444</v>
      </c>
      <c r="D1559" s="129" t="s">
        <v>1849</v>
      </c>
      <c r="E1559" s="129" t="s">
        <v>1758</v>
      </c>
      <c r="F1559" s="130">
        <v>150.0</v>
      </c>
      <c r="G1559" s="129"/>
      <c r="H1559" s="44" t="b">
        <v>1</v>
      </c>
    </row>
    <row r="1560" hidden="1" outlineLevel="1">
      <c r="A1560" s="102">
        <v>46081.0</v>
      </c>
      <c r="B1560" s="97">
        <f>A1560</f>
        <v>46081</v>
      </c>
      <c r="C1560" s="313">
        <v>0.3333333333333333</v>
      </c>
      <c r="D1560" s="129" t="s">
        <v>1756</v>
      </c>
      <c r="E1560" s="129" t="s">
        <v>469</v>
      </c>
      <c r="F1560" s="130">
        <v>150.0</v>
      </c>
      <c r="G1560" s="129"/>
      <c r="H1560" s="44" t="b">
        <v>1</v>
      </c>
    </row>
    <row r="1561" hidden="1" outlineLevel="1">
      <c r="A1561" s="10"/>
      <c r="B1561" s="10"/>
      <c r="C1561" s="313">
        <v>0.3333333333333333</v>
      </c>
      <c r="D1561" s="129" t="s">
        <v>1855</v>
      </c>
      <c r="E1561" s="129" t="s">
        <v>1758</v>
      </c>
      <c r="F1561" s="130">
        <v>150.0</v>
      </c>
      <c r="G1561" s="129"/>
      <c r="H1561" s="44" t="b">
        <v>1</v>
      </c>
    </row>
    <row r="1562">
      <c r="A1562" s="484" t="s">
        <v>195</v>
      </c>
      <c r="B1562" s="27"/>
      <c r="C1562" s="27"/>
      <c r="D1562" s="27"/>
      <c r="E1562" s="28"/>
      <c r="F1562" s="485">
        <f>SUM(F1499:F1561)</f>
        <v>10100</v>
      </c>
      <c r="G1562" s="486"/>
      <c r="H1562" s="28"/>
    </row>
    <row r="1563" collapsed="1">
      <c r="A1563" s="339" t="s">
        <v>1481</v>
      </c>
      <c r="B1563" s="246"/>
      <c r="C1563" s="246"/>
      <c r="D1563" s="246"/>
      <c r="E1563" s="246"/>
      <c r="F1563" s="246"/>
      <c r="G1563" s="246"/>
      <c r="H1563" s="247"/>
    </row>
    <row r="1564" hidden="1" outlineLevel="1">
      <c r="A1564" s="102">
        <v>46082.0</v>
      </c>
      <c r="B1564" s="97">
        <f>A1564</f>
        <v>46082</v>
      </c>
      <c r="C1564" s="313">
        <v>0.3333333333333333</v>
      </c>
      <c r="D1564" s="129" t="s">
        <v>1828</v>
      </c>
      <c r="E1564" s="129" t="s">
        <v>1758</v>
      </c>
      <c r="F1564" s="130">
        <v>200.0</v>
      </c>
      <c r="G1564" s="129"/>
      <c r="H1564" s="44" t="b">
        <v>1</v>
      </c>
      <c r="K1564" s="440" t="s">
        <v>2085</v>
      </c>
      <c r="L1564" s="27"/>
      <c r="M1564" s="27"/>
      <c r="N1564" s="27"/>
      <c r="O1564" s="27"/>
      <c r="P1564" s="27"/>
      <c r="Q1564" s="28"/>
    </row>
    <row r="1565" hidden="1" outlineLevel="1">
      <c r="A1565" s="58"/>
      <c r="B1565" s="58"/>
      <c r="C1565" s="313">
        <v>0.4583333333333333</v>
      </c>
      <c r="D1565" s="129" t="s">
        <v>1761</v>
      </c>
      <c r="E1565" s="129" t="s">
        <v>1758</v>
      </c>
      <c r="F1565" s="130">
        <v>200.0</v>
      </c>
      <c r="G1565" s="129"/>
      <c r="H1565" s="44" t="b">
        <v>1</v>
      </c>
      <c r="K1565" s="441" t="s">
        <v>1749</v>
      </c>
      <c r="L1565" s="441" t="s">
        <v>1758</v>
      </c>
      <c r="M1565" s="441" t="s">
        <v>469</v>
      </c>
      <c r="N1565" s="441" t="s">
        <v>195</v>
      </c>
      <c r="O1565" s="441" t="s">
        <v>1764</v>
      </c>
      <c r="P1565" s="441" t="s">
        <v>1765</v>
      </c>
      <c r="Q1565" s="441" t="s">
        <v>1766</v>
      </c>
    </row>
    <row r="1566" hidden="1" outlineLevel="1">
      <c r="A1566" s="10"/>
      <c r="B1566" s="10"/>
      <c r="C1566" s="313">
        <v>0.7708333333333334</v>
      </c>
      <c r="D1566" s="129" t="s">
        <v>1859</v>
      </c>
      <c r="E1566" s="129" t="s">
        <v>1758</v>
      </c>
      <c r="F1566" s="130">
        <v>200.0</v>
      </c>
      <c r="G1566" s="129"/>
      <c r="H1566" s="44" t="b">
        <v>1</v>
      </c>
      <c r="K1566" s="91" t="s">
        <v>1756</v>
      </c>
      <c r="L1566" s="90">
        <f t="shared" ref="L1566:L1580" si="443">COUNTIFS($D$1564:$D$1635, $K1566,$E$1564:$E$1635,$L$1565)</f>
        <v>12</v>
      </c>
      <c r="M1566" s="90">
        <f t="shared" ref="M1566:M1580" si="444">COUNTIFS($D$1564:$D$1635, $K1566,$E$1564:$E$1635,$M$1565)</f>
        <v>10</v>
      </c>
      <c r="N1566" s="90">
        <f t="shared" ref="N1566:N1580" si="445">L1566+M1566</f>
        <v>22</v>
      </c>
      <c r="O1566" s="92">
        <f t="shared" ref="O1566:O1580" si="446">SUMIFS($F$1564:$F$1635,$D$1564:$D$1635,$K1566)</f>
        <v>3300</v>
      </c>
      <c r="P1566" s="92">
        <f t="shared" ref="P1566:P1580" si="447">SUMIFS($F$1564:$F$1635,$D$1564:$D$1635,$K1566,$H$1564:$H$1635,TRUE())</f>
        <v>3300</v>
      </c>
      <c r="Q1566" s="92">
        <f t="shared" ref="Q1566:Q1580" si="448">O1566-P1566</f>
        <v>0</v>
      </c>
    </row>
    <row r="1567" hidden="1" outlineLevel="1">
      <c r="A1567" s="102">
        <v>46083.0</v>
      </c>
      <c r="B1567" s="97">
        <f>A1567</f>
        <v>46083</v>
      </c>
      <c r="C1567" s="313">
        <v>0.2916666666666667</v>
      </c>
      <c r="D1567" s="129" t="s">
        <v>1855</v>
      </c>
      <c r="E1567" s="129" t="s">
        <v>1758</v>
      </c>
      <c r="F1567" s="130">
        <v>150.0</v>
      </c>
      <c r="G1567" s="129"/>
      <c r="H1567" s="44" t="b">
        <v>1</v>
      </c>
      <c r="K1567" s="91" t="s">
        <v>1849</v>
      </c>
      <c r="L1567" s="90">
        <f t="shared" si="443"/>
        <v>17</v>
      </c>
      <c r="M1567" s="90">
        <f t="shared" si="444"/>
        <v>0</v>
      </c>
      <c r="N1567" s="90">
        <f t="shared" si="445"/>
        <v>17</v>
      </c>
      <c r="O1567" s="92">
        <f t="shared" si="446"/>
        <v>2400</v>
      </c>
      <c r="P1567" s="92">
        <f t="shared" si="447"/>
        <v>2400</v>
      </c>
      <c r="Q1567" s="92">
        <f t="shared" si="448"/>
        <v>0</v>
      </c>
    </row>
    <row r="1568" hidden="1" outlineLevel="1">
      <c r="A1568" s="10"/>
      <c r="B1568" s="10"/>
      <c r="C1568" s="313">
        <v>0.5069444444444444</v>
      </c>
      <c r="D1568" s="129" t="s">
        <v>1849</v>
      </c>
      <c r="E1568" s="129" t="s">
        <v>1758</v>
      </c>
      <c r="F1568" s="130">
        <v>150.0</v>
      </c>
      <c r="G1568" s="129"/>
      <c r="H1568" s="44" t="b">
        <v>1</v>
      </c>
      <c r="K1568" s="91" t="s">
        <v>1851</v>
      </c>
      <c r="L1568" s="90">
        <f t="shared" si="443"/>
        <v>0</v>
      </c>
      <c r="M1568" s="90">
        <f t="shared" si="444"/>
        <v>0</v>
      </c>
      <c r="N1568" s="90">
        <f t="shared" si="445"/>
        <v>0</v>
      </c>
      <c r="O1568" s="92">
        <f t="shared" si="446"/>
        <v>0</v>
      </c>
      <c r="P1568" s="92">
        <f t="shared" si="447"/>
        <v>0</v>
      </c>
      <c r="Q1568" s="92">
        <f t="shared" si="448"/>
        <v>0</v>
      </c>
    </row>
    <row r="1569" hidden="1" outlineLevel="1">
      <c r="A1569" s="102">
        <v>46084.0</v>
      </c>
      <c r="B1569" s="97">
        <f>A1569</f>
        <v>46084</v>
      </c>
      <c r="C1569" s="398">
        <v>0.2916666666666667</v>
      </c>
      <c r="D1569" s="129" t="s">
        <v>1756</v>
      </c>
      <c r="E1569" s="129" t="s">
        <v>469</v>
      </c>
      <c r="F1569" s="130">
        <v>150.0</v>
      </c>
      <c r="G1569" s="129"/>
      <c r="H1569" s="44" t="b">
        <v>1</v>
      </c>
      <c r="K1569" s="91" t="s">
        <v>1856</v>
      </c>
      <c r="L1569" s="90">
        <f t="shared" si="443"/>
        <v>0</v>
      </c>
      <c r="M1569" s="90">
        <f t="shared" si="444"/>
        <v>0</v>
      </c>
      <c r="N1569" s="90">
        <f t="shared" si="445"/>
        <v>0</v>
      </c>
      <c r="O1569" s="92">
        <f t="shared" si="446"/>
        <v>0</v>
      </c>
      <c r="P1569" s="92">
        <f t="shared" si="447"/>
        <v>0</v>
      </c>
      <c r="Q1569" s="92">
        <f t="shared" si="448"/>
        <v>0</v>
      </c>
    </row>
    <row r="1570" hidden="1" outlineLevel="1">
      <c r="A1570" s="58"/>
      <c r="B1570" s="58"/>
      <c r="C1570" s="10"/>
      <c r="D1570" s="129" t="s">
        <v>183</v>
      </c>
      <c r="E1570" s="129" t="s">
        <v>1758</v>
      </c>
      <c r="F1570" s="130">
        <v>150.0</v>
      </c>
      <c r="G1570" s="129"/>
      <c r="H1570" s="44" t="b">
        <v>1</v>
      </c>
      <c r="K1570" s="91" t="s">
        <v>183</v>
      </c>
      <c r="L1570" s="90">
        <f t="shared" si="443"/>
        <v>9</v>
      </c>
      <c r="M1570" s="90">
        <f t="shared" si="444"/>
        <v>0</v>
      </c>
      <c r="N1570" s="90">
        <f t="shared" si="445"/>
        <v>9</v>
      </c>
      <c r="O1570" s="92">
        <f t="shared" si="446"/>
        <v>1350</v>
      </c>
      <c r="P1570" s="92">
        <f t="shared" si="447"/>
        <v>1350</v>
      </c>
      <c r="Q1570" s="92">
        <f t="shared" si="448"/>
        <v>0</v>
      </c>
    </row>
    <row r="1571" hidden="1" outlineLevel="1">
      <c r="A1571" s="10"/>
      <c r="B1571" s="10"/>
      <c r="C1571" s="313">
        <v>0.5069444444444444</v>
      </c>
      <c r="D1571" s="129" t="s">
        <v>1849</v>
      </c>
      <c r="E1571" s="129" t="s">
        <v>1758</v>
      </c>
      <c r="F1571" s="130">
        <v>150.0</v>
      </c>
      <c r="G1571" s="129"/>
      <c r="H1571" s="44" t="b">
        <v>1</v>
      </c>
      <c r="K1571" s="91" t="s">
        <v>1848</v>
      </c>
      <c r="L1571" s="90">
        <f t="shared" si="443"/>
        <v>0</v>
      </c>
      <c r="M1571" s="90">
        <f t="shared" si="444"/>
        <v>0</v>
      </c>
      <c r="N1571" s="90">
        <f t="shared" si="445"/>
        <v>0</v>
      </c>
      <c r="O1571" s="92">
        <f t="shared" si="446"/>
        <v>0</v>
      </c>
      <c r="P1571" s="92">
        <f t="shared" si="447"/>
        <v>0</v>
      </c>
      <c r="Q1571" s="92">
        <f t="shared" si="448"/>
        <v>0</v>
      </c>
    </row>
    <row r="1572" hidden="1" outlineLevel="1">
      <c r="A1572" s="102">
        <v>46085.0</v>
      </c>
      <c r="B1572" s="97">
        <f>A1572</f>
        <v>46085</v>
      </c>
      <c r="C1572" s="313">
        <v>0.2916666666666667</v>
      </c>
      <c r="D1572" s="129" t="s">
        <v>1756</v>
      </c>
      <c r="E1572" s="129" t="s">
        <v>1758</v>
      </c>
      <c r="F1572" s="130">
        <v>150.0</v>
      </c>
      <c r="G1572" s="129"/>
      <c r="H1572" s="44" t="b">
        <v>1</v>
      </c>
      <c r="K1572" s="91" t="s">
        <v>1857</v>
      </c>
      <c r="L1572" s="90">
        <f t="shared" si="443"/>
        <v>2</v>
      </c>
      <c r="M1572" s="90">
        <f t="shared" si="444"/>
        <v>0</v>
      </c>
      <c r="N1572" s="90">
        <f t="shared" si="445"/>
        <v>2</v>
      </c>
      <c r="O1572" s="92">
        <f t="shared" si="446"/>
        <v>400</v>
      </c>
      <c r="P1572" s="92">
        <f t="shared" si="447"/>
        <v>400</v>
      </c>
      <c r="Q1572" s="92">
        <f t="shared" si="448"/>
        <v>0</v>
      </c>
    </row>
    <row r="1573" hidden="1" outlineLevel="1">
      <c r="A1573" s="10"/>
      <c r="B1573" s="10"/>
      <c r="C1573" s="313">
        <v>0.5069444444444444</v>
      </c>
      <c r="D1573" s="129" t="s">
        <v>1849</v>
      </c>
      <c r="E1573" s="129" t="s">
        <v>1758</v>
      </c>
      <c r="F1573" s="130">
        <v>150.0</v>
      </c>
      <c r="G1573" s="129"/>
      <c r="H1573" s="44" t="b">
        <v>1</v>
      </c>
      <c r="K1573" s="91" t="s">
        <v>1842</v>
      </c>
      <c r="L1573" s="90">
        <f t="shared" si="443"/>
        <v>2</v>
      </c>
      <c r="M1573" s="90">
        <f t="shared" si="444"/>
        <v>0</v>
      </c>
      <c r="N1573" s="90">
        <f t="shared" si="445"/>
        <v>2</v>
      </c>
      <c r="O1573" s="92">
        <f t="shared" si="446"/>
        <v>0</v>
      </c>
      <c r="P1573" s="92">
        <f t="shared" si="447"/>
        <v>0</v>
      </c>
      <c r="Q1573" s="92">
        <f t="shared" si="448"/>
        <v>0</v>
      </c>
    </row>
    <row r="1574" hidden="1" outlineLevel="1">
      <c r="A1574" s="102">
        <v>46086.0</v>
      </c>
      <c r="B1574" s="97">
        <f>A1574</f>
        <v>46086</v>
      </c>
      <c r="C1574" s="313">
        <v>0.2916666666666667</v>
      </c>
      <c r="D1574" s="129" t="s">
        <v>1756</v>
      </c>
      <c r="E1574" s="129" t="s">
        <v>1758</v>
      </c>
      <c r="F1574" s="130">
        <v>150.0</v>
      </c>
      <c r="G1574" s="129"/>
      <c r="H1574" s="44" t="b">
        <v>1</v>
      </c>
      <c r="K1574" s="91" t="s">
        <v>562</v>
      </c>
      <c r="L1574" s="90">
        <f t="shared" si="443"/>
        <v>4</v>
      </c>
      <c r="M1574" s="90">
        <f t="shared" si="444"/>
        <v>0</v>
      </c>
      <c r="N1574" s="90">
        <f t="shared" si="445"/>
        <v>4</v>
      </c>
      <c r="O1574" s="92">
        <f t="shared" si="446"/>
        <v>650</v>
      </c>
      <c r="P1574" s="92">
        <f t="shared" si="447"/>
        <v>650</v>
      </c>
      <c r="Q1574" s="92">
        <f t="shared" si="448"/>
        <v>0</v>
      </c>
    </row>
    <row r="1575" hidden="1" outlineLevel="1">
      <c r="A1575" s="10"/>
      <c r="B1575" s="10"/>
      <c r="C1575" s="313">
        <v>0.5069444444444444</v>
      </c>
      <c r="D1575" s="129" t="s">
        <v>562</v>
      </c>
      <c r="E1575" s="129" t="s">
        <v>1758</v>
      </c>
      <c r="F1575" s="130">
        <v>150.0</v>
      </c>
      <c r="G1575" s="129"/>
      <c r="H1575" s="44" t="b">
        <v>1</v>
      </c>
      <c r="K1575" s="91" t="s">
        <v>1828</v>
      </c>
      <c r="L1575" s="90">
        <f t="shared" si="443"/>
        <v>5</v>
      </c>
      <c r="M1575" s="90">
        <f t="shared" si="444"/>
        <v>0</v>
      </c>
      <c r="N1575" s="90">
        <f t="shared" si="445"/>
        <v>5</v>
      </c>
      <c r="O1575" s="92">
        <f t="shared" si="446"/>
        <v>1000</v>
      </c>
      <c r="P1575" s="92">
        <f t="shared" si="447"/>
        <v>1000</v>
      </c>
      <c r="Q1575" s="92">
        <f t="shared" si="448"/>
        <v>0</v>
      </c>
    </row>
    <row r="1576" hidden="1" outlineLevel="1">
      <c r="A1576" s="102">
        <v>46087.0</v>
      </c>
      <c r="B1576" s="97">
        <f>A1576</f>
        <v>46087</v>
      </c>
      <c r="C1576" s="398">
        <v>0.2916666666666667</v>
      </c>
      <c r="D1576" s="129" t="s">
        <v>1756</v>
      </c>
      <c r="E1576" s="129" t="s">
        <v>469</v>
      </c>
      <c r="F1576" s="130">
        <v>150.0</v>
      </c>
      <c r="G1576" s="129"/>
      <c r="H1576" s="44" t="b">
        <v>1</v>
      </c>
      <c r="K1576" s="91" t="s">
        <v>1845</v>
      </c>
      <c r="L1576" s="90">
        <f t="shared" si="443"/>
        <v>2</v>
      </c>
      <c r="M1576" s="90">
        <f t="shared" si="444"/>
        <v>0</v>
      </c>
      <c r="N1576" s="90">
        <f t="shared" si="445"/>
        <v>2</v>
      </c>
      <c r="O1576" s="92">
        <f t="shared" si="446"/>
        <v>400</v>
      </c>
      <c r="P1576" s="92">
        <f t="shared" si="447"/>
        <v>400</v>
      </c>
      <c r="Q1576" s="92">
        <f t="shared" si="448"/>
        <v>0</v>
      </c>
    </row>
    <row r="1577" hidden="1" outlineLevel="1">
      <c r="A1577" s="58"/>
      <c r="B1577" s="58"/>
      <c r="C1577" s="10"/>
      <c r="D1577" s="129" t="s">
        <v>183</v>
      </c>
      <c r="E1577" s="129" t="s">
        <v>1758</v>
      </c>
      <c r="F1577" s="130">
        <v>150.0</v>
      </c>
      <c r="G1577" s="129"/>
      <c r="H1577" s="44" t="b">
        <v>1</v>
      </c>
      <c r="K1577" s="91" t="s">
        <v>1798</v>
      </c>
      <c r="L1577" s="90">
        <f t="shared" si="443"/>
        <v>1</v>
      </c>
      <c r="M1577" s="90">
        <f t="shared" si="444"/>
        <v>0</v>
      </c>
      <c r="N1577" s="90">
        <f t="shared" si="445"/>
        <v>1</v>
      </c>
      <c r="O1577" s="92">
        <f t="shared" si="446"/>
        <v>200</v>
      </c>
      <c r="P1577" s="92">
        <f t="shared" si="447"/>
        <v>200</v>
      </c>
      <c r="Q1577" s="92">
        <f t="shared" si="448"/>
        <v>0</v>
      </c>
    </row>
    <row r="1578" hidden="1" outlineLevel="1">
      <c r="A1578" s="10"/>
      <c r="B1578" s="10"/>
      <c r="C1578" s="313">
        <v>0.5069444444444444</v>
      </c>
      <c r="D1578" s="129" t="s">
        <v>1849</v>
      </c>
      <c r="E1578" s="129" t="s">
        <v>1758</v>
      </c>
      <c r="F1578" s="130">
        <v>150.0</v>
      </c>
      <c r="G1578" s="129"/>
      <c r="H1578" s="44" t="b">
        <v>1</v>
      </c>
      <c r="K1578" s="91" t="s">
        <v>1761</v>
      </c>
      <c r="L1578" s="90">
        <f t="shared" si="443"/>
        <v>2</v>
      </c>
      <c r="M1578" s="90">
        <f t="shared" si="444"/>
        <v>0</v>
      </c>
      <c r="N1578" s="90">
        <f t="shared" si="445"/>
        <v>2</v>
      </c>
      <c r="O1578" s="92">
        <f t="shared" si="446"/>
        <v>400</v>
      </c>
      <c r="P1578" s="92">
        <f t="shared" si="447"/>
        <v>400</v>
      </c>
      <c r="Q1578" s="92">
        <f t="shared" si="448"/>
        <v>0</v>
      </c>
    </row>
    <row r="1579" hidden="1" outlineLevel="1">
      <c r="A1579" s="102">
        <v>46088.0</v>
      </c>
      <c r="B1579" s="97">
        <f>A1579</f>
        <v>46088</v>
      </c>
      <c r="C1579" s="398">
        <v>0.3333333333333333</v>
      </c>
      <c r="D1579" s="129" t="s">
        <v>1756</v>
      </c>
      <c r="E1579" s="129" t="s">
        <v>469</v>
      </c>
      <c r="F1579" s="130">
        <v>150.0</v>
      </c>
      <c r="G1579" s="129"/>
      <c r="H1579" s="44" t="b">
        <v>1</v>
      </c>
      <c r="K1579" s="91" t="s">
        <v>1859</v>
      </c>
      <c r="L1579" s="90">
        <f t="shared" si="443"/>
        <v>2</v>
      </c>
      <c r="M1579" s="90">
        <f t="shared" si="444"/>
        <v>0</v>
      </c>
      <c r="N1579" s="90">
        <f t="shared" si="445"/>
        <v>2</v>
      </c>
      <c r="O1579" s="92">
        <f t="shared" si="446"/>
        <v>400</v>
      </c>
      <c r="P1579" s="92">
        <f t="shared" si="447"/>
        <v>400</v>
      </c>
      <c r="Q1579" s="92">
        <f t="shared" si="448"/>
        <v>0</v>
      </c>
    </row>
    <row r="1580" hidden="1" outlineLevel="1">
      <c r="A1580" s="10"/>
      <c r="B1580" s="10"/>
      <c r="C1580" s="403">
        <v>0.7291666666666666</v>
      </c>
      <c r="D1580" s="129" t="s">
        <v>1828</v>
      </c>
      <c r="E1580" s="129" t="s">
        <v>1758</v>
      </c>
      <c r="F1580" s="130">
        <v>200.0</v>
      </c>
      <c r="G1580" s="129"/>
      <c r="H1580" s="44" t="b">
        <v>1</v>
      </c>
      <c r="K1580" s="91" t="s">
        <v>1855</v>
      </c>
      <c r="L1580" s="90">
        <f t="shared" si="443"/>
        <v>4</v>
      </c>
      <c r="M1580" s="90">
        <f t="shared" si="444"/>
        <v>0</v>
      </c>
      <c r="N1580" s="90">
        <f t="shared" si="445"/>
        <v>4</v>
      </c>
      <c r="O1580" s="92">
        <f t="shared" si="446"/>
        <v>600</v>
      </c>
      <c r="P1580" s="92">
        <f t="shared" si="447"/>
        <v>600</v>
      </c>
      <c r="Q1580" s="92">
        <f t="shared" si="448"/>
        <v>0</v>
      </c>
    </row>
    <row r="1581" hidden="1" outlineLevel="1">
      <c r="A1581" s="102">
        <v>46089.0</v>
      </c>
      <c r="B1581" s="97">
        <f>A1581</f>
        <v>46089</v>
      </c>
      <c r="C1581" s="313">
        <v>0.3333333333333333</v>
      </c>
      <c r="D1581" s="129" t="s">
        <v>1842</v>
      </c>
      <c r="E1581" s="129" t="s">
        <v>1758</v>
      </c>
      <c r="F1581" s="130">
        <v>0.0</v>
      </c>
      <c r="G1581" s="129" t="s">
        <v>457</v>
      </c>
      <c r="H1581" s="44" t="b">
        <v>1</v>
      </c>
      <c r="K1581" s="276"/>
      <c r="L1581" s="90"/>
      <c r="M1581" s="276"/>
      <c r="N1581" s="276"/>
      <c r="O1581" s="276"/>
      <c r="P1581" s="276"/>
      <c r="Q1581" s="276"/>
    </row>
    <row r="1582" hidden="1" outlineLevel="1">
      <c r="A1582" s="58"/>
      <c r="B1582" s="58"/>
      <c r="C1582" s="313">
        <v>0.4583333333333333</v>
      </c>
      <c r="D1582" s="129" t="s">
        <v>1842</v>
      </c>
      <c r="E1582" s="129" t="s">
        <v>1758</v>
      </c>
      <c r="F1582" s="130">
        <v>0.0</v>
      </c>
      <c r="G1582" s="129" t="s">
        <v>457</v>
      </c>
      <c r="H1582" s="44" t="b">
        <v>1</v>
      </c>
      <c r="K1582" s="276"/>
      <c r="L1582" s="90"/>
      <c r="M1582" s="276"/>
      <c r="N1582" s="276"/>
      <c r="O1582" s="276"/>
      <c r="P1582" s="276"/>
      <c r="Q1582" s="276"/>
    </row>
    <row r="1583" hidden="1" outlineLevel="1">
      <c r="A1583" s="10"/>
      <c r="B1583" s="10"/>
      <c r="C1583" s="313">
        <v>0.7708333333333334</v>
      </c>
      <c r="D1583" s="129" t="s">
        <v>1845</v>
      </c>
      <c r="E1583" s="129" t="s">
        <v>1758</v>
      </c>
      <c r="F1583" s="130">
        <v>200.0</v>
      </c>
      <c r="G1583" s="129"/>
      <c r="H1583" s="44" t="b">
        <v>1</v>
      </c>
      <c r="K1583" s="276"/>
      <c r="L1583" s="90"/>
      <c r="M1583" s="276"/>
      <c r="N1583" s="276"/>
      <c r="O1583" s="276"/>
      <c r="P1583" s="276"/>
      <c r="Q1583" s="276"/>
    </row>
    <row r="1584" hidden="1" outlineLevel="1">
      <c r="A1584" s="102">
        <v>46090.0</v>
      </c>
      <c r="B1584" s="97">
        <f>A1584</f>
        <v>46090</v>
      </c>
      <c r="C1584" s="313">
        <v>0.2916666666666667</v>
      </c>
      <c r="D1584" s="129" t="s">
        <v>1855</v>
      </c>
      <c r="E1584" s="129" t="s">
        <v>1758</v>
      </c>
      <c r="F1584" s="130">
        <v>150.0</v>
      </c>
      <c r="G1584" s="129"/>
      <c r="H1584" s="44" t="b">
        <v>1</v>
      </c>
      <c r="K1584" s="91"/>
      <c r="L1584" s="90"/>
      <c r="M1584" s="90"/>
      <c r="N1584" s="90"/>
      <c r="O1584" s="92"/>
      <c r="P1584" s="92"/>
      <c r="Q1584" s="90"/>
    </row>
    <row r="1585" hidden="1" outlineLevel="1">
      <c r="A1585" s="10"/>
      <c r="B1585" s="10"/>
      <c r="C1585" s="313">
        <v>0.5069444444444444</v>
      </c>
      <c r="D1585" s="129" t="s">
        <v>1849</v>
      </c>
      <c r="E1585" s="129" t="s">
        <v>1758</v>
      </c>
      <c r="F1585" s="130">
        <v>150.0</v>
      </c>
      <c r="G1585" s="129"/>
      <c r="H1585" s="44" t="b">
        <v>1</v>
      </c>
      <c r="K1585" s="477" t="s">
        <v>195</v>
      </c>
      <c r="L1585" s="478">
        <f t="shared" ref="L1585:Q1585" si="449">SUM(L1566:L1584)</f>
        <v>62</v>
      </c>
      <c r="M1585" s="478">
        <f t="shared" si="449"/>
        <v>10</v>
      </c>
      <c r="N1585" s="478">
        <f t="shared" si="449"/>
        <v>72</v>
      </c>
      <c r="O1585" s="479">
        <f t="shared" si="449"/>
        <v>11100</v>
      </c>
      <c r="P1585" s="479">
        <f t="shared" si="449"/>
        <v>11100</v>
      </c>
      <c r="Q1585" s="479">
        <f t="shared" si="449"/>
        <v>0</v>
      </c>
    </row>
    <row r="1586" hidden="1" outlineLevel="1">
      <c r="A1586" s="102">
        <v>46091.0</v>
      </c>
      <c r="B1586" s="97">
        <f>A1586</f>
        <v>46091</v>
      </c>
      <c r="C1586" s="398">
        <v>0.2916666666666667</v>
      </c>
      <c r="D1586" s="129" t="s">
        <v>1756</v>
      </c>
      <c r="E1586" s="129" t="s">
        <v>469</v>
      </c>
      <c r="F1586" s="130">
        <v>150.0</v>
      </c>
      <c r="G1586" s="129"/>
      <c r="H1586" s="44" t="b">
        <v>1</v>
      </c>
    </row>
    <row r="1587" hidden="1" outlineLevel="1">
      <c r="A1587" s="58"/>
      <c r="B1587" s="58"/>
      <c r="C1587" s="10"/>
      <c r="D1587" s="129" t="s">
        <v>183</v>
      </c>
      <c r="E1587" s="129" t="s">
        <v>1758</v>
      </c>
      <c r="F1587" s="130">
        <v>150.0</v>
      </c>
      <c r="G1587" s="129"/>
      <c r="H1587" s="44" t="b">
        <v>1</v>
      </c>
    </row>
    <row r="1588" hidden="1" outlineLevel="1">
      <c r="A1588" s="10"/>
      <c r="B1588" s="10"/>
      <c r="C1588" s="313">
        <v>0.5069444444444444</v>
      </c>
      <c r="D1588" s="129" t="s">
        <v>1849</v>
      </c>
      <c r="E1588" s="129" t="s">
        <v>1758</v>
      </c>
      <c r="F1588" s="130">
        <v>150.0</v>
      </c>
      <c r="G1588" s="129"/>
      <c r="H1588" s="44" t="b">
        <v>1</v>
      </c>
    </row>
    <row r="1589" hidden="1" outlineLevel="1">
      <c r="A1589" s="102">
        <v>46092.0</v>
      </c>
      <c r="B1589" s="97">
        <f>A1589</f>
        <v>46092</v>
      </c>
      <c r="C1589" s="313">
        <v>0.2916666666666667</v>
      </c>
      <c r="D1589" s="129" t="s">
        <v>1756</v>
      </c>
      <c r="E1589" s="129" t="s">
        <v>1758</v>
      </c>
      <c r="F1589" s="130">
        <v>150.0</v>
      </c>
      <c r="G1589" s="129"/>
      <c r="H1589" s="44" t="b">
        <v>1</v>
      </c>
    </row>
    <row r="1590" hidden="1" outlineLevel="1">
      <c r="A1590" s="10"/>
      <c r="B1590" s="10"/>
      <c r="C1590" s="313">
        <v>0.5069444444444444</v>
      </c>
      <c r="D1590" s="129" t="s">
        <v>1849</v>
      </c>
      <c r="E1590" s="129" t="s">
        <v>1758</v>
      </c>
      <c r="F1590" s="130">
        <v>150.0</v>
      </c>
      <c r="G1590" s="129"/>
      <c r="H1590" s="44" t="b">
        <v>1</v>
      </c>
    </row>
    <row r="1591" hidden="1" outlineLevel="1">
      <c r="A1591" s="102">
        <v>46093.0</v>
      </c>
      <c r="B1591" s="97">
        <f>A1591</f>
        <v>46093</v>
      </c>
      <c r="C1591" s="313">
        <v>0.2916666666666667</v>
      </c>
      <c r="D1591" s="129" t="s">
        <v>1756</v>
      </c>
      <c r="E1591" s="129" t="s">
        <v>1758</v>
      </c>
      <c r="F1591" s="130">
        <v>150.0</v>
      </c>
      <c r="G1591" s="129"/>
      <c r="H1591" s="44" t="b">
        <v>1</v>
      </c>
    </row>
    <row r="1592" hidden="1" outlineLevel="1">
      <c r="A1592" s="10"/>
      <c r="B1592" s="10"/>
      <c r="C1592" s="313">
        <v>0.5069444444444444</v>
      </c>
      <c r="D1592" s="129" t="s">
        <v>562</v>
      </c>
      <c r="E1592" s="129" t="s">
        <v>1758</v>
      </c>
      <c r="F1592" s="130">
        <v>150.0</v>
      </c>
      <c r="G1592" s="129"/>
      <c r="H1592" s="44" t="b">
        <v>1</v>
      </c>
    </row>
    <row r="1593" hidden="1" outlineLevel="1">
      <c r="A1593" s="102">
        <v>46094.0</v>
      </c>
      <c r="B1593" s="97">
        <f>A1593</f>
        <v>46094</v>
      </c>
      <c r="C1593" s="398">
        <v>0.2916666666666667</v>
      </c>
      <c r="D1593" s="129" t="s">
        <v>1756</v>
      </c>
      <c r="E1593" s="129" t="s">
        <v>469</v>
      </c>
      <c r="F1593" s="130">
        <v>150.0</v>
      </c>
      <c r="G1593" s="129"/>
      <c r="H1593" s="44" t="b">
        <v>1</v>
      </c>
    </row>
    <row r="1594" hidden="1" outlineLevel="1">
      <c r="A1594" s="58"/>
      <c r="B1594" s="58"/>
      <c r="C1594" s="10"/>
      <c r="D1594" s="129" t="s">
        <v>183</v>
      </c>
      <c r="E1594" s="129" t="s">
        <v>1758</v>
      </c>
      <c r="F1594" s="130">
        <v>150.0</v>
      </c>
      <c r="G1594" s="129"/>
      <c r="H1594" s="44" t="b">
        <v>1</v>
      </c>
    </row>
    <row r="1595" hidden="1" outlineLevel="1">
      <c r="A1595" s="10"/>
      <c r="B1595" s="10"/>
      <c r="C1595" s="313">
        <v>0.5069444444444444</v>
      </c>
      <c r="D1595" s="129" t="s">
        <v>1849</v>
      </c>
      <c r="E1595" s="129" t="s">
        <v>1758</v>
      </c>
      <c r="F1595" s="130">
        <v>150.0</v>
      </c>
      <c r="G1595" s="129"/>
      <c r="H1595" s="44" t="b">
        <v>1</v>
      </c>
    </row>
    <row r="1596" hidden="1" outlineLevel="1">
      <c r="A1596" s="125">
        <v>46095.0</v>
      </c>
      <c r="B1596" s="126">
        <f t="shared" ref="B1596:B1597" si="450">A1596</f>
        <v>46095</v>
      </c>
      <c r="C1596" s="313">
        <v>0.3333333333333333</v>
      </c>
      <c r="D1596" s="129" t="s">
        <v>1756</v>
      </c>
      <c r="E1596" s="129" t="s">
        <v>1758</v>
      </c>
      <c r="F1596" s="130">
        <v>150.0</v>
      </c>
      <c r="G1596" s="129"/>
      <c r="H1596" s="44" t="b">
        <v>1</v>
      </c>
    </row>
    <row r="1597" hidden="1" outlineLevel="1">
      <c r="A1597" s="102">
        <v>46096.0</v>
      </c>
      <c r="B1597" s="97">
        <f t="shared" si="450"/>
        <v>46096</v>
      </c>
      <c r="C1597" s="313">
        <v>0.3333333333333333</v>
      </c>
      <c r="D1597" s="129" t="s">
        <v>1828</v>
      </c>
      <c r="E1597" s="129" t="s">
        <v>1758</v>
      </c>
      <c r="F1597" s="130">
        <v>200.0</v>
      </c>
      <c r="G1597" s="129"/>
      <c r="H1597" s="44" t="b">
        <v>1</v>
      </c>
    </row>
    <row r="1598" hidden="1" outlineLevel="1">
      <c r="A1598" s="58"/>
      <c r="B1598" s="58"/>
      <c r="C1598" s="313">
        <v>0.4583333333333333</v>
      </c>
      <c r="D1598" s="129" t="s">
        <v>1857</v>
      </c>
      <c r="E1598" s="129" t="s">
        <v>1758</v>
      </c>
      <c r="F1598" s="130">
        <v>200.0</v>
      </c>
      <c r="G1598" s="129"/>
      <c r="H1598" s="44" t="b">
        <v>1</v>
      </c>
    </row>
    <row r="1599" hidden="1" outlineLevel="1">
      <c r="A1599" s="10"/>
      <c r="B1599" s="10"/>
      <c r="C1599" s="313">
        <v>0.7708333333333334</v>
      </c>
      <c r="D1599" s="129" t="s">
        <v>1845</v>
      </c>
      <c r="E1599" s="129" t="s">
        <v>1758</v>
      </c>
      <c r="F1599" s="130">
        <v>200.0</v>
      </c>
      <c r="G1599" s="129"/>
      <c r="H1599" s="44" t="b">
        <v>1</v>
      </c>
    </row>
    <row r="1600" hidden="1" outlineLevel="1">
      <c r="A1600" s="125">
        <v>46097.0</v>
      </c>
      <c r="B1600" s="126">
        <f t="shared" ref="B1600:B1601" si="451">A1600</f>
        <v>46097</v>
      </c>
      <c r="C1600" s="313">
        <v>0.2916666666666667</v>
      </c>
      <c r="D1600" s="129" t="s">
        <v>1855</v>
      </c>
      <c r="E1600" s="129" t="s">
        <v>1758</v>
      </c>
      <c r="F1600" s="130">
        <v>150.0</v>
      </c>
      <c r="G1600" s="129"/>
      <c r="H1600" s="44" t="b">
        <v>1</v>
      </c>
    </row>
    <row r="1601" hidden="1" outlineLevel="1">
      <c r="A1601" s="102">
        <v>46098.0</v>
      </c>
      <c r="B1601" s="97">
        <f t="shared" si="451"/>
        <v>46098</v>
      </c>
      <c r="C1601" s="398">
        <v>0.2916666666666667</v>
      </c>
      <c r="D1601" s="129" t="s">
        <v>1756</v>
      </c>
      <c r="E1601" s="129" t="s">
        <v>469</v>
      </c>
      <c r="F1601" s="130">
        <v>150.0</v>
      </c>
      <c r="G1601" s="129"/>
      <c r="H1601" s="44" t="b">
        <v>1</v>
      </c>
    </row>
    <row r="1602" hidden="1" outlineLevel="1">
      <c r="A1602" s="58"/>
      <c r="B1602" s="58"/>
      <c r="C1602" s="58"/>
      <c r="D1602" s="129" t="s">
        <v>183</v>
      </c>
      <c r="E1602" s="129" t="s">
        <v>1758</v>
      </c>
      <c r="F1602" s="130">
        <v>150.0</v>
      </c>
      <c r="G1602" s="129"/>
      <c r="H1602" s="44" t="b">
        <v>1</v>
      </c>
    </row>
    <row r="1603" hidden="1" outlineLevel="1">
      <c r="A1603" s="10"/>
      <c r="B1603" s="10"/>
      <c r="C1603" s="403">
        <v>0.5069444444444444</v>
      </c>
      <c r="D1603" s="129" t="s">
        <v>1849</v>
      </c>
      <c r="E1603" s="129" t="s">
        <v>1758</v>
      </c>
      <c r="F1603" s="130">
        <v>150.0</v>
      </c>
      <c r="G1603" s="129"/>
      <c r="H1603" s="44" t="b">
        <v>1</v>
      </c>
    </row>
    <row r="1604" hidden="1" outlineLevel="1">
      <c r="A1604" s="102">
        <v>46099.0</v>
      </c>
      <c r="B1604" s="97">
        <f>A1604</f>
        <v>46099</v>
      </c>
      <c r="C1604" s="313">
        <v>0.2916666666666667</v>
      </c>
      <c r="D1604" s="129" t="s">
        <v>1756</v>
      </c>
      <c r="E1604" s="129" t="s">
        <v>1758</v>
      </c>
      <c r="F1604" s="130">
        <v>150.0</v>
      </c>
      <c r="G1604" s="129"/>
      <c r="H1604" s="44" t="b">
        <v>1</v>
      </c>
    </row>
    <row r="1605" hidden="1" outlineLevel="1">
      <c r="A1605" s="10"/>
      <c r="B1605" s="10"/>
      <c r="C1605" s="403">
        <v>0.5069444444444444</v>
      </c>
      <c r="D1605" s="129" t="s">
        <v>1849</v>
      </c>
      <c r="E1605" s="129" t="s">
        <v>1758</v>
      </c>
      <c r="F1605" s="130">
        <v>150.0</v>
      </c>
      <c r="G1605" s="129"/>
      <c r="H1605" s="44" t="b">
        <v>1</v>
      </c>
    </row>
    <row r="1606" hidden="1" outlineLevel="1">
      <c r="A1606" s="125">
        <v>46100.0</v>
      </c>
      <c r="B1606" s="126">
        <f t="shared" ref="B1606:B1607" si="452">A1606</f>
        <v>46100</v>
      </c>
      <c r="C1606" s="313">
        <v>0.3333333333333333</v>
      </c>
      <c r="D1606" s="129" t="s">
        <v>1756</v>
      </c>
      <c r="E1606" s="129" t="s">
        <v>1758</v>
      </c>
      <c r="F1606" s="130">
        <v>150.0</v>
      </c>
      <c r="G1606" s="129" t="s">
        <v>1515</v>
      </c>
      <c r="H1606" s="44" t="b">
        <v>1</v>
      </c>
    </row>
    <row r="1607" hidden="1" outlineLevel="1">
      <c r="A1607" s="102">
        <v>46101.0</v>
      </c>
      <c r="B1607" s="97">
        <f t="shared" si="452"/>
        <v>46101</v>
      </c>
      <c r="C1607" s="398">
        <v>0.2916666666666667</v>
      </c>
      <c r="D1607" s="129" t="s">
        <v>1756</v>
      </c>
      <c r="E1607" s="129" t="s">
        <v>469</v>
      </c>
      <c r="F1607" s="130">
        <v>150.0</v>
      </c>
      <c r="G1607" s="129"/>
      <c r="H1607" s="44" t="b">
        <v>1</v>
      </c>
    </row>
    <row r="1608" hidden="1" outlineLevel="1">
      <c r="A1608" s="58"/>
      <c r="B1608" s="58"/>
      <c r="C1608" s="10"/>
      <c r="D1608" s="129" t="s">
        <v>183</v>
      </c>
      <c r="E1608" s="129" t="s">
        <v>1758</v>
      </c>
      <c r="F1608" s="130">
        <v>150.0</v>
      </c>
      <c r="G1608" s="129"/>
      <c r="H1608" s="44" t="b">
        <v>1</v>
      </c>
    </row>
    <row r="1609" hidden="1" outlineLevel="1">
      <c r="A1609" s="10"/>
      <c r="B1609" s="10"/>
      <c r="C1609" s="313">
        <v>0.5069444444444444</v>
      </c>
      <c r="D1609" s="129" t="s">
        <v>1849</v>
      </c>
      <c r="E1609" s="129" t="s">
        <v>1758</v>
      </c>
      <c r="F1609" s="130">
        <v>150.0</v>
      </c>
      <c r="G1609" s="129"/>
      <c r="H1609" s="44" t="b">
        <v>1</v>
      </c>
    </row>
    <row r="1610" hidden="1" outlineLevel="1">
      <c r="A1610" s="125">
        <v>46102.0</v>
      </c>
      <c r="B1610" s="126">
        <f t="shared" ref="B1610:B1611" si="453">A1610</f>
        <v>46102</v>
      </c>
      <c r="C1610" s="313">
        <v>0.3333333333333333</v>
      </c>
      <c r="D1610" s="129" t="s">
        <v>1756</v>
      </c>
      <c r="E1610" s="129" t="s">
        <v>1758</v>
      </c>
      <c r="F1610" s="130">
        <v>150.0</v>
      </c>
      <c r="G1610" s="129"/>
      <c r="H1610" s="44" t="b">
        <v>1</v>
      </c>
    </row>
    <row r="1611" hidden="1" outlineLevel="1">
      <c r="A1611" s="102">
        <v>46103.0</v>
      </c>
      <c r="B1611" s="97">
        <f t="shared" si="453"/>
        <v>46103</v>
      </c>
      <c r="C1611" s="313">
        <v>0.3333333333333333</v>
      </c>
      <c r="D1611" s="129" t="s">
        <v>1828</v>
      </c>
      <c r="E1611" s="129" t="s">
        <v>1758</v>
      </c>
      <c r="F1611" s="130">
        <v>200.0</v>
      </c>
      <c r="G1611" s="129"/>
      <c r="H1611" s="44" t="b">
        <v>1</v>
      </c>
    </row>
    <row r="1612" hidden="1" outlineLevel="1">
      <c r="A1612" s="58"/>
      <c r="B1612" s="58"/>
      <c r="C1612" s="313">
        <v>0.3958333333333333</v>
      </c>
      <c r="D1612" s="129" t="s">
        <v>1761</v>
      </c>
      <c r="E1612" s="129" t="s">
        <v>1758</v>
      </c>
      <c r="F1612" s="130">
        <v>200.0</v>
      </c>
      <c r="G1612" s="129" t="s">
        <v>2086</v>
      </c>
      <c r="H1612" s="44" t="b">
        <v>1</v>
      </c>
    </row>
    <row r="1613" hidden="1" outlineLevel="1">
      <c r="A1613" s="58"/>
      <c r="B1613" s="58"/>
      <c r="C1613" s="313">
        <v>0.4583333333333333</v>
      </c>
      <c r="D1613" s="129" t="s">
        <v>562</v>
      </c>
      <c r="E1613" s="129" t="s">
        <v>1758</v>
      </c>
      <c r="F1613" s="130">
        <v>200.0</v>
      </c>
      <c r="G1613" s="129"/>
      <c r="H1613" s="44" t="b">
        <v>1</v>
      </c>
    </row>
    <row r="1614" hidden="1" outlineLevel="1">
      <c r="A1614" s="10"/>
      <c r="B1614" s="10"/>
      <c r="C1614" s="313">
        <v>0.7708333333333334</v>
      </c>
      <c r="D1614" s="129" t="s">
        <v>1859</v>
      </c>
      <c r="E1614" s="129" t="s">
        <v>1758</v>
      </c>
      <c r="F1614" s="130">
        <v>200.0</v>
      </c>
      <c r="G1614" s="129"/>
      <c r="H1614" s="44" t="b">
        <v>1</v>
      </c>
    </row>
    <row r="1615" hidden="1" outlineLevel="1">
      <c r="A1615" s="102">
        <v>46104.0</v>
      </c>
      <c r="B1615" s="97">
        <f>A1615</f>
        <v>46104</v>
      </c>
      <c r="C1615" s="313">
        <v>0.2916666666666667</v>
      </c>
      <c r="D1615" s="129" t="s">
        <v>1855</v>
      </c>
      <c r="E1615" s="129" t="s">
        <v>1758</v>
      </c>
      <c r="F1615" s="130">
        <v>150.0</v>
      </c>
      <c r="G1615" s="129"/>
      <c r="H1615" s="44" t="b">
        <v>1</v>
      </c>
    </row>
    <row r="1616" hidden="1" outlineLevel="1">
      <c r="A1616" s="10"/>
      <c r="B1616" s="10"/>
      <c r="C1616" s="313">
        <v>0.5069444444444444</v>
      </c>
      <c r="D1616" s="129" t="s">
        <v>1849</v>
      </c>
      <c r="E1616" s="129" t="s">
        <v>1758</v>
      </c>
      <c r="F1616" s="130">
        <v>150.0</v>
      </c>
      <c r="G1616" s="129"/>
      <c r="H1616" s="44" t="b">
        <v>1</v>
      </c>
    </row>
    <row r="1617" hidden="1" outlineLevel="1">
      <c r="A1617" s="102">
        <v>46105.0</v>
      </c>
      <c r="B1617" s="97">
        <f>A1617</f>
        <v>46105</v>
      </c>
      <c r="C1617" s="398">
        <v>0.2916666666666667</v>
      </c>
      <c r="D1617" s="129" t="s">
        <v>1756</v>
      </c>
      <c r="E1617" s="129" t="s">
        <v>469</v>
      </c>
      <c r="F1617" s="130">
        <v>150.0</v>
      </c>
      <c r="G1617" s="129"/>
      <c r="H1617" s="44" t="b">
        <v>1</v>
      </c>
    </row>
    <row r="1618" hidden="1" outlineLevel="1">
      <c r="A1618" s="58"/>
      <c r="B1618" s="58"/>
      <c r="C1618" s="10"/>
      <c r="D1618" s="129" t="s">
        <v>183</v>
      </c>
      <c r="E1618" s="129" t="s">
        <v>1758</v>
      </c>
      <c r="F1618" s="130">
        <v>150.0</v>
      </c>
      <c r="G1618" s="129"/>
      <c r="H1618" s="44" t="b">
        <v>1</v>
      </c>
    </row>
    <row r="1619" hidden="1" outlineLevel="1">
      <c r="A1619" s="10"/>
      <c r="B1619" s="10"/>
      <c r="C1619" s="313">
        <v>0.5069444444444444</v>
      </c>
      <c r="D1619" s="129" t="s">
        <v>1849</v>
      </c>
      <c r="E1619" s="129" t="s">
        <v>1758</v>
      </c>
      <c r="F1619" s="130">
        <v>150.0</v>
      </c>
      <c r="G1619" s="129"/>
      <c r="H1619" s="44" t="b">
        <v>1</v>
      </c>
    </row>
    <row r="1620" hidden="1" outlineLevel="1">
      <c r="A1620" s="102">
        <v>46106.0</v>
      </c>
      <c r="B1620" s="97">
        <f>A1620</f>
        <v>46106</v>
      </c>
      <c r="C1620" s="313">
        <v>0.3333333333333333</v>
      </c>
      <c r="D1620" s="129" t="s">
        <v>1756</v>
      </c>
      <c r="E1620" s="129" t="s">
        <v>1758</v>
      </c>
      <c r="F1620" s="130">
        <v>150.0</v>
      </c>
      <c r="G1620" s="129"/>
      <c r="H1620" s="44" t="b">
        <v>1</v>
      </c>
    </row>
    <row r="1621" hidden="1" outlineLevel="1">
      <c r="A1621" s="10"/>
      <c r="B1621" s="10"/>
      <c r="C1621" s="313">
        <v>0.5069444444444444</v>
      </c>
      <c r="D1621" s="129" t="s">
        <v>1849</v>
      </c>
      <c r="E1621" s="129" t="s">
        <v>1758</v>
      </c>
      <c r="F1621" s="130">
        <v>0.0</v>
      </c>
      <c r="G1621" s="129" t="s">
        <v>1523</v>
      </c>
      <c r="H1621" s="44" t="b">
        <v>1</v>
      </c>
    </row>
    <row r="1622" hidden="1" outlineLevel="1">
      <c r="A1622" s="102">
        <v>46107.0</v>
      </c>
      <c r="B1622" s="97">
        <f>A1622</f>
        <v>46107</v>
      </c>
      <c r="C1622" s="313">
        <v>0.2916666666666667</v>
      </c>
      <c r="D1622" s="129" t="s">
        <v>1756</v>
      </c>
      <c r="E1622" s="129" t="s">
        <v>1758</v>
      </c>
      <c r="F1622" s="130">
        <v>150.0</v>
      </c>
      <c r="G1622" s="129"/>
      <c r="H1622" s="44" t="b">
        <v>1</v>
      </c>
    </row>
    <row r="1623" hidden="1" outlineLevel="1">
      <c r="A1623" s="10"/>
      <c r="B1623" s="10"/>
      <c r="C1623" s="313">
        <v>0.5069444444444444</v>
      </c>
      <c r="D1623" s="129" t="s">
        <v>562</v>
      </c>
      <c r="E1623" s="129" t="s">
        <v>1758</v>
      </c>
      <c r="F1623" s="130">
        <v>150.0</v>
      </c>
      <c r="G1623" s="129"/>
      <c r="H1623" s="44" t="b">
        <v>1</v>
      </c>
    </row>
    <row r="1624" hidden="1" outlineLevel="1">
      <c r="A1624" s="102">
        <v>46108.0</v>
      </c>
      <c r="B1624" s="97">
        <f>A1624</f>
        <v>46108</v>
      </c>
      <c r="C1624" s="398">
        <v>0.2916666666666667</v>
      </c>
      <c r="D1624" s="129" t="s">
        <v>1756</v>
      </c>
      <c r="E1624" s="129" t="s">
        <v>469</v>
      </c>
      <c r="F1624" s="130">
        <v>150.0</v>
      </c>
      <c r="G1624" s="129"/>
      <c r="H1624" s="44" t="b">
        <v>1</v>
      </c>
    </row>
    <row r="1625" hidden="1" outlineLevel="1">
      <c r="A1625" s="58"/>
      <c r="B1625" s="58"/>
      <c r="C1625" s="10"/>
      <c r="D1625" s="129" t="s">
        <v>183</v>
      </c>
      <c r="E1625" s="129" t="s">
        <v>1758</v>
      </c>
      <c r="F1625" s="130">
        <v>150.0</v>
      </c>
      <c r="G1625" s="129"/>
      <c r="H1625" s="44" t="b">
        <v>1</v>
      </c>
    </row>
    <row r="1626" hidden="1" outlineLevel="1">
      <c r="A1626" s="10"/>
      <c r="B1626" s="10"/>
      <c r="C1626" s="313">
        <v>0.5069444444444444</v>
      </c>
      <c r="D1626" s="129" t="s">
        <v>1849</v>
      </c>
      <c r="E1626" s="129" t="s">
        <v>1758</v>
      </c>
      <c r="F1626" s="130">
        <v>150.0</v>
      </c>
      <c r="G1626" s="129"/>
      <c r="H1626" s="44" t="b">
        <v>1</v>
      </c>
    </row>
    <row r="1627" hidden="1" outlineLevel="1">
      <c r="A1627" s="125">
        <v>46109.0</v>
      </c>
      <c r="B1627" s="126">
        <f t="shared" ref="B1627:B1628" si="454">A1627</f>
        <v>46109</v>
      </c>
      <c r="C1627" s="313">
        <v>0.3333333333333333</v>
      </c>
      <c r="D1627" s="129" t="s">
        <v>1756</v>
      </c>
      <c r="E1627" s="129" t="s">
        <v>1758</v>
      </c>
      <c r="F1627" s="130">
        <v>150.0</v>
      </c>
      <c r="G1627" s="129"/>
      <c r="H1627" s="44" t="b">
        <v>1</v>
      </c>
    </row>
    <row r="1628" hidden="1" outlineLevel="1">
      <c r="A1628" s="102">
        <v>46110.0</v>
      </c>
      <c r="B1628" s="97">
        <f t="shared" si="454"/>
        <v>46110</v>
      </c>
      <c r="C1628" s="313">
        <v>0.3333333333333333</v>
      </c>
      <c r="D1628" s="129" t="s">
        <v>1828</v>
      </c>
      <c r="E1628" s="129" t="s">
        <v>1758</v>
      </c>
      <c r="F1628" s="130">
        <v>200.0</v>
      </c>
      <c r="G1628" s="129"/>
      <c r="H1628" s="44" t="b">
        <v>1</v>
      </c>
    </row>
    <row r="1629" hidden="1" outlineLevel="1">
      <c r="A1629" s="58"/>
      <c r="B1629" s="58"/>
      <c r="C1629" s="313">
        <v>0.4583333333333333</v>
      </c>
      <c r="D1629" s="129" t="s">
        <v>1857</v>
      </c>
      <c r="E1629" s="129" t="s">
        <v>1758</v>
      </c>
      <c r="F1629" s="130">
        <v>200.0</v>
      </c>
      <c r="G1629" s="129"/>
      <c r="H1629" s="44" t="b">
        <v>1</v>
      </c>
    </row>
    <row r="1630" hidden="1" outlineLevel="1">
      <c r="A1630" s="10"/>
      <c r="B1630" s="10"/>
      <c r="C1630" s="313">
        <v>0.7708333333333334</v>
      </c>
      <c r="D1630" s="129" t="s">
        <v>1798</v>
      </c>
      <c r="E1630" s="129" t="s">
        <v>1758</v>
      </c>
      <c r="F1630" s="130">
        <v>200.0</v>
      </c>
      <c r="G1630" s="129"/>
      <c r="H1630" s="44" t="b">
        <v>1</v>
      </c>
    </row>
    <row r="1631" hidden="1" outlineLevel="1">
      <c r="A1631" s="102">
        <v>46111.0</v>
      </c>
      <c r="B1631" s="97">
        <f>A1631</f>
        <v>46111</v>
      </c>
      <c r="C1631" s="313">
        <v>0.2916666666666667</v>
      </c>
      <c r="D1631" s="129" t="s">
        <v>1756</v>
      </c>
      <c r="E1631" s="129" t="s">
        <v>1758</v>
      </c>
      <c r="F1631" s="130">
        <v>150.0</v>
      </c>
      <c r="G1631" s="129"/>
      <c r="H1631" s="44" t="b">
        <v>1</v>
      </c>
    </row>
    <row r="1632" hidden="1" outlineLevel="1">
      <c r="A1632" s="10"/>
      <c r="B1632" s="10"/>
      <c r="C1632" s="313">
        <v>0.5069444444444444</v>
      </c>
      <c r="D1632" s="129" t="s">
        <v>1849</v>
      </c>
      <c r="E1632" s="129" t="s">
        <v>1758</v>
      </c>
      <c r="F1632" s="130">
        <v>150.0</v>
      </c>
      <c r="G1632" s="129"/>
      <c r="H1632" s="44" t="b">
        <v>1</v>
      </c>
    </row>
    <row r="1633" hidden="1" outlineLevel="1">
      <c r="A1633" s="102">
        <v>46112.0</v>
      </c>
      <c r="B1633" s="97">
        <f>A1633</f>
        <v>46112</v>
      </c>
      <c r="C1633" s="398">
        <v>0.2916666666666667</v>
      </c>
      <c r="D1633" s="129" t="s">
        <v>1756</v>
      </c>
      <c r="E1633" s="129" t="s">
        <v>469</v>
      </c>
      <c r="F1633" s="130">
        <v>150.0</v>
      </c>
      <c r="G1633" s="129"/>
      <c r="H1633" s="44" t="b">
        <v>1</v>
      </c>
    </row>
    <row r="1634" hidden="1" outlineLevel="1">
      <c r="A1634" s="58"/>
      <c r="B1634" s="58"/>
      <c r="C1634" s="10"/>
      <c r="D1634" s="129" t="s">
        <v>183</v>
      </c>
      <c r="E1634" s="129" t="s">
        <v>1758</v>
      </c>
      <c r="F1634" s="130">
        <v>150.0</v>
      </c>
      <c r="G1634" s="129"/>
      <c r="H1634" s="44" t="b">
        <v>1</v>
      </c>
    </row>
    <row r="1635" hidden="1" outlineLevel="1">
      <c r="A1635" s="10"/>
      <c r="B1635" s="10"/>
      <c r="C1635" s="313">
        <v>0.5069444444444444</v>
      </c>
      <c r="D1635" s="129" t="s">
        <v>1849</v>
      </c>
      <c r="E1635" s="129" t="s">
        <v>1758</v>
      </c>
      <c r="F1635" s="130">
        <v>150.0</v>
      </c>
      <c r="G1635" s="129"/>
      <c r="H1635" s="44" t="b">
        <v>1</v>
      </c>
    </row>
    <row r="1636">
      <c r="A1636" s="484" t="s">
        <v>195</v>
      </c>
      <c r="B1636" s="27"/>
      <c r="C1636" s="27"/>
      <c r="D1636" s="27"/>
      <c r="E1636" s="28"/>
      <c r="F1636" s="485">
        <f>SUM(F1564:F1635)</f>
        <v>11100</v>
      </c>
      <c r="G1636" s="486"/>
      <c r="H1636" s="28"/>
    </row>
    <row r="1637" collapsed="1">
      <c r="A1637" s="339" t="s">
        <v>1533</v>
      </c>
      <c r="B1637" s="246"/>
      <c r="C1637" s="246"/>
      <c r="D1637" s="246"/>
      <c r="E1637" s="246"/>
      <c r="F1637" s="246"/>
      <c r="G1637" s="246"/>
      <c r="H1637" s="247"/>
    </row>
    <row r="1638" hidden="1" outlineLevel="1">
      <c r="A1638" s="102">
        <v>46113.0</v>
      </c>
      <c r="B1638" s="97">
        <f>A1638</f>
        <v>46113</v>
      </c>
      <c r="C1638" s="313">
        <v>0.2916666666666667</v>
      </c>
      <c r="D1638" s="129" t="s">
        <v>1756</v>
      </c>
      <c r="E1638" s="129" t="s">
        <v>1758</v>
      </c>
      <c r="F1638" s="130">
        <v>150.0</v>
      </c>
      <c r="G1638" s="129"/>
      <c r="H1638" s="44" t="b">
        <v>1</v>
      </c>
      <c r="K1638" s="440" t="s">
        <v>2087</v>
      </c>
      <c r="L1638" s="27"/>
      <c r="M1638" s="27"/>
      <c r="N1638" s="27"/>
      <c r="O1638" s="27"/>
      <c r="P1638" s="27"/>
      <c r="Q1638" s="28"/>
    </row>
    <row r="1639" hidden="1" outlineLevel="1">
      <c r="A1639" s="58"/>
      <c r="B1639" s="58"/>
      <c r="C1639" s="313">
        <v>0.5069444444444444</v>
      </c>
      <c r="D1639" s="129" t="s">
        <v>1636</v>
      </c>
      <c r="E1639" s="129" t="s">
        <v>1758</v>
      </c>
      <c r="F1639" s="130">
        <v>150.0</v>
      </c>
      <c r="G1639" s="129"/>
      <c r="H1639" s="44" t="b">
        <v>1</v>
      </c>
      <c r="K1639" s="441" t="s">
        <v>1749</v>
      </c>
      <c r="L1639" s="441" t="s">
        <v>1758</v>
      </c>
      <c r="M1639" s="441" t="s">
        <v>469</v>
      </c>
      <c r="N1639" s="441" t="s">
        <v>195</v>
      </c>
      <c r="O1639" s="441" t="s">
        <v>1764</v>
      </c>
      <c r="P1639" s="441" t="s">
        <v>1765</v>
      </c>
      <c r="Q1639" s="441" t="s">
        <v>1766</v>
      </c>
    </row>
    <row r="1640" hidden="1" outlineLevel="1">
      <c r="A1640" s="10"/>
      <c r="B1640" s="10"/>
      <c r="C1640" s="313">
        <v>0.7916666666666666</v>
      </c>
      <c r="D1640" s="129" t="s">
        <v>1828</v>
      </c>
      <c r="E1640" s="129" t="s">
        <v>1758</v>
      </c>
      <c r="F1640" s="130">
        <v>150.0</v>
      </c>
      <c r="G1640" s="129" t="s">
        <v>2088</v>
      </c>
      <c r="H1640" s="44" t="b">
        <v>1</v>
      </c>
      <c r="I1640" s="283" t="s">
        <v>2089</v>
      </c>
      <c r="K1640" s="91" t="s">
        <v>1756</v>
      </c>
      <c r="L1640" s="90">
        <f t="shared" ref="L1640:L1654" si="455">COUNTIFS($D$1638:$D$1702, $K1640,$E$1638:$E$1702,$L$1639)</f>
        <v>12</v>
      </c>
      <c r="M1640" s="90">
        <f t="shared" ref="M1640:M1654" si="456">COUNTIFS($D$1638:$D$1702, $K1640,$E$1638:$E$1702,$M$1639)</f>
        <v>8</v>
      </c>
      <c r="N1640" s="90">
        <f t="shared" ref="N1640:N1654" si="457">L1640+M1640</f>
        <v>20</v>
      </c>
      <c r="O1640" s="92">
        <f t="shared" ref="O1640:O1654" si="458">SUMIFS($F$1638:$F$1702,$D$1638:$D$1702,$K1640)</f>
        <v>3000</v>
      </c>
      <c r="P1640" s="92">
        <f t="shared" ref="P1640:P1654" si="459">SUMIFS($F$1638:$F$1702,$D$1638:$D$1702,$K1640,$H$1638:$H$1702,TRUE())</f>
        <v>3000</v>
      </c>
      <c r="Q1640" s="92">
        <f t="shared" ref="Q1640:Q1654" si="460">O1640-P1640</f>
        <v>0</v>
      </c>
    </row>
    <row r="1641" hidden="1" outlineLevel="1">
      <c r="A1641" s="125">
        <v>46114.0</v>
      </c>
      <c r="B1641" s="126">
        <f t="shared" ref="B1641:B1644" si="461">A1641</f>
        <v>46114</v>
      </c>
      <c r="C1641" s="313">
        <v>0.7916666666666666</v>
      </c>
      <c r="D1641" s="129" t="s">
        <v>1818</v>
      </c>
      <c r="E1641" s="129" t="s">
        <v>1758</v>
      </c>
      <c r="F1641" s="130">
        <v>150.0</v>
      </c>
      <c r="G1641" s="129" t="s">
        <v>2090</v>
      </c>
      <c r="H1641" s="44" t="b">
        <v>1</v>
      </c>
      <c r="I1641" s="283" t="s">
        <v>2089</v>
      </c>
      <c r="K1641" s="91" t="s">
        <v>1636</v>
      </c>
      <c r="L1641" s="90">
        <f t="shared" si="455"/>
        <v>14</v>
      </c>
      <c r="M1641" s="90">
        <f t="shared" si="456"/>
        <v>0</v>
      </c>
      <c r="N1641" s="90">
        <f t="shared" si="457"/>
        <v>14</v>
      </c>
      <c r="O1641" s="92">
        <f t="shared" si="458"/>
        <v>2100</v>
      </c>
      <c r="P1641" s="92">
        <f t="shared" si="459"/>
        <v>2100</v>
      </c>
      <c r="Q1641" s="92">
        <f t="shared" si="460"/>
        <v>0</v>
      </c>
    </row>
    <row r="1642" hidden="1" outlineLevel="1">
      <c r="A1642" s="125">
        <v>46115.0</v>
      </c>
      <c r="B1642" s="126">
        <f t="shared" si="461"/>
        <v>46115</v>
      </c>
      <c r="C1642" s="313">
        <v>0.625</v>
      </c>
      <c r="D1642" s="129" t="s">
        <v>1818</v>
      </c>
      <c r="E1642" s="129" t="s">
        <v>1758</v>
      </c>
      <c r="F1642" s="130">
        <v>150.0</v>
      </c>
      <c r="G1642" s="129" t="s">
        <v>2091</v>
      </c>
      <c r="H1642" s="44" t="b">
        <v>1</v>
      </c>
      <c r="I1642" s="283" t="s">
        <v>2089</v>
      </c>
      <c r="K1642" s="91" t="s">
        <v>1818</v>
      </c>
      <c r="L1642" s="90">
        <f t="shared" si="455"/>
        <v>3</v>
      </c>
      <c r="M1642" s="90">
        <f t="shared" si="456"/>
        <v>0</v>
      </c>
      <c r="N1642" s="90">
        <f t="shared" si="457"/>
        <v>3</v>
      </c>
      <c r="O1642" s="92">
        <f t="shared" si="458"/>
        <v>450</v>
      </c>
      <c r="P1642" s="92">
        <f t="shared" si="459"/>
        <v>450</v>
      </c>
      <c r="Q1642" s="92">
        <f t="shared" si="460"/>
        <v>0</v>
      </c>
    </row>
    <row r="1643" hidden="1" outlineLevel="1">
      <c r="A1643" s="125">
        <v>46116.0</v>
      </c>
      <c r="B1643" s="126">
        <f t="shared" si="461"/>
        <v>46116</v>
      </c>
      <c r="C1643" s="398">
        <v>0.75</v>
      </c>
      <c r="D1643" s="129" t="s">
        <v>1818</v>
      </c>
      <c r="E1643" s="129" t="s">
        <v>1758</v>
      </c>
      <c r="F1643" s="130">
        <v>150.0</v>
      </c>
      <c r="G1643" s="129" t="s">
        <v>2092</v>
      </c>
      <c r="H1643" s="44" t="b">
        <v>1</v>
      </c>
      <c r="I1643" s="283" t="s">
        <v>2089</v>
      </c>
      <c r="K1643" s="91" t="s">
        <v>1856</v>
      </c>
      <c r="L1643" s="90">
        <f t="shared" si="455"/>
        <v>0</v>
      </c>
      <c r="M1643" s="90">
        <f t="shared" si="456"/>
        <v>0</v>
      </c>
      <c r="N1643" s="90">
        <f t="shared" si="457"/>
        <v>0</v>
      </c>
      <c r="O1643" s="92">
        <f t="shared" si="458"/>
        <v>0</v>
      </c>
      <c r="P1643" s="92">
        <f t="shared" si="459"/>
        <v>0</v>
      </c>
      <c r="Q1643" s="92">
        <f t="shared" si="460"/>
        <v>0</v>
      </c>
    </row>
    <row r="1644" hidden="1" outlineLevel="1">
      <c r="A1644" s="102">
        <v>46117.0</v>
      </c>
      <c r="B1644" s="97">
        <f t="shared" si="461"/>
        <v>46117</v>
      </c>
      <c r="C1644" s="313">
        <v>0.3333333333333333</v>
      </c>
      <c r="D1644" s="129" t="s">
        <v>1828</v>
      </c>
      <c r="E1644" s="129" t="s">
        <v>1758</v>
      </c>
      <c r="F1644" s="130">
        <v>200.0</v>
      </c>
      <c r="G1644" s="129"/>
      <c r="H1644" s="44" t="b">
        <v>1</v>
      </c>
      <c r="I1644" s="283" t="s">
        <v>2089</v>
      </c>
      <c r="K1644" s="91" t="s">
        <v>183</v>
      </c>
      <c r="L1644" s="90">
        <f t="shared" si="455"/>
        <v>7</v>
      </c>
      <c r="M1644" s="90">
        <f t="shared" si="456"/>
        <v>0</v>
      </c>
      <c r="N1644" s="90">
        <f t="shared" si="457"/>
        <v>7</v>
      </c>
      <c r="O1644" s="92">
        <f t="shared" si="458"/>
        <v>1050</v>
      </c>
      <c r="P1644" s="92">
        <f t="shared" si="459"/>
        <v>1050</v>
      </c>
      <c r="Q1644" s="92">
        <f t="shared" si="460"/>
        <v>0</v>
      </c>
    </row>
    <row r="1645" hidden="1" outlineLevel="1">
      <c r="A1645" s="58"/>
      <c r="B1645" s="58"/>
      <c r="C1645" s="313">
        <v>0.4583333333333333</v>
      </c>
      <c r="D1645" s="129" t="s">
        <v>1828</v>
      </c>
      <c r="E1645" s="129" t="s">
        <v>1758</v>
      </c>
      <c r="F1645" s="130">
        <v>200.0</v>
      </c>
      <c r="G1645" s="129"/>
      <c r="H1645" s="44" t="b">
        <v>1</v>
      </c>
      <c r="I1645" s="283" t="s">
        <v>2089</v>
      </c>
      <c r="K1645" s="91" t="s">
        <v>1848</v>
      </c>
      <c r="L1645" s="90">
        <f t="shared" si="455"/>
        <v>0</v>
      </c>
      <c r="M1645" s="90">
        <f t="shared" si="456"/>
        <v>0</v>
      </c>
      <c r="N1645" s="90">
        <f t="shared" si="457"/>
        <v>0</v>
      </c>
      <c r="O1645" s="92">
        <f t="shared" si="458"/>
        <v>0</v>
      </c>
      <c r="P1645" s="92">
        <f t="shared" si="459"/>
        <v>0</v>
      </c>
      <c r="Q1645" s="92">
        <f t="shared" si="460"/>
        <v>0</v>
      </c>
    </row>
    <row r="1646" hidden="1" outlineLevel="1">
      <c r="A1646" s="10"/>
      <c r="B1646" s="10"/>
      <c r="C1646" s="313">
        <v>0.7708333333333334</v>
      </c>
      <c r="D1646" s="129" t="s">
        <v>1846</v>
      </c>
      <c r="E1646" s="129" t="s">
        <v>1758</v>
      </c>
      <c r="F1646" s="130">
        <v>200.0</v>
      </c>
      <c r="G1646" s="129"/>
      <c r="H1646" s="44" t="b">
        <v>1</v>
      </c>
      <c r="I1646" s="283" t="s">
        <v>2089</v>
      </c>
      <c r="K1646" s="91" t="s">
        <v>1857</v>
      </c>
      <c r="L1646" s="90">
        <f t="shared" si="455"/>
        <v>1</v>
      </c>
      <c r="M1646" s="90">
        <f t="shared" si="456"/>
        <v>0</v>
      </c>
      <c r="N1646" s="90">
        <f t="shared" si="457"/>
        <v>1</v>
      </c>
      <c r="O1646" s="92">
        <f t="shared" si="458"/>
        <v>200</v>
      </c>
      <c r="P1646" s="92">
        <f t="shared" si="459"/>
        <v>200</v>
      </c>
      <c r="Q1646" s="92">
        <f t="shared" si="460"/>
        <v>0</v>
      </c>
    </row>
    <row r="1647" hidden="1" outlineLevel="1">
      <c r="A1647" s="102">
        <v>46118.0</v>
      </c>
      <c r="B1647" s="97">
        <f>A1647</f>
        <v>46118</v>
      </c>
      <c r="C1647" s="313">
        <v>0.2916666666666667</v>
      </c>
      <c r="D1647" s="129" t="s">
        <v>1855</v>
      </c>
      <c r="E1647" s="129" t="s">
        <v>1758</v>
      </c>
      <c r="F1647" s="130">
        <v>150.0</v>
      </c>
      <c r="G1647" s="129"/>
      <c r="H1647" s="44" t="b">
        <v>1</v>
      </c>
      <c r="I1647" s="283" t="s">
        <v>2089</v>
      </c>
      <c r="K1647" s="91" t="s">
        <v>1842</v>
      </c>
      <c r="L1647" s="90">
        <f t="shared" si="455"/>
        <v>0</v>
      </c>
      <c r="M1647" s="90">
        <f t="shared" si="456"/>
        <v>0</v>
      </c>
      <c r="N1647" s="90">
        <f t="shared" si="457"/>
        <v>0</v>
      </c>
      <c r="O1647" s="92">
        <f t="shared" si="458"/>
        <v>0</v>
      </c>
      <c r="P1647" s="92">
        <f t="shared" si="459"/>
        <v>0</v>
      </c>
      <c r="Q1647" s="92">
        <f t="shared" si="460"/>
        <v>0</v>
      </c>
    </row>
    <row r="1648" hidden="1" outlineLevel="1">
      <c r="A1648" s="10"/>
      <c r="B1648" s="10"/>
      <c r="C1648" s="313">
        <v>0.5069444444444444</v>
      </c>
      <c r="D1648" s="129" t="s">
        <v>1636</v>
      </c>
      <c r="E1648" s="129" t="s">
        <v>1758</v>
      </c>
      <c r="F1648" s="130">
        <v>150.0</v>
      </c>
      <c r="G1648" s="129"/>
      <c r="H1648" s="44" t="b">
        <v>1</v>
      </c>
      <c r="K1648" s="91" t="s">
        <v>562</v>
      </c>
      <c r="L1648" s="90">
        <f t="shared" si="455"/>
        <v>6</v>
      </c>
      <c r="M1648" s="90">
        <f t="shared" si="456"/>
        <v>0</v>
      </c>
      <c r="N1648" s="90">
        <f t="shared" si="457"/>
        <v>6</v>
      </c>
      <c r="O1648" s="92">
        <f t="shared" si="458"/>
        <v>1000</v>
      </c>
      <c r="P1648" s="92">
        <f t="shared" si="459"/>
        <v>1000</v>
      </c>
      <c r="Q1648" s="92">
        <f t="shared" si="460"/>
        <v>0</v>
      </c>
    </row>
    <row r="1649" hidden="1" outlineLevel="1">
      <c r="A1649" s="102">
        <v>46119.0</v>
      </c>
      <c r="B1649" s="97">
        <f>A1649</f>
        <v>46119</v>
      </c>
      <c r="C1649" s="398">
        <v>0.2916666666666667</v>
      </c>
      <c r="D1649" s="129" t="s">
        <v>1756</v>
      </c>
      <c r="E1649" s="129" t="s">
        <v>469</v>
      </c>
      <c r="F1649" s="130">
        <v>150.0</v>
      </c>
      <c r="G1649" s="129"/>
      <c r="H1649" s="44" t="b">
        <v>1</v>
      </c>
      <c r="K1649" s="91" t="s">
        <v>1828</v>
      </c>
      <c r="L1649" s="90">
        <f t="shared" si="455"/>
        <v>7</v>
      </c>
      <c r="M1649" s="90">
        <f t="shared" si="456"/>
        <v>0</v>
      </c>
      <c r="N1649" s="90">
        <f t="shared" si="457"/>
        <v>7</v>
      </c>
      <c r="O1649" s="92">
        <f t="shared" si="458"/>
        <v>1300</v>
      </c>
      <c r="P1649" s="92">
        <f t="shared" si="459"/>
        <v>1300</v>
      </c>
      <c r="Q1649" s="92">
        <f t="shared" si="460"/>
        <v>0</v>
      </c>
    </row>
    <row r="1650" hidden="1" outlineLevel="1">
      <c r="A1650" s="58"/>
      <c r="B1650" s="58"/>
      <c r="C1650" s="10"/>
      <c r="D1650" s="129" t="s">
        <v>183</v>
      </c>
      <c r="E1650" s="129" t="s">
        <v>1758</v>
      </c>
      <c r="F1650" s="130">
        <v>150.0</v>
      </c>
      <c r="G1650" s="129"/>
      <c r="H1650" s="44" t="b">
        <v>1</v>
      </c>
      <c r="I1650" s="283" t="s">
        <v>2089</v>
      </c>
      <c r="K1650" s="91" t="s">
        <v>1845</v>
      </c>
      <c r="L1650" s="90">
        <f t="shared" si="455"/>
        <v>2</v>
      </c>
      <c r="M1650" s="90">
        <f t="shared" si="456"/>
        <v>0</v>
      </c>
      <c r="N1650" s="90">
        <f t="shared" si="457"/>
        <v>2</v>
      </c>
      <c r="O1650" s="92">
        <f t="shared" si="458"/>
        <v>400</v>
      </c>
      <c r="P1650" s="92">
        <f t="shared" si="459"/>
        <v>400</v>
      </c>
      <c r="Q1650" s="92">
        <f t="shared" si="460"/>
        <v>0</v>
      </c>
    </row>
    <row r="1651" hidden="1" outlineLevel="1">
      <c r="A1651" s="10"/>
      <c r="B1651" s="10"/>
      <c r="C1651" s="313">
        <v>0.5069444444444444</v>
      </c>
      <c r="D1651" s="129" t="s">
        <v>1636</v>
      </c>
      <c r="E1651" s="129" t="s">
        <v>1758</v>
      </c>
      <c r="F1651" s="130">
        <v>150.0</v>
      </c>
      <c r="G1651" s="129"/>
      <c r="H1651" s="44" t="b">
        <v>1</v>
      </c>
      <c r="K1651" s="91" t="s">
        <v>1846</v>
      </c>
      <c r="L1651" s="90">
        <f t="shared" si="455"/>
        <v>1</v>
      </c>
      <c r="M1651" s="90">
        <f t="shared" si="456"/>
        <v>0</v>
      </c>
      <c r="N1651" s="90">
        <f t="shared" si="457"/>
        <v>1</v>
      </c>
      <c r="O1651" s="92">
        <f t="shared" si="458"/>
        <v>200</v>
      </c>
      <c r="P1651" s="92">
        <f t="shared" si="459"/>
        <v>200</v>
      </c>
      <c r="Q1651" s="92">
        <f t="shared" si="460"/>
        <v>0</v>
      </c>
    </row>
    <row r="1652" hidden="1" outlineLevel="1">
      <c r="A1652" s="102">
        <v>46120.0</v>
      </c>
      <c r="B1652" s="97">
        <f>A1652</f>
        <v>46120</v>
      </c>
      <c r="C1652" s="313">
        <v>0.3333333333333333</v>
      </c>
      <c r="D1652" s="129" t="s">
        <v>1756</v>
      </c>
      <c r="E1652" s="129" t="s">
        <v>1758</v>
      </c>
      <c r="F1652" s="130">
        <v>150.0</v>
      </c>
      <c r="G1652" s="129"/>
      <c r="H1652" s="44" t="b">
        <v>1</v>
      </c>
      <c r="K1652" s="91" t="s">
        <v>1761</v>
      </c>
      <c r="L1652" s="90">
        <f t="shared" si="455"/>
        <v>0</v>
      </c>
      <c r="M1652" s="90">
        <f t="shared" si="456"/>
        <v>0</v>
      </c>
      <c r="N1652" s="90">
        <f t="shared" si="457"/>
        <v>0</v>
      </c>
      <c r="O1652" s="92">
        <f t="shared" si="458"/>
        <v>0</v>
      </c>
      <c r="P1652" s="92">
        <f t="shared" si="459"/>
        <v>0</v>
      </c>
      <c r="Q1652" s="92">
        <f t="shared" si="460"/>
        <v>0</v>
      </c>
    </row>
    <row r="1653" hidden="1" outlineLevel="1">
      <c r="A1653" s="10"/>
      <c r="B1653" s="10"/>
      <c r="C1653" s="313">
        <v>0.5069444444444444</v>
      </c>
      <c r="D1653" s="129" t="s">
        <v>1636</v>
      </c>
      <c r="E1653" s="129" t="s">
        <v>1758</v>
      </c>
      <c r="F1653" s="130">
        <v>150.0</v>
      </c>
      <c r="G1653" s="129"/>
      <c r="H1653" s="44" t="b">
        <v>1</v>
      </c>
      <c r="K1653" s="91" t="s">
        <v>1859</v>
      </c>
      <c r="L1653" s="90">
        <f t="shared" si="455"/>
        <v>1</v>
      </c>
      <c r="M1653" s="90">
        <f t="shared" si="456"/>
        <v>0</v>
      </c>
      <c r="N1653" s="90">
        <f t="shared" si="457"/>
        <v>1</v>
      </c>
      <c r="O1653" s="92">
        <f t="shared" si="458"/>
        <v>200</v>
      </c>
      <c r="P1653" s="92">
        <f t="shared" si="459"/>
        <v>200</v>
      </c>
      <c r="Q1653" s="92">
        <f t="shared" si="460"/>
        <v>0</v>
      </c>
    </row>
    <row r="1654" hidden="1" outlineLevel="1">
      <c r="A1654" s="102">
        <v>46121.0</v>
      </c>
      <c r="B1654" s="97">
        <f>A1654</f>
        <v>46121</v>
      </c>
      <c r="C1654" s="313">
        <v>0.2916666666666667</v>
      </c>
      <c r="D1654" s="129" t="s">
        <v>1756</v>
      </c>
      <c r="E1654" s="129" t="s">
        <v>1758</v>
      </c>
      <c r="F1654" s="130">
        <v>150.0</v>
      </c>
      <c r="G1654" s="129"/>
      <c r="H1654" s="44" t="b">
        <v>1</v>
      </c>
      <c r="K1654" s="91" t="s">
        <v>1855</v>
      </c>
      <c r="L1654" s="90">
        <f t="shared" si="455"/>
        <v>3</v>
      </c>
      <c r="M1654" s="90">
        <f t="shared" si="456"/>
        <v>0</v>
      </c>
      <c r="N1654" s="90">
        <f t="shared" si="457"/>
        <v>3</v>
      </c>
      <c r="O1654" s="92">
        <f t="shared" si="458"/>
        <v>450</v>
      </c>
      <c r="P1654" s="92">
        <f t="shared" si="459"/>
        <v>450</v>
      </c>
      <c r="Q1654" s="92">
        <f t="shared" si="460"/>
        <v>0</v>
      </c>
    </row>
    <row r="1655" hidden="1" outlineLevel="1">
      <c r="A1655" s="10"/>
      <c r="B1655" s="10"/>
      <c r="C1655" s="313">
        <v>0.5069444444444444</v>
      </c>
      <c r="D1655" s="129" t="s">
        <v>562</v>
      </c>
      <c r="E1655" s="129" t="s">
        <v>1758</v>
      </c>
      <c r="F1655" s="130">
        <v>150.0</v>
      </c>
      <c r="G1655" s="129"/>
      <c r="H1655" s="44" t="b">
        <v>1</v>
      </c>
      <c r="K1655" s="276"/>
      <c r="L1655" s="90"/>
      <c r="M1655" s="276"/>
      <c r="N1655" s="276"/>
      <c r="O1655" s="276"/>
      <c r="P1655" s="276"/>
      <c r="Q1655" s="276"/>
    </row>
    <row r="1656" hidden="1" outlineLevel="1">
      <c r="A1656" s="102">
        <v>46122.0</v>
      </c>
      <c r="B1656" s="97">
        <f>A1656</f>
        <v>46122</v>
      </c>
      <c r="C1656" s="398">
        <v>0.2916666666666667</v>
      </c>
      <c r="D1656" s="129" t="s">
        <v>1756</v>
      </c>
      <c r="E1656" s="129" t="s">
        <v>469</v>
      </c>
      <c r="F1656" s="130">
        <v>150.0</v>
      </c>
      <c r="G1656" s="129"/>
      <c r="H1656" s="44" t="b">
        <v>1</v>
      </c>
      <c r="K1656" s="276"/>
      <c r="L1656" s="90"/>
      <c r="M1656" s="276"/>
      <c r="N1656" s="276"/>
      <c r="O1656" s="276"/>
      <c r="P1656" s="276"/>
      <c r="Q1656" s="276"/>
    </row>
    <row r="1657" hidden="1" outlineLevel="1">
      <c r="A1657" s="58"/>
      <c r="B1657" s="58"/>
      <c r="C1657" s="10"/>
      <c r="D1657" s="129" t="s">
        <v>183</v>
      </c>
      <c r="E1657" s="129" t="s">
        <v>1758</v>
      </c>
      <c r="F1657" s="130">
        <v>150.0</v>
      </c>
      <c r="G1657" s="129"/>
      <c r="H1657" s="44" t="b">
        <v>1</v>
      </c>
      <c r="I1657" s="283" t="s">
        <v>2089</v>
      </c>
      <c r="K1657" s="276"/>
      <c r="L1657" s="90"/>
      <c r="M1657" s="276"/>
      <c r="N1657" s="276"/>
      <c r="O1657" s="276"/>
      <c r="P1657" s="276"/>
      <c r="Q1657" s="276"/>
    </row>
    <row r="1658" hidden="1" outlineLevel="1">
      <c r="A1658" s="10"/>
      <c r="B1658" s="10"/>
      <c r="C1658" s="313">
        <v>0.5069444444444444</v>
      </c>
      <c r="D1658" s="129" t="s">
        <v>1636</v>
      </c>
      <c r="E1658" s="129" t="s">
        <v>1758</v>
      </c>
      <c r="F1658" s="130">
        <v>150.0</v>
      </c>
      <c r="G1658" s="129"/>
      <c r="H1658" s="44" t="b">
        <v>1</v>
      </c>
      <c r="K1658" s="91"/>
      <c r="L1658" s="90"/>
      <c r="M1658" s="90"/>
      <c r="N1658" s="90"/>
      <c r="O1658" s="92"/>
      <c r="P1658" s="92"/>
      <c r="Q1658" s="90"/>
    </row>
    <row r="1659" hidden="1" outlineLevel="1">
      <c r="A1659" s="102">
        <v>46123.0</v>
      </c>
      <c r="B1659" s="97">
        <f>A1659</f>
        <v>46123</v>
      </c>
      <c r="C1659" s="313">
        <v>0.3333333333333333</v>
      </c>
      <c r="D1659" s="129" t="s">
        <v>1828</v>
      </c>
      <c r="E1659" s="129" t="s">
        <v>1758</v>
      </c>
      <c r="F1659" s="130">
        <v>150.0</v>
      </c>
      <c r="G1659" s="129"/>
      <c r="H1659" s="44" t="b">
        <v>1</v>
      </c>
      <c r="I1659" s="283" t="s">
        <v>2089</v>
      </c>
      <c r="K1659" s="477" t="s">
        <v>195</v>
      </c>
      <c r="L1659" s="478">
        <f t="shared" ref="L1659:Q1659" si="462">SUM(L1640:L1658)</f>
        <v>57</v>
      </c>
      <c r="M1659" s="478">
        <f t="shared" si="462"/>
        <v>8</v>
      </c>
      <c r="N1659" s="478">
        <f t="shared" si="462"/>
        <v>65</v>
      </c>
      <c r="O1659" s="479">
        <f t="shared" si="462"/>
        <v>10350</v>
      </c>
      <c r="P1659" s="479">
        <f t="shared" si="462"/>
        <v>10350</v>
      </c>
      <c r="Q1659" s="479">
        <f t="shared" si="462"/>
        <v>0</v>
      </c>
    </row>
    <row r="1660" hidden="1" outlineLevel="1">
      <c r="A1660" s="10"/>
      <c r="B1660" s="10"/>
      <c r="C1660" s="313">
        <v>0.3333333333333333</v>
      </c>
      <c r="D1660" s="129" t="s">
        <v>1756</v>
      </c>
      <c r="E1660" s="129" t="s">
        <v>469</v>
      </c>
      <c r="F1660" s="130">
        <v>150.0</v>
      </c>
      <c r="G1660" s="129" t="s">
        <v>1396</v>
      </c>
      <c r="H1660" s="44" t="b">
        <v>1</v>
      </c>
    </row>
    <row r="1661" hidden="1" outlineLevel="1">
      <c r="A1661" s="102">
        <v>46124.0</v>
      </c>
      <c r="B1661" s="97">
        <f>A1661</f>
        <v>46124</v>
      </c>
      <c r="C1661" s="313">
        <v>0.3333333333333333</v>
      </c>
      <c r="D1661" s="129" t="s">
        <v>1828</v>
      </c>
      <c r="E1661" s="129" t="s">
        <v>1758</v>
      </c>
      <c r="F1661" s="130">
        <v>200.0</v>
      </c>
      <c r="G1661" s="129"/>
      <c r="H1661" s="44" t="b">
        <v>1</v>
      </c>
      <c r="I1661" s="283" t="s">
        <v>2089</v>
      </c>
    </row>
    <row r="1662" hidden="1" outlineLevel="1">
      <c r="A1662" s="58"/>
      <c r="B1662" s="58"/>
      <c r="C1662" s="313">
        <v>0.4583333333333333</v>
      </c>
      <c r="D1662" s="129" t="s">
        <v>562</v>
      </c>
      <c r="E1662" s="129" t="s">
        <v>1758</v>
      </c>
      <c r="F1662" s="130">
        <v>200.0</v>
      </c>
      <c r="G1662" s="129"/>
      <c r="H1662" s="44" t="b">
        <v>1</v>
      </c>
      <c r="I1662" s="283" t="s">
        <v>2089</v>
      </c>
    </row>
    <row r="1663" hidden="1" outlineLevel="1">
      <c r="A1663" s="10"/>
      <c r="B1663" s="10"/>
      <c r="C1663" s="313">
        <v>0.7708333333333334</v>
      </c>
      <c r="D1663" s="129" t="s">
        <v>1845</v>
      </c>
      <c r="E1663" s="129" t="s">
        <v>1758</v>
      </c>
      <c r="F1663" s="130">
        <v>200.0</v>
      </c>
      <c r="G1663" s="129"/>
      <c r="H1663" s="44" t="b">
        <v>1</v>
      </c>
      <c r="I1663" s="283" t="s">
        <v>2089</v>
      </c>
    </row>
    <row r="1664" hidden="1" outlineLevel="1">
      <c r="A1664" s="125">
        <v>46125.0</v>
      </c>
      <c r="B1664" s="126">
        <f t="shared" ref="B1664:B1665" si="463">A1664</f>
        <v>46125</v>
      </c>
      <c r="C1664" s="313">
        <v>0.2916666666666667</v>
      </c>
      <c r="D1664" s="129" t="s">
        <v>1756</v>
      </c>
      <c r="E1664" s="129" t="s">
        <v>1758</v>
      </c>
      <c r="F1664" s="130">
        <v>150.0</v>
      </c>
      <c r="G1664" s="129"/>
      <c r="H1664" s="44" t="b">
        <v>1</v>
      </c>
    </row>
    <row r="1665" hidden="1" outlineLevel="1">
      <c r="A1665" s="102">
        <v>46126.0</v>
      </c>
      <c r="B1665" s="97">
        <f t="shared" si="463"/>
        <v>46126</v>
      </c>
      <c r="C1665" s="398">
        <v>0.2916666666666667</v>
      </c>
      <c r="D1665" s="129" t="s">
        <v>1756</v>
      </c>
      <c r="E1665" s="129" t="s">
        <v>469</v>
      </c>
      <c r="F1665" s="130">
        <v>150.0</v>
      </c>
      <c r="G1665" s="129"/>
      <c r="H1665" s="44" t="b">
        <v>1</v>
      </c>
    </row>
    <row r="1666" hidden="1" outlineLevel="1">
      <c r="A1666" s="58"/>
      <c r="B1666" s="58"/>
      <c r="C1666" s="10"/>
      <c r="D1666" s="129" t="s">
        <v>183</v>
      </c>
      <c r="E1666" s="129" t="s">
        <v>1758</v>
      </c>
      <c r="F1666" s="130">
        <v>150.0</v>
      </c>
      <c r="G1666" s="129"/>
      <c r="H1666" s="44" t="b">
        <v>1</v>
      </c>
      <c r="I1666" s="283" t="s">
        <v>2089</v>
      </c>
    </row>
    <row r="1667" hidden="1" outlineLevel="1">
      <c r="A1667" s="10"/>
      <c r="B1667" s="10"/>
      <c r="C1667" s="313">
        <v>0.5069444444444444</v>
      </c>
      <c r="D1667" s="129" t="s">
        <v>1636</v>
      </c>
      <c r="E1667" s="129" t="s">
        <v>1758</v>
      </c>
      <c r="F1667" s="130">
        <v>150.0</v>
      </c>
      <c r="G1667" s="129"/>
      <c r="H1667" s="44" t="b">
        <v>1</v>
      </c>
    </row>
    <row r="1668" hidden="1" outlineLevel="1">
      <c r="A1668" s="102">
        <v>46127.0</v>
      </c>
      <c r="B1668" s="97">
        <f>A1668</f>
        <v>46127</v>
      </c>
      <c r="C1668" s="313">
        <v>0.3333333333333333</v>
      </c>
      <c r="D1668" s="129" t="s">
        <v>1756</v>
      </c>
      <c r="E1668" s="129" t="s">
        <v>1758</v>
      </c>
      <c r="F1668" s="130">
        <v>150.0</v>
      </c>
      <c r="G1668" s="129"/>
      <c r="H1668" s="44" t="b">
        <v>1</v>
      </c>
    </row>
    <row r="1669" hidden="1" outlineLevel="1">
      <c r="A1669" s="10"/>
      <c r="B1669" s="10"/>
      <c r="C1669" s="313">
        <v>0.5069444444444444</v>
      </c>
      <c r="D1669" s="129" t="s">
        <v>1636</v>
      </c>
      <c r="E1669" s="129" t="s">
        <v>1758</v>
      </c>
      <c r="F1669" s="130">
        <v>150.0</v>
      </c>
      <c r="G1669" s="129"/>
      <c r="H1669" s="44" t="b">
        <v>1</v>
      </c>
    </row>
    <row r="1670" hidden="1" outlineLevel="1">
      <c r="A1670" s="102">
        <v>46128.0</v>
      </c>
      <c r="B1670" s="97">
        <f>A1670</f>
        <v>46128</v>
      </c>
      <c r="C1670" s="313">
        <v>0.2916666666666667</v>
      </c>
      <c r="D1670" s="129" t="s">
        <v>1756</v>
      </c>
      <c r="E1670" s="129" t="s">
        <v>1758</v>
      </c>
      <c r="F1670" s="130">
        <v>150.0</v>
      </c>
      <c r="G1670" s="129"/>
      <c r="H1670" s="44" t="b">
        <v>1</v>
      </c>
    </row>
    <row r="1671" hidden="1" outlineLevel="1">
      <c r="A1671" s="10"/>
      <c r="B1671" s="10"/>
      <c r="C1671" s="313">
        <v>0.5069444444444444</v>
      </c>
      <c r="D1671" s="129" t="s">
        <v>562</v>
      </c>
      <c r="E1671" s="129" t="s">
        <v>1758</v>
      </c>
      <c r="F1671" s="130">
        <v>150.0</v>
      </c>
      <c r="G1671" s="129"/>
      <c r="H1671" s="44" t="b">
        <v>1</v>
      </c>
      <c r="I1671" s="283" t="s">
        <v>2089</v>
      </c>
    </row>
    <row r="1672" hidden="1" outlineLevel="1">
      <c r="A1672" s="102">
        <v>46129.0</v>
      </c>
      <c r="B1672" s="97">
        <f>A1672</f>
        <v>46129</v>
      </c>
      <c r="C1672" s="398">
        <v>0.2916666666666667</v>
      </c>
      <c r="D1672" s="129" t="s">
        <v>1756</v>
      </c>
      <c r="E1672" s="129" t="s">
        <v>469</v>
      </c>
      <c r="F1672" s="130">
        <v>150.0</v>
      </c>
      <c r="G1672" s="129"/>
      <c r="H1672" s="44" t="b">
        <v>1</v>
      </c>
    </row>
    <row r="1673" hidden="1" outlineLevel="1">
      <c r="A1673" s="58"/>
      <c r="B1673" s="58"/>
      <c r="C1673" s="10"/>
      <c r="D1673" s="129" t="s">
        <v>183</v>
      </c>
      <c r="E1673" s="129" t="s">
        <v>1758</v>
      </c>
      <c r="F1673" s="130">
        <v>150.0</v>
      </c>
      <c r="G1673" s="129"/>
      <c r="H1673" s="44" t="b">
        <v>1</v>
      </c>
      <c r="I1673" s="283" t="s">
        <v>2089</v>
      </c>
    </row>
    <row r="1674" hidden="1" outlineLevel="1">
      <c r="A1674" s="10"/>
      <c r="B1674" s="10"/>
      <c r="C1674" s="313">
        <v>0.5069444444444444</v>
      </c>
      <c r="D1674" s="129" t="s">
        <v>1636</v>
      </c>
      <c r="E1674" s="129" t="s">
        <v>1758</v>
      </c>
      <c r="F1674" s="130">
        <v>150.0</v>
      </c>
      <c r="G1674" s="129"/>
      <c r="H1674" s="44" t="b">
        <v>1</v>
      </c>
    </row>
    <row r="1675" hidden="1" outlineLevel="1">
      <c r="A1675" s="125">
        <v>46130.0</v>
      </c>
      <c r="B1675" s="126">
        <f t="shared" ref="B1675:B1676" si="464">A1675</f>
        <v>46130</v>
      </c>
      <c r="C1675" s="313">
        <v>0.3333333333333333</v>
      </c>
      <c r="D1675" s="129" t="s">
        <v>1756</v>
      </c>
      <c r="E1675" s="129" t="s">
        <v>1758</v>
      </c>
      <c r="F1675" s="130">
        <v>150.0</v>
      </c>
      <c r="G1675" s="129"/>
      <c r="H1675" s="44" t="b">
        <v>1</v>
      </c>
    </row>
    <row r="1676" hidden="1" outlineLevel="1">
      <c r="A1676" s="102">
        <v>46131.0</v>
      </c>
      <c r="B1676" s="97">
        <f t="shared" si="464"/>
        <v>46131</v>
      </c>
      <c r="C1676" s="313">
        <v>0.3333333333333333</v>
      </c>
      <c r="D1676" s="129" t="s">
        <v>1828</v>
      </c>
      <c r="E1676" s="129" t="s">
        <v>1758</v>
      </c>
      <c r="F1676" s="130">
        <v>200.0</v>
      </c>
      <c r="G1676" s="129"/>
      <c r="H1676" s="44" t="b">
        <v>1</v>
      </c>
      <c r="I1676" s="283" t="s">
        <v>2089</v>
      </c>
    </row>
    <row r="1677" hidden="1" outlineLevel="1">
      <c r="A1677" s="58"/>
      <c r="B1677" s="58"/>
      <c r="C1677" s="313">
        <v>0.4583333333333333</v>
      </c>
      <c r="D1677" s="129" t="s">
        <v>1857</v>
      </c>
      <c r="E1677" s="129" t="s">
        <v>1758</v>
      </c>
      <c r="F1677" s="130">
        <v>200.0</v>
      </c>
      <c r="G1677" s="129"/>
      <c r="H1677" s="44" t="b">
        <v>1</v>
      </c>
      <c r="I1677" s="283" t="s">
        <v>2089</v>
      </c>
    </row>
    <row r="1678" hidden="1" outlineLevel="1">
      <c r="A1678" s="10"/>
      <c r="B1678" s="10"/>
      <c r="C1678" s="313">
        <v>0.7708333333333334</v>
      </c>
      <c r="D1678" s="129" t="s">
        <v>1845</v>
      </c>
      <c r="E1678" s="129" t="s">
        <v>1758</v>
      </c>
      <c r="F1678" s="130">
        <v>200.0</v>
      </c>
      <c r="G1678" s="129"/>
      <c r="H1678" s="44" t="b">
        <v>1</v>
      </c>
      <c r="I1678" s="283" t="s">
        <v>2089</v>
      </c>
    </row>
    <row r="1679" hidden="1" outlineLevel="1">
      <c r="A1679" s="102">
        <v>46132.0</v>
      </c>
      <c r="B1679" s="97">
        <f>A1679</f>
        <v>46132</v>
      </c>
      <c r="C1679" s="313">
        <v>0.2916666666666667</v>
      </c>
      <c r="D1679" s="129" t="s">
        <v>1855</v>
      </c>
      <c r="E1679" s="129" t="s">
        <v>1758</v>
      </c>
      <c r="F1679" s="130">
        <v>150.0</v>
      </c>
      <c r="G1679" s="129"/>
      <c r="H1679" s="44" t="b">
        <v>1</v>
      </c>
      <c r="I1679" s="283" t="s">
        <v>2089</v>
      </c>
    </row>
    <row r="1680" hidden="1" outlineLevel="1">
      <c r="A1680" s="10"/>
      <c r="B1680" s="10"/>
      <c r="C1680" s="313">
        <v>0.5069444444444444</v>
      </c>
      <c r="D1680" s="129" t="s">
        <v>1636</v>
      </c>
      <c r="E1680" s="129" t="s">
        <v>1758</v>
      </c>
      <c r="F1680" s="130">
        <v>150.0</v>
      </c>
      <c r="G1680" s="129"/>
      <c r="H1680" s="44" t="b">
        <v>1</v>
      </c>
    </row>
    <row r="1681" hidden="1" outlineLevel="1">
      <c r="A1681" s="102">
        <v>46133.0</v>
      </c>
      <c r="B1681" s="97">
        <f>A1681</f>
        <v>46133</v>
      </c>
      <c r="C1681" s="398">
        <v>0.2916666666666667</v>
      </c>
      <c r="D1681" s="129" t="s">
        <v>1756</v>
      </c>
      <c r="E1681" s="129" t="s">
        <v>469</v>
      </c>
      <c r="F1681" s="130">
        <v>150.0</v>
      </c>
      <c r="G1681" s="129"/>
      <c r="H1681" s="44" t="b">
        <v>1</v>
      </c>
    </row>
    <row r="1682" hidden="1" outlineLevel="1">
      <c r="A1682" s="10"/>
      <c r="B1682" s="10"/>
      <c r="C1682" s="10"/>
      <c r="D1682" s="129" t="s">
        <v>183</v>
      </c>
      <c r="E1682" s="129" t="s">
        <v>1758</v>
      </c>
      <c r="F1682" s="130">
        <v>150.0</v>
      </c>
      <c r="G1682" s="129"/>
      <c r="H1682" s="44" t="b">
        <v>1</v>
      </c>
      <c r="I1682" s="283" t="s">
        <v>2089</v>
      </c>
    </row>
    <row r="1683" hidden="1" outlineLevel="1">
      <c r="A1683" s="102">
        <v>46134.0</v>
      </c>
      <c r="B1683" s="97">
        <f>A1683</f>
        <v>46134</v>
      </c>
      <c r="C1683" s="313">
        <v>0.3333333333333333</v>
      </c>
      <c r="D1683" s="129" t="s">
        <v>1756</v>
      </c>
      <c r="E1683" s="129" t="s">
        <v>1758</v>
      </c>
      <c r="F1683" s="130">
        <v>150.0</v>
      </c>
      <c r="G1683" s="129"/>
      <c r="H1683" s="44" t="b">
        <v>1</v>
      </c>
    </row>
    <row r="1684" hidden="1" outlineLevel="1">
      <c r="A1684" s="10"/>
      <c r="B1684" s="10"/>
      <c r="C1684" s="313">
        <v>0.5069444444444444</v>
      </c>
      <c r="D1684" s="129" t="s">
        <v>1636</v>
      </c>
      <c r="E1684" s="129" t="s">
        <v>1758</v>
      </c>
      <c r="F1684" s="130">
        <v>150.0</v>
      </c>
      <c r="G1684" s="129"/>
      <c r="H1684" s="44" t="b">
        <v>1</v>
      </c>
    </row>
    <row r="1685" hidden="1" outlineLevel="1">
      <c r="A1685" s="102">
        <v>46135.0</v>
      </c>
      <c r="B1685" s="97">
        <f>A1685</f>
        <v>46135</v>
      </c>
      <c r="C1685" s="313">
        <v>0.2916666666666667</v>
      </c>
      <c r="D1685" s="129" t="s">
        <v>1756</v>
      </c>
      <c r="E1685" s="129" t="s">
        <v>1758</v>
      </c>
      <c r="F1685" s="130">
        <v>150.0</v>
      </c>
      <c r="G1685" s="129"/>
      <c r="H1685" s="44" t="b">
        <v>1</v>
      </c>
    </row>
    <row r="1686" hidden="1" outlineLevel="1">
      <c r="A1686" s="10"/>
      <c r="B1686" s="10"/>
      <c r="C1686" s="313">
        <v>0.5069444444444444</v>
      </c>
      <c r="D1686" s="129" t="s">
        <v>562</v>
      </c>
      <c r="E1686" s="129" t="s">
        <v>1758</v>
      </c>
      <c r="F1686" s="130">
        <v>150.0</v>
      </c>
      <c r="G1686" s="129"/>
      <c r="H1686" s="44" t="b">
        <v>1</v>
      </c>
      <c r="I1686" s="283" t="s">
        <v>2089</v>
      </c>
    </row>
    <row r="1687" hidden="1" outlineLevel="1">
      <c r="A1687" s="102">
        <v>46136.0</v>
      </c>
      <c r="B1687" s="97">
        <f>A1687</f>
        <v>46136</v>
      </c>
      <c r="C1687" s="398">
        <v>0.2916666666666667</v>
      </c>
      <c r="D1687" s="129" t="s">
        <v>1756</v>
      </c>
      <c r="E1687" s="129" t="s">
        <v>469</v>
      </c>
      <c r="F1687" s="130">
        <v>150.0</v>
      </c>
      <c r="G1687" s="129"/>
      <c r="H1687" s="44" t="b">
        <v>1</v>
      </c>
    </row>
    <row r="1688" hidden="1" outlineLevel="1">
      <c r="A1688" s="58"/>
      <c r="B1688" s="58"/>
      <c r="C1688" s="10"/>
      <c r="D1688" s="129" t="s">
        <v>183</v>
      </c>
      <c r="E1688" s="129" t="s">
        <v>1758</v>
      </c>
      <c r="F1688" s="130">
        <v>150.0</v>
      </c>
      <c r="G1688" s="129"/>
      <c r="H1688" s="44" t="b">
        <v>1</v>
      </c>
      <c r="I1688" s="283" t="s">
        <v>2089</v>
      </c>
    </row>
    <row r="1689" hidden="1" outlineLevel="1">
      <c r="A1689" s="10"/>
      <c r="B1689" s="10"/>
      <c r="C1689" s="313">
        <v>0.5069444444444444</v>
      </c>
      <c r="D1689" s="129" t="s">
        <v>1636</v>
      </c>
      <c r="E1689" s="129" t="s">
        <v>1758</v>
      </c>
      <c r="F1689" s="130">
        <v>150.0</v>
      </c>
      <c r="G1689" s="129"/>
      <c r="H1689" s="44" t="b">
        <v>1</v>
      </c>
    </row>
    <row r="1690" hidden="1" outlineLevel="1">
      <c r="A1690" s="125">
        <v>46137.0</v>
      </c>
      <c r="B1690" s="126">
        <f t="shared" ref="B1690:B1691" si="465">A1690</f>
        <v>46137</v>
      </c>
      <c r="C1690" s="313">
        <v>0.3333333333333333</v>
      </c>
      <c r="D1690" s="129" t="s">
        <v>1756</v>
      </c>
      <c r="E1690" s="129" t="s">
        <v>1758</v>
      </c>
      <c r="F1690" s="130">
        <v>150.0</v>
      </c>
      <c r="G1690" s="129"/>
      <c r="H1690" s="44" t="b">
        <v>1</v>
      </c>
    </row>
    <row r="1691" hidden="1" outlineLevel="1">
      <c r="A1691" s="102">
        <v>46138.0</v>
      </c>
      <c r="B1691" s="97">
        <f t="shared" si="465"/>
        <v>46138</v>
      </c>
      <c r="C1691" s="313">
        <v>0.3333333333333333</v>
      </c>
      <c r="D1691" s="129" t="s">
        <v>1828</v>
      </c>
      <c r="E1691" s="129" t="s">
        <v>1758</v>
      </c>
      <c r="F1691" s="130">
        <v>200.0</v>
      </c>
      <c r="G1691" s="129"/>
      <c r="H1691" s="44" t="b">
        <v>1</v>
      </c>
      <c r="I1691" s="283" t="s">
        <v>2089</v>
      </c>
    </row>
    <row r="1692" hidden="1" outlineLevel="1">
      <c r="A1692" s="58"/>
      <c r="B1692" s="58"/>
      <c r="C1692" s="313">
        <v>0.4583333333333333</v>
      </c>
      <c r="D1692" s="129" t="s">
        <v>562</v>
      </c>
      <c r="E1692" s="129" t="s">
        <v>1758</v>
      </c>
      <c r="F1692" s="130">
        <v>200.0</v>
      </c>
      <c r="G1692" s="129"/>
      <c r="H1692" s="44" t="b">
        <v>1</v>
      </c>
      <c r="I1692" s="283" t="s">
        <v>2089</v>
      </c>
    </row>
    <row r="1693" hidden="1" outlineLevel="1">
      <c r="A1693" s="10"/>
      <c r="B1693" s="10"/>
      <c r="C1693" s="313">
        <v>0.7708333333333334</v>
      </c>
      <c r="D1693" s="129" t="s">
        <v>1859</v>
      </c>
      <c r="E1693" s="129" t="s">
        <v>1758</v>
      </c>
      <c r="F1693" s="130">
        <v>200.0</v>
      </c>
      <c r="G1693" s="129"/>
      <c r="H1693" s="44" t="b">
        <v>1</v>
      </c>
      <c r="I1693" s="283" t="s">
        <v>2089</v>
      </c>
    </row>
    <row r="1694" hidden="1" outlineLevel="1">
      <c r="A1694" s="102">
        <v>46139.0</v>
      </c>
      <c r="B1694" s="97">
        <f>A1694</f>
        <v>46139</v>
      </c>
      <c r="C1694" s="313">
        <v>0.2916666666666667</v>
      </c>
      <c r="D1694" s="129" t="s">
        <v>1855</v>
      </c>
      <c r="E1694" s="129" t="s">
        <v>1758</v>
      </c>
      <c r="F1694" s="130">
        <v>150.0</v>
      </c>
      <c r="G1694" s="129"/>
      <c r="H1694" s="44" t="b">
        <v>1</v>
      </c>
      <c r="I1694" s="283" t="s">
        <v>2089</v>
      </c>
    </row>
    <row r="1695" hidden="1" outlineLevel="1">
      <c r="A1695" s="10"/>
      <c r="B1695" s="10"/>
      <c r="C1695" s="313">
        <v>0.5069444444444444</v>
      </c>
      <c r="D1695" s="129" t="s">
        <v>1636</v>
      </c>
      <c r="E1695" s="129" t="s">
        <v>1758</v>
      </c>
      <c r="F1695" s="130">
        <v>150.0</v>
      </c>
      <c r="G1695" s="129"/>
      <c r="H1695" s="44" t="b">
        <v>1</v>
      </c>
    </row>
    <row r="1696" hidden="1" outlineLevel="1">
      <c r="A1696" s="102">
        <v>46140.0</v>
      </c>
      <c r="B1696" s="97">
        <f>A1696</f>
        <v>46140</v>
      </c>
      <c r="C1696" s="398">
        <v>0.2916666666666667</v>
      </c>
      <c r="D1696" s="129" t="s">
        <v>1756</v>
      </c>
      <c r="E1696" s="129" t="s">
        <v>469</v>
      </c>
      <c r="F1696" s="130">
        <v>150.0</v>
      </c>
      <c r="G1696" s="129"/>
      <c r="H1696" s="44" t="b">
        <v>1</v>
      </c>
    </row>
    <row r="1697" hidden="1" outlineLevel="1">
      <c r="A1697" s="58"/>
      <c r="B1697" s="58"/>
      <c r="C1697" s="10"/>
      <c r="D1697" s="129" t="s">
        <v>183</v>
      </c>
      <c r="E1697" s="129" t="s">
        <v>1758</v>
      </c>
      <c r="F1697" s="130">
        <v>150.0</v>
      </c>
      <c r="G1697" s="129"/>
      <c r="H1697" s="44" t="b">
        <v>1</v>
      </c>
      <c r="I1697" s="283" t="s">
        <v>2089</v>
      </c>
    </row>
    <row r="1698" hidden="1" outlineLevel="1">
      <c r="A1698" s="10"/>
      <c r="B1698" s="10"/>
      <c r="C1698" s="313">
        <v>0.5069444444444444</v>
      </c>
      <c r="D1698" s="129" t="s">
        <v>1636</v>
      </c>
      <c r="E1698" s="129" t="s">
        <v>1758</v>
      </c>
      <c r="F1698" s="130">
        <v>150.0</v>
      </c>
      <c r="G1698" s="129"/>
      <c r="H1698" s="44" t="b">
        <v>1</v>
      </c>
    </row>
    <row r="1699" hidden="1" outlineLevel="1">
      <c r="A1699" s="102">
        <v>46141.0</v>
      </c>
      <c r="B1699" s="97">
        <f>A1699</f>
        <v>46141</v>
      </c>
      <c r="C1699" s="313">
        <v>0.3333333333333333</v>
      </c>
      <c r="D1699" s="129" t="s">
        <v>1756</v>
      </c>
      <c r="E1699" s="129" t="s">
        <v>1758</v>
      </c>
      <c r="F1699" s="130">
        <v>150.0</v>
      </c>
      <c r="G1699" s="129"/>
      <c r="H1699" s="44" t="b">
        <v>1</v>
      </c>
    </row>
    <row r="1700" hidden="1" outlineLevel="1">
      <c r="A1700" s="10"/>
      <c r="B1700" s="10"/>
      <c r="C1700" s="313">
        <v>0.5069444444444444</v>
      </c>
      <c r="D1700" s="129" t="s">
        <v>1636</v>
      </c>
      <c r="E1700" s="129" t="s">
        <v>1758</v>
      </c>
      <c r="F1700" s="130">
        <v>150.0</v>
      </c>
      <c r="G1700" s="129"/>
      <c r="H1700" s="44" t="b">
        <v>1</v>
      </c>
    </row>
    <row r="1701" hidden="1" outlineLevel="1">
      <c r="A1701" s="102">
        <v>46142.0</v>
      </c>
      <c r="B1701" s="97">
        <f>A1701</f>
        <v>46142</v>
      </c>
      <c r="C1701" s="313">
        <v>0.2916666666666667</v>
      </c>
      <c r="D1701" s="129" t="s">
        <v>1756</v>
      </c>
      <c r="E1701" s="129" t="s">
        <v>1758</v>
      </c>
      <c r="F1701" s="130">
        <v>150.0</v>
      </c>
      <c r="G1701" s="129"/>
      <c r="H1701" s="44" t="b">
        <v>1</v>
      </c>
    </row>
    <row r="1702" hidden="1" outlineLevel="1">
      <c r="A1702" s="10"/>
      <c r="B1702" s="10"/>
      <c r="C1702" s="313">
        <v>0.5069444444444444</v>
      </c>
      <c r="D1702" s="129" t="s">
        <v>562</v>
      </c>
      <c r="E1702" s="129" t="s">
        <v>1758</v>
      </c>
      <c r="F1702" s="130">
        <v>150.0</v>
      </c>
      <c r="G1702" s="129"/>
      <c r="H1702" s="44" t="b">
        <v>1</v>
      </c>
      <c r="I1702" s="283" t="s">
        <v>2089</v>
      </c>
    </row>
    <row r="1703">
      <c r="A1703" s="484" t="s">
        <v>195</v>
      </c>
      <c r="B1703" s="27"/>
      <c r="C1703" s="27"/>
      <c r="D1703" s="27"/>
      <c r="E1703" s="28"/>
      <c r="F1703" s="485">
        <f>SUM(F1638:F1702)</f>
        <v>10350</v>
      </c>
      <c r="G1703" s="486"/>
      <c r="H1703" s="28"/>
    </row>
    <row r="1704" collapsed="1">
      <c r="A1704" s="339" t="s">
        <v>1587</v>
      </c>
      <c r="B1704" s="246"/>
      <c r="C1704" s="246"/>
      <c r="D1704" s="246"/>
      <c r="E1704" s="246"/>
      <c r="F1704" s="246"/>
      <c r="G1704" s="246"/>
      <c r="H1704" s="247"/>
    </row>
    <row r="1705" hidden="1" outlineLevel="1">
      <c r="A1705" s="102">
        <v>46143.0</v>
      </c>
      <c r="B1705" s="97">
        <f>A1705</f>
        <v>46143</v>
      </c>
      <c r="C1705" s="398">
        <v>0.2916666666666667</v>
      </c>
      <c r="D1705" s="129" t="s">
        <v>1756</v>
      </c>
      <c r="E1705" s="129" t="s">
        <v>469</v>
      </c>
      <c r="F1705" s="130">
        <v>150.0</v>
      </c>
      <c r="G1705" s="129"/>
      <c r="H1705" s="44" t="b">
        <v>1</v>
      </c>
      <c r="K1705" s="440" t="s">
        <v>2093</v>
      </c>
      <c r="L1705" s="27"/>
      <c r="M1705" s="27"/>
      <c r="N1705" s="27"/>
      <c r="O1705" s="27"/>
      <c r="P1705" s="572">
        <v>46143.0</v>
      </c>
      <c r="Q1705" s="573">
        <v>46173.0</v>
      </c>
    </row>
    <row r="1706" hidden="1" outlineLevel="1">
      <c r="A1706" s="58"/>
      <c r="B1706" s="58"/>
      <c r="C1706" s="10"/>
      <c r="D1706" s="129" t="s">
        <v>183</v>
      </c>
      <c r="E1706" s="129" t="s">
        <v>1758</v>
      </c>
      <c r="F1706" s="130">
        <v>150.0</v>
      </c>
      <c r="G1706" s="129"/>
      <c r="H1706" s="44" t="b">
        <v>1</v>
      </c>
      <c r="I1706" s="283" t="s">
        <v>2089</v>
      </c>
      <c r="K1706" s="441" t="s">
        <v>1749</v>
      </c>
      <c r="L1706" s="441" t="s">
        <v>1758</v>
      </c>
      <c r="M1706" s="441" t="s">
        <v>469</v>
      </c>
      <c r="N1706" s="441" t="s">
        <v>195</v>
      </c>
      <c r="O1706" s="441" t="s">
        <v>1764</v>
      </c>
      <c r="P1706" s="441" t="s">
        <v>1765</v>
      </c>
      <c r="Q1706" s="441" t="s">
        <v>1766</v>
      </c>
    </row>
    <row r="1707" hidden="1" outlineLevel="1">
      <c r="A1707" s="10"/>
      <c r="B1707" s="10"/>
      <c r="C1707" s="313">
        <v>0.5069444444444444</v>
      </c>
      <c r="D1707" s="129" t="s">
        <v>1842</v>
      </c>
      <c r="E1707" s="129" t="s">
        <v>1758</v>
      </c>
      <c r="F1707" s="130">
        <v>0.0</v>
      </c>
      <c r="G1707" s="304" t="s">
        <v>2094</v>
      </c>
      <c r="H1707" s="44" t="b">
        <v>1</v>
      </c>
      <c r="K1707" s="91" t="s">
        <v>1756</v>
      </c>
      <c r="L1707" s="90">
        <f t="shared" ref="L1707:L1722" si="466">COUNTIFS($D$1705:$D$1776, $K1707,$E$1705:$E$1776,$L$1706)</f>
        <v>12</v>
      </c>
      <c r="M1707" s="90">
        <f t="shared" ref="M1707:M1722" si="467">COUNTIFS($D$1705:$D$1776, $K1707,$E$1705:$E$1776,$M$1706)</f>
        <v>10</v>
      </c>
      <c r="N1707" s="90">
        <f t="shared" ref="N1707:N1722" si="468">L1707+M1707</f>
        <v>22</v>
      </c>
      <c r="O1707" s="92">
        <f t="shared" ref="O1707:O1722" si="469">SUMIFS($F$1705:$F$1776,$D$1705:$D$1776,$K1707)</f>
        <v>3300</v>
      </c>
      <c r="P1707" s="92">
        <f t="shared" ref="P1707:P1722" si="470">SUMIFS($F$1705:$F$1776,$D$1705:$D$1776,$K1707,$H$1705:$H$1776,TRUE())</f>
        <v>3300</v>
      </c>
      <c r="Q1707" s="92">
        <f t="shared" ref="Q1707:Q1722" si="471">O1707-P1707</f>
        <v>0</v>
      </c>
    </row>
    <row r="1708" hidden="1" outlineLevel="1">
      <c r="A1708" s="102">
        <v>46144.0</v>
      </c>
      <c r="B1708" s="97">
        <f>A1708</f>
        <v>46144</v>
      </c>
      <c r="C1708" s="313">
        <v>0.3333333333333333</v>
      </c>
      <c r="D1708" s="129" t="s">
        <v>1828</v>
      </c>
      <c r="E1708" s="129" t="s">
        <v>1758</v>
      </c>
      <c r="F1708" s="130">
        <v>150.0</v>
      </c>
      <c r="G1708" s="129"/>
      <c r="H1708" s="44" t="b">
        <v>1</v>
      </c>
      <c r="I1708" s="283" t="s">
        <v>2089</v>
      </c>
      <c r="K1708" s="91" t="s">
        <v>1636</v>
      </c>
      <c r="L1708" s="90">
        <f t="shared" si="466"/>
        <v>16</v>
      </c>
      <c r="M1708" s="90">
        <f t="shared" si="467"/>
        <v>0</v>
      </c>
      <c r="N1708" s="90">
        <f t="shared" si="468"/>
        <v>16</v>
      </c>
      <c r="O1708" s="92">
        <f t="shared" si="469"/>
        <v>2400</v>
      </c>
      <c r="P1708" s="92">
        <f t="shared" si="470"/>
        <v>2400</v>
      </c>
      <c r="Q1708" s="92">
        <f t="shared" si="471"/>
        <v>0</v>
      </c>
    </row>
    <row r="1709" hidden="1" outlineLevel="1">
      <c r="A1709" s="10"/>
      <c r="B1709" s="10"/>
      <c r="C1709" s="313">
        <v>0.3333333333333333</v>
      </c>
      <c r="D1709" s="129" t="s">
        <v>1756</v>
      </c>
      <c r="E1709" s="129" t="s">
        <v>469</v>
      </c>
      <c r="F1709" s="130">
        <v>150.0</v>
      </c>
      <c r="G1709" s="129" t="s">
        <v>1396</v>
      </c>
      <c r="H1709" s="44" t="b">
        <v>1</v>
      </c>
      <c r="I1709" s="283" t="s">
        <v>2089</v>
      </c>
      <c r="K1709" s="91" t="s">
        <v>1818</v>
      </c>
      <c r="L1709" s="90">
        <f t="shared" si="466"/>
        <v>0</v>
      </c>
      <c r="M1709" s="90">
        <f t="shared" si="467"/>
        <v>0</v>
      </c>
      <c r="N1709" s="90">
        <f t="shared" si="468"/>
        <v>0</v>
      </c>
      <c r="O1709" s="92">
        <f t="shared" si="469"/>
        <v>0</v>
      </c>
      <c r="P1709" s="92">
        <f t="shared" si="470"/>
        <v>0</v>
      </c>
      <c r="Q1709" s="92">
        <f t="shared" si="471"/>
        <v>0</v>
      </c>
    </row>
    <row r="1710" hidden="1" outlineLevel="1">
      <c r="A1710" s="102">
        <v>46145.0</v>
      </c>
      <c r="B1710" s="97">
        <f>A1710</f>
        <v>46145</v>
      </c>
      <c r="C1710" s="313">
        <v>0.3333333333333333</v>
      </c>
      <c r="D1710" s="129" t="s">
        <v>1828</v>
      </c>
      <c r="E1710" s="129" t="s">
        <v>1758</v>
      </c>
      <c r="F1710" s="130">
        <v>200.0</v>
      </c>
      <c r="G1710" s="129"/>
      <c r="H1710" s="44" t="b">
        <v>1</v>
      </c>
      <c r="I1710" s="283" t="s">
        <v>2089</v>
      </c>
      <c r="K1710" s="91" t="s">
        <v>1840</v>
      </c>
      <c r="L1710" s="90">
        <f t="shared" si="466"/>
        <v>1</v>
      </c>
      <c r="M1710" s="90">
        <f t="shared" si="467"/>
        <v>0</v>
      </c>
      <c r="N1710" s="90">
        <f t="shared" si="468"/>
        <v>1</v>
      </c>
      <c r="O1710" s="92">
        <f t="shared" si="469"/>
        <v>200</v>
      </c>
      <c r="P1710" s="92">
        <f t="shared" si="470"/>
        <v>200</v>
      </c>
      <c r="Q1710" s="92">
        <f t="shared" si="471"/>
        <v>0</v>
      </c>
    </row>
    <row r="1711" hidden="1" outlineLevel="1">
      <c r="A1711" s="58"/>
      <c r="B1711" s="58"/>
      <c r="C1711" s="313">
        <v>0.4583333333333333</v>
      </c>
      <c r="D1711" s="129" t="s">
        <v>1857</v>
      </c>
      <c r="E1711" s="129" t="s">
        <v>1758</v>
      </c>
      <c r="F1711" s="130">
        <v>200.0</v>
      </c>
      <c r="G1711" s="129"/>
      <c r="H1711" s="44" t="b">
        <v>1</v>
      </c>
      <c r="K1711" s="91" t="s">
        <v>183</v>
      </c>
      <c r="L1711" s="90">
        <f t="shared" si="466"/>
        <v>8</v>
      </c>
      <c r="M1711" s="90">
        <f t="shared" si="467"/>
        <v>0</v>
      </c>
      <c r="N1711" s="90">
        <f t="shared" si="468"/>
        <v>8</v>
      </c>
      <c r="O1711" s="92">
        <f t="shared" si="469"/>
        <v>1200</v>
      </c>
      <c r="P1711" s="92">
        <f t="shared" si="470"/>
        <v>1200</v>
      </c>
      <c r="Q1711" s="92">
        <f t="shared" si="471"/>
        <v>0</v>
      </c>
    </row>
    <row r="1712" hidden="1" outlineLevel="1">
      <c r="A1712" s="10"/>
      <c r="B1712" s="10"/>
      <c r="C1712" s="313">
        <v>0.7708333333333334</v>
      </c>
      <c r="D1712" s="129" t="s">
        <v>1840</v>
      </c>
      <c r="E1712" s="129" t="s">
        <v>1758</v>
      </c>
      <c r="F1712" s="130">
        <v>200.0</v>
      </c>
      <c r="G1712" s="129"/>
      <c r="H1712" s="44" t="b">
        <v>1</v>
      </c>
      <c r="K1712" s="91" t="s">
        <v>1848</v>
      </c>
      <c r="L1712" s="90">
        <f t="shared" si="466"/>
        <v>0</v>
      </c>
      <c r="M1712" s="90">
        <f t="shared" si="467"/>
        <v>0</v>
      </c>
      <c r="N1712" s="90">
        <f t="shared" si="468"/>
        <v>0</v>
      </c>
      <c r="O1712" s="92">
        <f t="shared" si="469"/>
        <v>0</v>
      </c>
      <c r="P1712" s="92">
        <f t="shared" si="470"/>
        <v>0</v>
      </c>
      <c r="Q1712" s="92">
        <f t="shared" si="471"/>
        <v>0</v>
      </c>
    </row>
    <row r="1713" hidden="1" outlineLevel="1">
      <c r="A1713" s="102">
        <v>46146.0</v>
      </c>
      <c r="B1713" s="97">
        <f>A1713</f>
        <v>46146</v>
      </c>
      <c r="C1713" s="313">
        <v>0.2916666666666667</v>
      </c>
      <c r="D1713" s="129" t="s">
        <v>1855</v>
      </c>
      <c r="E1713" s="129" t="s">
        <v>1758</v>
      </c>
      <c r="F1713" s="130">
        <v>150.0</v>
      </c>
      <c r="G1713" s="129"/>
      <c r="H1713" s="44" t="b">
        <v>1</v>
      </c>
      <c r="I1713" s="283" t="s">
        <v>2089</v>
      </c>
      <c r="K1713" s="91" t="s">
        <v>1857</v>
      </c>
      <c r="L1713" s="90">
        <f t="shared" si="466"/>
        <v>3</v>
      </c>
      <c r="M1713" s="90">
        <f t="shared" si="467"/>
        <v>0</v>
      </c>
      <c r="N1713" s="90">
        <f t="shared" si="468"/>
        <v>3</v>
      </c>
      <c r="O1713" s="92">
        <f t="shared" si="469"/>
        <v>600</v>
      </c>
      <c r="P1713" s="92">
        <f t="shared" si="470"/>
        <v>600</v>
      </c>
      <c r="Q1713" s="92">
        <f t="shared" si="471"/>
        <v>0</v>
      </c>
    </row>
    <row r="1714" hidden="1" outlineLevel="1">
      <c r="A1714" s="10"/>
      <c r="B1714" s="10"/>
      <c r="C1714" s="313">
        <v>0.5069444444444444</v>
      </c>
      <c r="D1714" s="129" t="s">
        <v>1636</v>
      </c>
      <c r="E1714" s="129" t="s">
        <v>1758</v>
      </c>
      <c r="F1714" s="130">
        <v>150.0</v>
      </c>
      <c r="G1714" s="129"/>
      <c r="H1714" s="44" t="b">
        <v>1</v>
      </c>
      <c r="K1714" s="91" t="s">
        <v>1842</v>
      </c>
      <c r="L1714" s="90">
        <f t="shared" si="466"/>
        <v>1</v>
      </c>
      <c r="M1714" s="90">
        <f t="shared" si="467"/>
        <v>0</v>
      </c>
      <c r="N1714" s="90">
        <f t="shared" si="468"/>
        <v>1</v>
      </c>
      <c r="O1714" s="92">
        <f t="shared" si="469"/>
        <v>0</v>
      </c>
      <c r="P1714" s="92">
        <f t="shared" si="470"/>
        <v>0</v>
      </c>
      <c r="Q1714" s="92">
        <f t="shared" si="471"/>
        <v>0</v>
      </c>
    </row>
    <row r="1715" hidden="1" outlineLevel="1">
      <c r="A1715" s="102">
        <v>46147.0</v>
      </c>
      <c r="B1715" s="97">
        <f>A1715</f>
        <v>46147</v>
      </c>
      <c r="C1715" s="398">
        <v>0.2916666666666667</v>
      </c>
      <c r="D1715" s="129" t="s">
        <v>1756</v>
      </c>
      <c r="E1715" s="129" t="s">
        <v>469</v>
      </c>
      <c r="F1715" s="130">
        <v>150.0</v>
      </c>
      <c r="G1715" s="129"/>
      <c r="H1715" s="44" t="b">
        <v>1</v>
      </c>
      <c r="K1715" s="91" t="s">
        <v>562</v>
      </c>
      <c r="L1715" s="90">
        <f t="shared" si="466"/>
        <v>6</v>
      </c>
      <c r="M1715" s="90">
        <f t="shared" si="467"/>
        <v>0</v>
      </c>
      <c r="N1715" s="90">
        <f t="shared" si="468"/>
        <v>6</v>
      </c>
      <c r="O1715" s="92">
        <f t="shared" si="469"/>
        <v>1000</v>
      </c>
      <c r="P1715" s="92">
        <f t="shared" si="470"/>
        <v>1000</v>
      </c>
      <c r="Q1715" s="92">
        <f t="shared" si="471"/>
        <v>0</v>
      </c>
    </row>
    <row r="1716" hidden="1" outlineLevel="1">
      <c r="A1716" s="58"/>
      <c r="B1716" s="58"/>
      <c r="C1716" s="10"/>
      <c r="D1716" s="129" t="s">
        <v>183</v>
      </c>
      <c r="E1716" s="129" t="s">
        <v>1758</v>
      </c>
      <c r="F1716" s="130">
        <v>150.0</v>
      </c>
      <c r="G1716" s="129"/>
      <c r="H1716" s="44" t="b">
        <v>1</v>
      </c>
      <c r="I1716" s="283" t="s">
        <v>2089</v>
      </c>
      <c r="K1716" s="91" t="s">
        <v>1828</v>
      </c>
      <c r="L1716" s="90">
        <f t="shared" si="466"/>
        <v>5</v>
      </c>
      <c r="M1716" s="90">
        <f t="shared" si="467"/>
        <v>0</v>
      </c>
      <c r="N1716" s="90">
        <f t="shared" si="468"/>
        <v>5</v>
      </c>
      <c r="O1716" s="92">
        <f t="shared" si="469"/>
        <v>950</v>
      </c>
      <c r="P1716" s="92">
        <f t="shared" si="470"/>
        <v>950</v>
      </c>
      <c r="Q1716" s="92">
        <f t="shared" si="471"/>
        <v>0</v>
      </c>
    </row>
    <row r="1717" hidden="1" outlineLevel="1">
      <c r="A1717" s="10"/>
      <c r="B1717" s="10"/>
      <c r="C1717" s="313">
        <v>0.5069444444444444</v>
      </c>
      <c r="D1717" s="129" t="s">
        <v>1636</v>
      </c>
      <c r="E1717" s="129" t="s">
        <v>1758</v>
      </c>
      <c r="F1717" s="130">
        <v>150.0</v>
      </c>
      <c r="G1717" s="129"/>
      <c r="H1717" s="44" t="b">
        <v>1</v>
      </c>
      <c r="K1717" s="91" t="s">
        <v>1860</v>
      </c>
      <c r="L1717" s="90">
        <f t="shared" si="466"/>
        <v>1</v>
      </c>
      <c r="M1717" s="90">
        <f t="shared" si="467"/>
        <v>0</v>
      </c>
      <c r="N1717" s="90">
        <f t="shared" si="468"/>
        <v>1</v>
      </c>
      <c r="O1717" s="92">
        <f t="shared" si="469"/>
        <v>200</v>
      </c>
      <c r="P1717" s="92">
        <f t="shared" si="470"/>
        <v>200</v>
      </c>
      <c r="Q1717" s="92">
        <f t="shared" si="471"/>
        <v>0</v>
      </c>
    </row>
    <row r="1718" hidden="1" outlineLevel="1">
      <c r="A1718" s="102">
        <v>46148.0</v>
      </c>
      <c r="B1718" s="97">
        <f>A1718</f>
        <v>46148</v>
      </c>
      <c r="C1718" s="313">
        <v>0.3333333333333333</v>
      </c>
      <c r="D1718" s="129" t="s">
        <v>1756</v>
      </c>
      <c r="E1718" s="129" t="s">
        <v>1758</v>
      </c>
      <c r="F1718" s="130">
        <v>150.0</v>
      </c>
      <c r="G1718" s="129"/>
      <c r="H1718" s="44" t="b">
        <v>1</v>
      </c>
      <c r="K1718" s="91" t="s">
        <v>1845</v>
      </c>
      <c r="L1718" s="90">
        <f t="shared" si="466"/>
        <v>2</v>
      </c>
      <c r="M1718" s="90">
        <f t="shared" si="467"/>
        <v>0</v>
      </c>
      <c r="N1718" s="90">
        <f t="shared" si="468"/>
        <v>2</v>
      </c>
      <c r="O1718" s="92">
        <f t="shared" si="469"/>
        <v>400</v>
      </c>
      <c r="P1718" s="92">
        <f t="shared" si="470"/>
        <v>400</v>
      </c>
      <c r="Q1718" s="92">
        <f t="shared" si="471"/>
        <v>0</v>
      </c>
    </row>
    <row r="1719" hidden="1" outlineLevel="1">
      <c r="A1719" s="10"/>
      <c r="B1719" s="10"/>
      <c r="C1719" s="313">
        <v>0.5069444444444444</v>
      </c>
      <c r="D1719" s="129" t="s">
        <v>1636</v>
      </c>
      <c r="E1719" s="129" t="s">
        <v>1758</v>
      </c>
      <c r="F1719" s="130">
        <v>150.0</v>
      </c>
      <c r="G1719" s="129"/>
      <c r="H1719" s="44" t="b">
        <v>1</v>
      </c>
      <c r="K1719" s="91" t="s">
        <v>1846</v>
      </c>
      <c r="L1719" s="90">
        <f t="shared" si="466"/>
        <v>0</v>
      </c>
      <c r="M1719" s="90">
        <f t="shared" si="467"/>
        <v>0</v>
      </c>
      <c r="N1719" s="90">
        <f t="shared" si="468"/>
        <v>0</v>
      </c>
      <c r="O1719" s="92">
        <f t="shared" si="469"/>
        <v>0</v>
      </c>
      <c r="P1719" s="92">
        <f t="shared" si="470"/>
        <v>0</v>
      </c>
      <c r="Q1719" s="92">
        <f t="shared" si="471"/>
        <v>0</v>
      </c>
    </row>
    <row r="1720" hidden="1" outlineLevel="1">
      <c r="A1720" s="102">
        <v>46149.0</v>
      </c>
      <c r="B1720" s="97">
        <f>A1720</f>
        <v>46149</v>
      </c>
      <c r="C1720" s="313">
        <v>0.2916666666666667</v>
      </c>
      <c r="D1720" s="129" t="s">
        <v>1756</v>
      </c>
      <c r="E1720" s="129" t="s">
        <v>1758</v>
      </c>
      <c r="F1720" s="130">
        <v>150.0</v>
      </c>
      <c r="G1720" s="129"/>
      <c r="H1720" s="44" t="b">
        <v>1</v>
      </c>
      <c r="K1720" s="91" t="s">
        <v>1761</v>
      </c>
      <c r="L1720" s="90">
        <f t="shared" si="466"/>
        <v>1</v>
      </c>
      <c r="M1720" s="90">
        <f t="shared" si="467"/>
        <v>0</v>
      </c>
      <c r="N1720" s="90">
        <f t="shared" si="468"/>
        <v>1</v>
      </c>
      <c r="O1720" s="92">
        <f t="shared" si="469"/>
        <v>150</v>
      </c>
      <c r="P1720" s="92">
        <f t="shared" si="470"/>
        <v>150</v>
      </c>
      <c r="Q1720" s="92">
        <f t="shared" si="471"/>
        <v>0</v>
      </c>
    </row>
    <row r="1721" hidden="1" outlineLevel="1">
      <c r="A1721" s="10"/>
      <c r="B1721" s="10"/>
      <c r="C1721" s="313">
        <v>0.5069444444444444</v>
      </c>
      <c r="D1721" s="129" t="s">
        <v>562</v>
      </c>
      <c r="E1721" s="129" t="s">
        <v>1758</v>
      </c>
      <c r="F1721" s="130">
        <v>150.0</v>
      </c>
      <c r="G1721" s="129"/>
      <c r="H1721" s="44" t="b">
        <v>1</v>
      </c>
      <c r="K1721" s="91" t="s">
        <v>1859</v>
      </c>
      <c r="L1721" s="90">
        <f t="shared" si="466"/>
        <v>2</v>
      </c>
      <c r="M1721" s="90">
        <f t="shared" si="467"/>
        <v>0</v>
      </c>
      <c r="N1721" s="90">
        <f t="shared" si="468"/>
        <v>2</v>
      </c>
      <c r="O1721" s="92">
        <f t="shared" si="469"/>
        <v>400</v>
      </c>
      <c r="P1721" s="92">
        <f t="shared" si="470"/>
        <v>400</v>
      </c>
      <c r="Q1721" s="92">
        <f t="shared" si="471"/>
        <v>0</v>
      </c>
    </row>
    <row r="1722" hidden="1" outlineLevel="1">
      <c r="A1722" s="102">
        <v>46150.0</v>
      </c>
      <c r="B1722" s="97">
        <f>A1722</f>
        <v>46150</v>
      </c>
      <c r="C1722" s="398">
        <v>0.2916666666666667</v>
      </c>
      <c r="D1722" s="129" t="s">
        <v>1756</v>
      </c>
      <c r="E1722" s="129" t="s">
        <v>469</v>
      </c>
      <c r="F1722" s="130">
        <v>150.0</v>
      </c>
      <c r="G1722" s="129"/>
      <c r="H1722" s="44" t="b">
        <v>1</v>
      </c>
      <c r="K1722" s="91" t="s">
        <v>1855</v>
      </c>
      <c r="L1722" s="90">
        <f t="shared" si="466"/>
        <v>4</v>
      </c>
      <c r="M1722" s="90">
        <f t="shared" si="467"/>
        <v>0</v>
      </c>
      <c r="N1722" s="90">
        <f t="shared" si="468"/>
        <v>4</v>
      </c>
      <c r="O1722" s="92">
        <f t="shared" si="469"/>
        <v>550</v>
      </c>
      <c r="P1722" s="92">
        <f t="shared" si="470"/>
        <v>550</v>
      </c>
      <c r="Q1722" s="92">
        <f t="shared" si="471"/>
        <v>0</v>
      </c>
    </row>
    <row r="1723" hidden="1" outlineLevel="1">
      <c r="A1723" s="58"/>
      <c r="B1723" s="58"/>
      <c r="C1723" s="10"/>
      <c r="D1723" s="129" t="s">
        <v>183</v>
      </c>
      <c r="E1723" s="129" t="s">
        <v>1758</v>
      </c>
      <c r="F1723" s="130">
        <v>150.0</v>
      </c>
      <c r="G1723" s="129"/>
      <c r="H1723" s="44" t="b">
        <v>1</v>
      </c>
      <c r="K1723" s="276"/>
      <c r="L1723" s="90"/>
      <c r="M1723" s="276"/>
      <c r="N1723" s="276"/>
      <c r="O1723" s="276"/>
      <c r="P1723" s="276"/>
      <c r="Q1723" s="276"/>
    </row>
    <row r="1724" hidden="1" outlineLevel="1">
      <c r="A1724" s="10"/>
      <c r="B1724" s="10"/>
      <c r="C1724" s="313">
        <v>0.5069444444444444</v>
      </c>
      <c r="D1724" s="129" t="s">
        <v>1636</v>
      </c>
      <c r="E1724" s="129" t="s">
        <v>1758</v>
      </c>
      <c r="F1724" s="130">
        <v>150.0</v>
      </c>
      <c r="G1724" s="129"/>
      <c r="H1724" s="44" t="b">
        <v>1</v>
      </c>
      <c r="K1724" s="276"/>
      <c r="L1724" s="90"/>
      <c r="M1724" s="276"/>
      <c r="N1724" s="276"/>
      <c r="O1724" s="276"/>
      <c r="P1724" s="276"/>
      <c r="Q1724" s="276"/>
    </row>
    <row r="1725" hidden="1" outlineLevel="1">
      <c r="A1725" s="125">
        <v>46151.0</v>
      </c>
      <c r="B1725" s="126">
        <f t="shared" ref="B1725:B1726" si="472">A1725</f>
        <v>46151</v>
      </c>
      <c r="C1725" s="313">
        <v>0.3333333333333333</v>
      </c>
      <c r="D1725" s="129" t="s">
        <v>1756</v>
      </c>
      <c r="E1725" s="129" t="s">
        <v>1758</v>
      </c>
      <c r="F1725" s="130">
        <v>150.0</v>
      </c>
      <c r="G1725" s="129"/>
      <c r="H1725" s="44" t="b">
        <v>1</v>
      </c>
      <c r="K1725" s="276"/>
      <c r="L1725" s="90"/>
      <c r="M1725" s="276"/>
      <c r="N1725" s="276"/>
      <c r="O1725" s="276"/>
      <c r="P1725" s="276"/>
      <c r="Q1725" s="276"/>
    </row>
    <row r="1726" hidden="1" outlineLevel="1">
      <c r="A1726" s="102">
        <v>46152.0</v>
      </c>
      <c r="B1726" s="97">
        <f t="shared" si="472"/>
        <v>46152</v>
      </c>
      <c r="C1726" s="313">
        <v>0.3333333333333333</v>
      </c>
      <c r="D1726" s="129" t="s">
        <v>1828</v>
      </c>
      <c r="E1726" s="129" t="s">
        <v>1758</v>
      </c>
      <c r="F1726" s="130">
        <v>200.0</v>
      </c>
      <c r="G1726" s="129"/>
      <c r="H1726" s="44" t="b">
        <v>1</v>
      </c>
      <c r="K1726" s="91"/>
      <c r="L1726" s="90"/>
      <c r="M1726" s="90"/>
      <c r="N1726" s="90"/>
      <c r="O1726" s="92"/>
      <c r="P1726" s="92"/>
      <c r="Q1726" s="90"/>
    </row>
    <row r="1727" hidden="1" outlineLevel="1">
      <c r="A1727" s="58"/>
      <c r="B1727" s="58"/>
      <c r="C1727" s="313">
        <v>0.4583333333333333</v>
      </c>
      <c r="D1727" s="129" t="s">
        <v>562</v>
      </c>
      <c r="E1727" s="129" t="s">
        <v>1758</v>
      </c>
      <c r="F1727" s="130">
        <v>200.0</v>
      </c>
      <c r="G1727" s="129"/>
      <c r="H1727" s="44" t="b">
        <v>1</v>
      </c>
      <c r="K1727" s="477" t="s">
        <v>195</v>
      </c>
      <c r="L1727" s="478">
        <f t="shared" ref="L1727:Q1727" si="473">SUM(L1707:L1726)</f>
        <v>62</v>
      </c>
      <c r="M1727" s="478">
        <f t="shared" si="473"/>
        <v>10</v>
      </c>
      <c r="N1727" s="478">
        <f t="shared" si="473"/>
        <v>72</v>
      </c>
      <c r="O1727" s="479">
        <f t="shared" si="473"/>
        <v>11350</v>
      </c>
      <c r="P1727" s="479">
        <f t="shared" si="473"/>
        <v>11350</v>
      </c>
      <c r="Q1727" s="479">
        <f t="shared" si="473"/>
        <v>0</v>
      </c>
    </row>
    <row r="1728" hidden="1" outlineLevel="1">
      <c r="A1728" s="10"/>
      <c r="B1728" s="10"/>
      <c r="C1728" s="313">
        <v>0.7708333333333334</v>
      </c>
      <c r="D1728" s="129" t="s">
        <v>1845</v>
      </c>
      <c r="E1728" s="129" t="s">
        <v>1758</v>
      </c>
      <c r="F1728" s="130">
        <v>200.0</v>
      </c>
      <c r="G1728" s="129"/>
      <c r="H1728" s="44" t="b">
        <v>1</v>
      </c>
    </row>
    <row r="1729" hidden="1" outlineLevel="1">
      <c r="A1729" s="102">
        <v>46153.0</v>
      </c>
      <c r="B1729" s="97">
        <f>A1729</f>
        <v>46153</v>
      </c>
      <c r="C1729" s="313">
        <v>0.2916666666666667</v>
      </c>
      <c r="D1729" s="129" t="s">
        <v>1855</v>
      </c>
      <c r="E1729" s="129" t="s">
        <v>1758</v>
      </c>
      <c r="F1729" s="130">
        <v>150.0</v>
      </c>
      <c r="G1729" s="129"/>
      <c r="H1729" s="44" t="b">
        <v>1</v>
      </c>
    </row>
    <row r="1730" hidden="1" outlineLevel="1">
      <c r="A1730" s="10"/>
      <c r="B1730" s="10"/>
      <c r="C1730" s="313">
        <v>0.5069444444444444</v>
      </c>
      <c r="D1730" s="129" t="s">
        <v>1636</v>
      </c>
      <c r="E1730" s="129" t="s">
        <v>1758</v>
      </c>
      <c r="F1730" s="130">
        <v>150.0</v>
      </c>
      <c r="G1730" s="129"/>
      <c r="H1730" s="44" t="b">
        <v>1</v>
      </c>
    </row>
    <row r="1731" hidden="1" outlineLevel="1">
      <c r="A1731" s="102">
        <v>46154.0</v>
      </c>
      <c r="B1731" s="97">
        <f>A1731</f>
        <v>46154</v>
      </c>
      <c r="C1731" s="398">
        <v>0.2916666666666667</v>
      </c>
      <c r="D1731" s="129" t="s">
        <v>1756</v>
      </c>
      <c r="E1731" s="129" t="s">
        <v>469</v>
      </c>
      <c r="F1731" s="130">
        <v>150.0</v>
      </c>
      <c r="G1731" s="129"/>
      <c r="H1731" s="44" t="b">
        <v>1</v>
      </c>
    </row>
    <row r="1732" hidden="1" outlineLevel="1">
      <c r="A1732" s="58"/>
      <c r="B1732" s="58"/>
      <c r="C1732" s="10"/>
      <c r="D1732" s="129" t="s">
        <v>183</v>
      </c>
      <c r="E1732" s="129" t="s">
        <v>1758</v>
      </c>
      <c r="F1732" s="130">
        <v>150.0</v>
      </c>
      <c r="G1732" s="129"/>
      <c r="H1732" s="44" t="b">
        <v>1</v>
      </c>
    </row>
    <row r="1733" hidden="1" outlineLevel="1">
      <c r="A1733" s="10"/>
      <c r="B1733" s="10"/>
      <c r="C1733" s="313">
        <v>0.5069444444444444</v>
      </c>
      <c r="D1733" s="129" t="s">
        <v>1636</v>
      </c>
      <c r="E1733" s="129" t="s">
        <v>1758</v>
      </c>
      <c r="F1733" s="130">
        <v>150.0</v>
      </c>
      <c r="G1733" s="129"/>
      <c r="H1733" s="44" t="b">
        <v>1</v>
      </c>
    </row>
    <row r="1734" hidden="1" outlineLevel="1">
      <c r="A1734" s="102">
        <v>46155.0</v>
      </c>
      <c r="B1734" s="97">
        <f>A1734</f>
        <v>46155</v>
      </c>
      <c r="C1734" s="313">
        <v>0.3333333333333333</v>
      </c>
      <c r="D1734" s="129" t="s">
        <v>1756</v>
      </c>
      <c r="E1734" s="129" t="s">
        <v>1758</v>
      </c>
      <c r="F1734" s="130">
        <v>150.0</v>
      </c>
      <c r="G1734" s="129"/>
      <c r="H1734" s="44" t="b">
        <v>1</v>
      </c>
    </row>
    <row r="1735" hidden="1" outlineLevel="1">
      <c r="A1735" s="10"/>
      <c r="B1735" s="10"/>
      <c r="C1735" s="313">
        <v>0.5069444444444444</v>
      </c>
      <c r="D1735" s="129" t="s">
        <v>1636</v>
      </c>
      <c r="E1735" s="129" t="s">
        <v>1758</v>
      </c>
      <c r="F1735" s="130">
        <v>150.0</v>
      </c>
      <c r="G1735" s="129"/>
      <c r="H1735" s="44" t="b">
        <v>1</v>
      </c>
    </row>
    <row r="1736" hidden="1" outlineLevel="1">
      <c r="A1736" s="102">
        <v>46156.0</v>
      </c>
      <c r="B1736" s="97">
        <f>A1736</f>
        <v>46156</v>
      </c>
      <c r="C1736" s="313">
        <v>0.2916666666666667</v>
      </c>
      <c r="D1736" s="129" t="s">
        <v>1756</v>
      </c>
      <c r="E1736" s="129" t="s">
        <v>1758</v>
      </c>
      <c r="F1736" s="130">
        <v>150.0</v>
      </c>
      <c r="G1736" s="129"/>
      <c r="H1736" s="44" t="b">
        <v>1</v>
      </c>
    </row>
    <row r="1737" hidden="1" outlineLevel="1">
      <c r="A1737" s="10"/>
      <c r="B1737" s="10"/>
      <c r="C1737" s="313">
        <v>0.5069444444444444</v>
      </c>
      <c r="D1737" s="129" t="s">
        <v>562</v>
      </c>
      <c r="E1737" s="129" t="s">
        <v>1758</v>
      </c>
      <c r="F1737" s="130">
        <v>150.0</v>
      </c>
      <c r="G1737" s="129"/>
      <c r="H1737" s="44" t="b">
        <v>1</v>
      </c>
    </row>
    <row r="1738" hidden="1" outlineLevel="1">
      <c r="A1738" s="102">
        <v>46157.0</v>
      </c>
      <c r="B1738" s="97">
        <f>A1738</f>
        <v>46157</v>
      </c>
      <c r="C1738" s="398">
        <v>0.2916666666666667</v>
      </c>
      <c r="D1738" s="129" t="s">
        <v>1756</v>
      </c>
      <c r="E1738" s="129" t="s">
        <v>469</v>
      </c>
      <c r="F1738" s="130">
        <v>150.0</v>
      </c>
      <c r="G1738" s="129"/>
      <c r="H1738" s="44" t="b">
        <v>1</v>
      </c>
    </row>
    <row r="1739" hidden="1" outlineLevel="1">
      <c r="A1739" s="58"/>
      <c r="B1739" s="58"/>
      <c r="C1739" s="10"/>
      <c r="D1739" s="129" t="s">
        <v>183</v>
      </c>
      <c r="E1739" s="129" t="s">
        <v>1758</v>
      </c>
      <c r="F1739" s="130">
        <v>150.0</v>
      </c>
      <c r="G1739" s="129"/>
      <c r="H1739" s="44" t="b">
        <v>1</v>
      </c>
    </row>
    <row r="1740" hidden="1" outlineLevel="1">
      <c r="A1740" s="10"/>
      <c r="B1740" s="10"/>
      <c r="C1740" s="313">
        <v>0.5069444444444444</v>
      </c>
      <c r="D1740" s="129" t="s">
        <v>1636</v>
      </c>
      <c r="E1740" s="129" t="s">
        <v>1758</v>
      </c>
      <c r="F1740" s="130">
        <v>150.0</v>
      </c>
      <c r="G1740" s="129"/>
      <c r="H1740" s="44" t="b">
        <v>1</v>
      </c>
    </row>
    <row r="1741" hidden="1" outlineLevel="1">
      <c r="A1741" s="125">
        <v>46158.0</v>
      </c>
      <c r="B1741" s="126">
        <f t="shared" ref="B1741:B1742" si="474">A1741</f>
        <v>46158</v>
      </c>
      <c r="C1741" s="313">
        <v>0.3333333333333333</v>
      </c>
      <c r="D1741" s="129" t="s">
        <v>1756</v>
      </c>
      <c r="E1741" s="129" t="s">
        <v>1758</v>
      </c>
      <c r="F1741" s="130">
        <v>150.0</v>
      </c>
      <c r="G1741" s="129"/>
      <c r="H1741" s="44" t="b">
        <v>1</v>
      </c>
    </row>
    <row r="1742" hidden="1" outlineLevel="1">
      <c r="A1742" s="102">
        <v>46159.0</v>
      </c>
      <c r="B1742" s="97">
        <f t="shared" si="474"/>
        <v>46159</v>
      </c>
      <c r="C1742" s="313">
        <v>0.3333333333333333</v>
      </c>
      <c r="D1742" s="129" t="s">
        <v>1860</v>
      </c>
      <c r="E1742" s="129" t="s">
        <v>1758</v>
      </c>
      <c r="F1742" s="130">
        <v>200.0</v>
      </c>
      <c r="G1742" s="129"/>
      <c r="H1742" s="44" t="b">
        <v>1</v>
      </c>
    </row>
    <row r="1743" hidden="1" outlineLevel="1">
      <c r="A1743" s="58"/>
      <c r="B1743" s="58"/>
      <c r="C1743" s="313">
        <v>0.4583333333333333</v>
      </c>
      <c r="D1743" s="129" t="s">
        <v>1857</v>
      </c>
      <c r="E1743" s="129" t="s">
        <v>1758</v>
      </c>
      <c r="F1743" s="130">
        <v>200.0</v>
      </c>
      <c r="G1743" s="129"/>
      <c r="H1743" s="44" t="b">
        <v>1</v>
      </c>
    </row>
    <row r="1744" hidden="1" outlineLevel="1">
      <c r="A1744" s="10"/>
      <c r="B1744" s="10"/>
      <c r="C1744" s="313">
        <v>0.7708333333333334</v>
      </c>
      <c r="D1744" s="129" t="s">
        <v>1859</v>
      </c>
      <c r="E1744" s="129" t="s">
        <v>1758</v>
      </c>
      <c r="F1744" s="130">
        <v>200.0</v>
      </c>
      <c r="G1744" s="129"/>
      <c r="H1744" s="44" t="b">
        <v>1</v>
      </c>
    </row>
    <row r="1745" hidden="1" outlineLevel="1">
      <c r="A1745" s="102">
        <v>46160.0</v>
      </c>
      <c r="B1745" s="97">
        <f>A1745</f>
        <v>46160</v>
      </c>
      <c r="C1745" s="313">
        <v>0.2916666666666667</v>
      </c>
      <c r="D1745" s="129" t="s">
        <v>1855</v>
      </c>
      <c r="E1745" s="129" t="s">
        <v>1758</v>
      </c>
      <c r="F1745" s="130">
        <v>150.0</v>
      </c>
      <c r="G1745" s="129"/>
      <c r="H1745" s="44" t="b">
        <v>1</v>
      </c>
    </row>
    <row r="1746" hidden="1" outlineLevel="1">
      <c r="A1746" s="10"/>
      <c r="B1746" s="10"/>
      <c r="C1746" s="313">
        <v>0.5069444444444444</v>
      </c>
      <c r="D1746" s="129" t="s">
        <v>1636</v>
      </c>
      <c r="E1746" s="129" t="s">
        <v>1758</v>
      </c>
      <c r="F1746" s="130">
        <v>150.0</v>
      </c>
      <c r="G1746" s="129"/>
      <c r="H1746" s="44" t="b">
        <v>1</v>
      </c>
    </row>
    <row r="1747" hidden="1" outlineLevel="1">
      <c r="A1747" s="102">
        <v>46161.0</v>
      </c>
      <c r="B1747" s="97">
        <f>A1747</f>
        <v>46161</v>
      </c>
      <c r="C1747" s="398">
        <v>0.2916666666666667</v>
      </c>
      <c r="D1747" s="129" t="s">
        <v>1756</v>
      </c>
      <c r="E1747" s="129" t="s">
        <v>469</v>
      </c>
      <c r="F1747" s="130">
        <v>150.0</v>
      </c>
      <c r="G1747" s="129"/>
      <c r="H1747" s="44" t="b">
        <v>1</v>
      </c>
    </row>
    <row r="1748" hidden="1" outlineLevel="1">
      <c r="A1748" s="58"/>
      <c r="B1748" s="58"/>
      <c r="C1748" s="10"/>
      <c r="D1748" s="129" t="s">
        <v>183</v>
      </c>
      <c r="E1748" s="129" t="s">
        <v>1758</v>
      </c>
      <c r="F1748" s="130">
        <v>150.0</v>
      </c>
      <c r="G1748" s="129"/>
      <c r="H1748" s="44" t="b">
        <v>1</v>
      </c>
    </row>
    <row r="1749" hidden="1" outlineLevel="1">
      <c r="A1749" s="10"/>
      <c r="B1749" s="10"/>
      <c r="C1749" s="313">
        <v>0.5069444444444444</v>
      </c>
      <c r="D1749" s="129" t="s">
        <v>1636</v>
      </c>
      <c r="E1749" s="129" t="s">
        <v>1758</v>
      </c>
      <c r="F1749" s="130">
        <v>150.0</v>
      </c>
      <c r="G1749" s="129"/>
      <c r="H1749" s="44" t="b">
        <v>1</v>
      </c>
    </row>
    <row r="1750" hidden="1" outlineLevel="1">
      <c r="A1750" s="102">
        <v>46162.0</v>
      </c>
      <c r="B1750" s="97">
        <f>A1750</f>
        <v>46162</v>
      </c>
      <c r="C1750" s="313">
        <v>0.3333333333333333</v>
      </c>
      <c r="D1750" s="129" t="s">
        <v>1756</v>
      </c>
      <c r="E1750" s="129" t="s">
        <v>1758</v>
      </c>
      <c r="F1750" s="130">
        <v>150.0</v>
      </c>
      <c r="G1750" s="129"/>
      <c r="H1750" s="44" t="b">
        <v>1</v>
      </c>
    </row>
    <row r="1751" hidden="1" outlineLevel="1">
      <c r="A1751" s="10"/>
      <c r="B1751" s="10"/>
      <c r="C1751" s="313">
        <v>0.5069444444444444</v>
      </c>
      <c r="D1751" s="129" t="s">
        <v>1636</v>
      </c>
      <c r="E1751" s="129" t="s">
        <v>1758</v>
      </c>
      <c r="F1751" s="130">
        <v>150.0</v>
      </c>
      <c r="G1751" s="129"/>
      <c r="H1751" s="44" t="b">
        <v>1</v>
      </c>
    </row>
    <row r="1752" hidden="1" outlineLevel="1">
      <c r="A1752" s="102">
        <v>46163.0</v>
      </c>
      <c r="B1752" s="97">
        <f>A1752</f>
        <v>46163</v>
      </c>
      <c r="C1752" s="313">
        <v>0.2916666666666667</v>
      </c>
      <c r="D1752" s="129" t="s">
        <v>1756</v>
      </c>
      <c r="E1752" s="129" t="s">
        <v>1758</v>
      </c>
      <c r="F1752" s="130">
        <v>150.0</v>
      </c>
      <c r="G1752" s="129"/>
      <c r="H1752" s="44" t="b">
        <v>1</v>
      </c>
    </row>
    <row r="1753" hidden="1" outlineLevel="1">
      <c r="A1753" s="10"/>
      <c r="B1753" s="10"/>
      <c r="C1753" s="313">
        <v>0.5069444444444444</v>
      </c>
      <c r="D1753" s="129" t="s">
        <v>562</v>
      </c>
      <c r="E1753" s="129" t="s">
        <v>1758</v>
      </c>
      <c r="F1753" s="130">
        <v>150.0</v>
      </c>
      <c r="G1753" s="129"/>
      <c r="H1753" s="44" t="b">
        <v>1</v>
      </c>
    </row>
    <row r="1754" hidden="1" outlineLevel="1">
      <c r="A1754" s="102">
        <v>46164.0</v>
      </c>
      <c r="B1754" s="97">
        <f>A1754</f>
        <v>46164</v>
      </c>
      <c r="C1754" s="398">
        <v>0.2916666666666667</v>
      </c>
      <c r="D1754" s="129" t="s">
        <v>1756</v>
      </c>
      <c r="E1754" s="129" t="s">
        <v>469</v>
      </c>
      <c r="F1754" s="130">
        <v>150.0</v>
      </c>
      <c r="G1754" s="129"/>
      <c r="H1754" s="44" t="b">
        <v>1</v>
      </c>
    </row>
    <row r="1755" hidden="1" outlineLevel="1">
      <c r="A1755" s="58"/>
      <c r="B1755" s="58"/>
      <c r="C1755" s="10"/>
      <c r="D1755" s="129" t="s">
        <v>183</v>
      </c>
      <c r="E1755" s="129" t="s">
        <v>1758</v>
      </c>
      <c r="F1755" s="130">
        <v>150.0</v>
      </c>
      <c r="G1755" s="129"/>
      <c r="H1755" s="44" t="b">
        <v>1</v>
      </c>
    </row>
    <row r="1756" hidden="1" outlineLevel="1">
      <c r="A1756" s="10"/>
      <c r="B1756" s="10"/>
      <c r="C1756" s="313">
        <v>0.5069444444444444</v>
      </c>
      <c r="D1756" s="129" t="s">
        <v>1636</v>
      </c>
      <c r="E1756" s="129" t="s">
        <v>1758</v>
      </c>
      <c r="F1756" s="130">
        <v>150.0</v>
      </c>
      <c r="G1756" s="129"/>
      <c r="H1756" s="44" t="b">
        <v>1</v>
      </c>
    </row>
    <row r="1757" hidden="1" outlineLevel="1">
      <c r="A1757" s="125">
        <v>46165.0</v>
      </c>
      <c r="B1757" s="126">
        <f t="shared" ref="B1757:B1758" si="475">A1757</f>
        <v>46165</v>
      </c>
      <c r="C1757" s="313">
        <v>0.3333333333333333</v>
      </c>
      <c r="D1757" s="129" t="s">
        <v>1756</v>
      </c>
      <c r="E1757" s="129" t="s">
        <v>1758</v>
      </c>
      <c r="F1757" s="130">
        <v>150.0</v>
      </c>
      <c r="G1757" s="129"/>
      <c r="H1757" s="44" t="b">
        <v>1</v>
      </c>
    </row>
    <row r="1758" hidden="1" outlineLevel="1">
      <c r="A1758" s="102">
        <v>46166.0</v>
      </c>
      <c r="B1758" s="97">
        <f t="shared" si="475"/>
        <v>46166</v>
      </c>
      <c r="C1758" s="313">
        <v>0.3333333333333333</v>
      </c>
      <c r="D1758" s="129" t="s">
        <v>1828</v>
      </c>
      <c r="E1758" s="129" t="s">
        <v>1758</v>
      </c>
      <c r="F1758" s="130">
        <v>200.0</v>
      </c>
      <c r="G1758" s="129"/>
      <c r="H1758" s="44" t="b">
        <v>1</v>
      </c>
    </row>
    <row r="1759" hidden="1" outlineLevel="1">
      <c r="A1759" s="58"/>
      <c r="B1759" s="58"/>
      <c r="C1759" s="313">
        <v>0.4583333333333333</v>
      </c>
      <c r="D1759" s="129" t="s">
        <v>562</v>
      </c>
      <c r="E1759" s="129" t="s">
        <v>1758</v>
      </c>
      <c r="F1759" s="130">
        <v>200.0</v>
      </c>
      <c r="G1759" s="129"/>
      <c r="H1759" s="44" t="b">
        <v>1</v>
      </c>
    </row>
    <row r="1760" hidden="1" outlineLevel="1">
      <c r="A1760" s="10"/>
      <c r="B1760" s="10"/>
      <c r="C1760" s="313">
        <v>0.7708333333333334</v>
      </c>
      <c r="D1760" s="129" t="s">
        <v>1859</v>
      </c>
      <c r="E1760" s="129" t="s">
        <v>1758</v>
      </c>
      <c r="F1760" s="130">
        <v>200.0</v>
      </c>
      <c r="G1760" s="129"/>
      <c r="H1760" s="44" t="b">
        <v>1</v>
      </c>
    </row>
    <row r="1761" hidden="1" outlineLevel="1">
      <c r="A1761" s="102">
        <v>46167.0</v>
      </c>
      <c r="B1761" s="97">
        <f>A1761</f>
        <v>46167</v>
      </c>
      <c r="C1761" s="313">
        <v>0.2916666666666667</v>
      </c>
      <c r="D1761" s="129" t="s">
        <v>1855</v>
      </c>
      <c r="E1761" s="129" t="s">
        <v>1758</v>
      </c>
      <c r="F1761" s="130">
        <v>100.0</v>
      </c>
      <c r="G1761" s="129" t="s">
        <v>2095</v>
      </c>
      <c r="H1761" s="44" t="b">
        <v>1</v>
      </c>
    </row>
    <row r="1762" hidden="1" outlineLevel="1">
      <c r="A1762" s="10"/>
      <c r="B1762" s="10"/>
      <c r="C1762" s="313">
        <v>0.5069444444444444</v>
      </c>
      <c r="D1762" s="129" t="s">
        <v>1636</v>
      </c>
      <c r="E1762" s="129" t="s">
        <v>1758</v>
      </c>
      <c r="F1762" s="130">
        <v>150.0</v>
      </c>
      <c r="G1762" s="129"/>
      <c r="H1762" s="44" t="b">
        <v>1</v>
      </c>
    </row>
    <row r="1763" hidden="1" outlineLevel="1">
      <c r="A1763" s="102">
        <v>46168.0</v>
      </c>
      <c r="B1763" s="97">
        <f>A1763</f>
        <v>46168</v>
      </c>
      <c r="C1763" s="398">
        <v>0.2916666666666667</v>
      </c>
      <c r="D1763" s="129" t="s">
        <v>1756</v>
      </c>
      <c r="E1763" s="129" t="s">
        <v>469</v>
      </c>
      <c r="F1763" s="130">
        <v>150.0</v>
      </c>
      <c r="G1763" s="129"/>
      <c r="H1763" s="44" t="b">
        <v>1</v>
      </c>
    </row>
    <row r="1764" hidden="1" outlineLevel="1">
      <c r="A1764" s="58"/>
      <c r="B1764" s="58"/>
      <c r="C1764" s="10"/>
      <c r="D1764" s="129" t="s">
        <v>183</v>
      </c>
      <c r="E1764" s="129" t="s">
        <v>1758</v>
      </c>
      <c r="F1764" s="130">
        <v>150.0</v>
      </c>
      <c r="G1764" s="129"/>
      <c r="H1764" s="44" t="b">
        <v>1</v>
      </c>
    </row>
    <row r="1765" hidden="1" outlineLevel="1">
      <c r="A1765" s="10"/>
      <c r="B1765" s="10"/>
      <c r="C1765" s="313">
        <v>0.5069444444444444</v>
      </c>
      <c r="D1765" s="129" t="s">
        <v>1636</v>
      </c>
      <c r="E1765" s="129" t="s">
        <v>1758</v>
      </c>
      <c r="F1765" s="130">
        <v>150.0</v>
      </c>
      <c r="G1765" s="129"/>
      <c r="H1765" s="44" t="b">
        <v>1</v>
      </c>
    </row>
    <row r="1766" hidden="1" outlineLevel="1">
      <c r="A1766" s="102">
        <v>46169.0</v>
      </c>
      <c r="B1766" s="97">
        <f>A1766</f>
        <v>46169</v>
      </c>
      <c r="C1766" s="313">
        <v>0.3333333333333333</v>
      </c>
      <c r="D1766" s="129" t="s">
        <v>1756</v>
      </c>
      <c r="E1766" s="129" t="s">
        <v>1758</v>
      </c>
      <c r="F1766" s="130">
        <v>150.0</v>
      </c>
      <c r="G1766" s="129"/>
      <c r="H1766" s="44" t="b">
        <v>1</v>
      </c>
    </row>
    <row r="1767" hidden="1" outlineLevel="1">
      <c r="A1767" s="10"/>
      <c r="B1767" s="10"/>
      <c r="C1767" s="313">
        <v>0.5069444444444444</v>
      </c>
      <c r="D1767" s="129" t="s">
        <v>1636</v>
      </c>
      <c r="E1767" s="129" t="s">
        <v>1758</v>
      </c>
      <c r="F1767" s="130">
        <v>150.0</v>
      </c>
      <c r="G1767" s="129"/>
      <c r="H1767" s="44" t="b">
        <v>1</v>
      </c>
    </row>
    <row r="1768" hidden="1" outlineLevel="1">
      <c r="A1768" s="102">
        <v>46170.0</v>
      </c>
      <c r="B1768" s="97">
        <f>A1768</f>
        <v>46170</v>
      </c>
      <c r="C1768" s="313">
        <v>0.2916666666666667</v>
      </c>
      <c r="D1768" s="129" t="s">
        <v>1756</v>
      </c>
      <c r="E1768" s="129" t="s">
        <v>1758</v>
      </c>
      <c r="F1768" s="130">
        <v>150.0</v>
      </c>
      <c r="G1768" s="129"/>
      <c r="H1768" s="44" t="b">
        <v>1</v>
      </c>
    </row>
    <row r="1769" hidden="1" outlineLevel="1">
      <c r="A1769" s="10"/>
      <c r="B1769" s="10"/>
      <c r="C1769" s="313">
        <v>0.5069444444444444</v>
      </c>
      <c r="D1769" s="129" t="s">
        <v>562</v>
      </c>
      <c r="E1769" s="129" t="s">
        <v>1758</v>
      </c>
      <c r="F1769" s="130">
        <v>150.0</v>
      </c>
      <c r="G1769" s="129"/>
      <c r="H1769" s="44" t="b">
        <v>1</v>
      </c>
    </row>
    <row r="1770" hidden="1" outlineLevel="1">
      <c r="A1770" s="102">
        <v>46171.0</v>
      </c>
      <c r="B1770" s="97">
        <f>A1770</f>
        <v>46171</v>
      </c>
      <c r="C1770" s="398">
        <v>0.2916666666666667</v>
      </c>
      <c r="D1770" s="129" t="s">
        <v>1756</v>
      </c>
      <c r="E1770" s="129" t="s">
        <v>469</v>
      </c>
      <c r="F1770" s="130">
        <v>150.0</v>
      </c>
      <c r="G1770" s="129"/>
      <c r="H1770" s="44" t="b">
        <v>1</v>
      </c>
    </row>
    <row r="1771" hidden="1" outlineLevel="1">
      <c r="A1771" s="58"/>
      <c r="B1771" s="58"/>
      <c r="C1771" s="10"/>
      <c r="D1771" s="129" t="s">
        <v>1761</v>
      </c>
      <c r="E1771" s="129" t="s">
        <v>1758</v>
      </c>
      <c r="F1771" s="130">
        <v>150.0</v>
      </c>
      <c r="G1771" s="129"/>
      <c r="H1771" s="44" t="b">
        <v>1</v>
      </c>
    </row>
    <row r="1772" hidden="1" outlineLevel="1">
      <c r="A1772" s="10"/>
      <c r="B1772" s="10"/>
      <c r="C1772" s="313">
        <v>0.5069444444444444</v>
      </c>
      <c r="D1772" s="129" t="s">
        <v>1636</v>
      </c>
      <c r="E1772" s="129" t="s">
        <v>1758</v>
      </c>
      <c r="F1772" s="130">
        <v>150.0</v>
      </c>
      <c r="G1772" s="129"/>
      <c r="H1772" s="44" t="b">
        <v>1</v>
      </c>
    </row>
    <row r="1773" hidden="1" outlineLevel="1">
      <c r="A1773" s="125">
        <v>46172.0</v>
      </c>
      <c r="B1773" s="126">
        <f t="shared" ref="B1773:B1774" si="476">A1773</f>
        <v>46172</v>
      </c>
      <c r="C1773" s="313">
        <v>0.3333333333333333</v>
      </c>
      <c r="D1773" s="129" t="s">
        <v>1756</v>
      </c>
      <c r="E1773" s="129" t="s">
        <v>1758</v>
      </c>
      <c r="F1773" s="130">
        <v>150.0</v>
      </c>
      <c r="G1773" s="129"/>
      <c r="H1773" s="44" t="b">
        <v>1</v>
      </c>
    </row>
    <row r="1774" hidden="1" outlineLevel="1">
      <c r="A1774" s="102">
        <v>46173.0</v>
      </c>
      <c r="B1774" s="97">
        <f t="shared" si="476"/>
        <v>46173</v>
      </c>
      <c r="C1774" s="313">
        <v>0.3333333333333333</v>
      </c>
      <c r="D1774" s="129" t="s">
        <v>1828</v>
      </c>
      <c r="E1774" s="129" t="s">
        <v>1758</v>
      </c>
      <c r="F1774" s="130">
        <v>200.0</v>
      </c>
      <c r="G1774" s="129"/>
      <c r="H1774" s="44" t="b">
        <v>1</v>
      </c>
    </row>
    <row r="1775" hidden="1" outlineLevel="1">
      <c r="A1775" s="58"/>
      <c r="B1775" s="58"/>
      <c r="C1775" s="313">
        <v>0.4583333333333333</v>
      </c>
      <c r="D1775" s="129" t="s">
        <v>1857</v>
      </c>
      <c r="E1775" s="129" t="s">
        <v>1758</v>
      </c>
      <c r="F1775" s="130">
        <v>200.0</v>
      </c>
      <c r="G1775" s="129"/>
      <c r="H1775" s="44" t="b">
        <v>1</v>
      </c>
    </row>
    <row r="1776" hidden="1" outlineLevel="1">
      <c r="A1776" s="10"/>
      <c r="B1776" s="10"/>
      <c r="C1776" s="313">
        <v>0.7708333333333334</v>
      </c>
      <c r="D1776" s="129" t="s">
        <v>1845</v>
      </c>
      <c r="E1776" s="129" t="s">
        <v>1758</v>
      </c>
      <c r="F1776" s="130">
        <v>200.0</v>
      </c>
      <c r="G1776" s="129"/>
      <c r="H1776" s="44" t="b">
        <v>1</v>
      </c>
    </row>
    <row r="1777">
      <c r="A1777" s="484" t="s">
        <v>195</v>
      </c>
      <c r="B1777" s="27"/>
      <c r="C1777" s="27"/>
      <c r="D1777" s="27"/>
      <c r="E1777" s="28"/>
      <c r="F1777" s="485">
        <f>SUM(F1705:F1776)</f>
        <v>11350</v>
      </c>
      <c r="G1777" s="486"/>
      <c r="H1777" s="28"/>
    </row>
    <row r="1778" collapsed="1">
      <c r="A1778" s="339" t="s">
        <v>1635</v>
      </c>
      <c r="B1778" s="246"/>
      <c r="C1778" s="246"/>
      <c r="D1778" s="246"/>
      <c r="E1778" s="246"/>
      <c r="F1778" s="246"/>
      <c r="G1778" s="246"/>
      <c r="H1778" s="247"/>
    </row>
    <row r="1779" hidden="1" outlineLevel="1">
      <c r="A1779" s="102">
        <v>46174.0</v>
      </c>
      <c r="B1779" s="97">
        <f>A1779</f>
        <v>46174</v>
      </c>
      <c r="C1779" s="313">
        <v>0.2916666666666667</v>
      </c>
      <c r="D1779" s="129" t="s">
        <v>1855</v>
      </c>
      <c r="E1779" s="129" t="s">
        <v>1758</v>
      </c>
      <c r="F1779" s="130">
        <v>150.0</v>
      </c>
      <c r="G1779" s="129"/>
      <c r="H1779" s="44" t="b">
        <v>1</v>
      </c>
      <c r="K1779" s="440" t="s">
        <v>2096</v>
      </c>
      <c r="L1779" s="27"/>
      <c r="M1779" s="27"/>
      <c r="N1779" s="27"/>
      <c r="O1779" s="27"/>
      <c r="P1779" s="572">
        <v>46174.0</v>
      </c>
      <c r="Q1779" s="573">
        <v>46203.0</v>
      </c>
    </row>
    <row r="1780" hidden="1" outlineLevel="1">
      <c r="A1780" s="10"/>
      <c r="B1780" s="10"/>
      <c r="C1780" s="313">
        <v>0.5069444444444444</v>
      </c>
      <c r="D1780" s="129" t="s">
        <v>1636</v>
      </c>
      <c r="E1780" s="129" t="s">
        <v>1758</v>
      </c>
      <c r="F1780" s="130">
        <v>150.0</v>
      </c>
      <c r="G1780" s="129"/>
      <c r="H1780" s="44" t="b">
        <v>1</v>
      </c>
      <c r="K1780" s="441" t="s">
        <v>1749</v>
      </c>
      <c r="L1780" s="441" t="s">
        <v>1758</v>
      </c>
      <c r="M1780" s="441" t="s">
        <v>469</v>
      </c>
      <c r="N1780" s="441" t="s">
        <v>195</v>
      </c>
      <c r="O1780" s="441" t="s">
        <v>1764</v>
      </c>
      <c r="P1780" s="441" t="s">
        <v>1765</v>
      </c>
      <c r="Q1780" s="441" t="s">
        <v>1766</v>
      </c>
    </row>
    <row r="1781" hidden="1" outlineLevel="1">
      <c r="A1781" s="102">
        <v>46175.0</v>
      </c>
      <c r="B1781" s="97">
        <f>A1781</f>
        <v>46175</v>
      </c>
      <c r="C1781" s="398">
        <v>0.2916666666666667</v>
      </c>
      <c r="D1781" s="129" t="s">
        <v>1756</v>
      </c>
      <c r="E1781" s="129" t="s">
        <v>469</v>
      </c>
      <c r="F1781" s="130">
        <v>150.0</v>
      </c>
      <c r="G1781" s="129"/>
      <c r="H1781" s="44" t="b">
        <v>1</v>
      </c>
      <c r="K1781" s="91" t="s">
        <v>1756</v>
      </c>
      <c r="L1781" s="90">
        <f t="shared" ref="L1781:L1795" si="477">COUNTIFS($D$1779:$D$1849, $K1781,$E$1779:$E$1849,$L$1780)</f>
        <v>9</v>
      </c>
      <c r="M1781" s="90">
        <f t="shared" ref="M1781:M1795" si="478">COUNTIFS($D$1779:$D$1849, $K1781,$E$1779:$E$1849,$M$1780)</f>
        <v>12</v>
      </c>
      <c r="N1781" s="90">
        <f t="shared" ref="N1781:N1795" si="479">L1781+M1781</f>
        <v>21</v>
      </c>
      <c r="O1781" s="92">
        <f t="shared" ref="O1781:O1795" si="480">SUMIFS($F$1779:$F$1849,$D$1779:$D$1849,$K1781)</f>
        <v>3150</v>
      </c>
      <c r="P1781" s="92">
        <f t="shared" ref="P1781:P1795" si="481">SUMIFS($F$1779:$F$1849,$D$1779:$D$1849,$K1781,$H$1779:$H$1849,TRUE())</f>
        <v>3150</v>
      </c>
      <c r="Q1781" s="92">
        <f t="shared" ref="Q1781:Q1795" si="482">O1781-P1781</f>
        <v>0</v>
      </c>
    </row>
    <row r="1782" hidden="1" outlineLevel="1">
      <c r="A1782" s="58"/>
      <c r="B1782" s="58"/>
      <c r="C1782" s="10"/>
      <c r="D1782" s="129" t="s">
        <v>183</v>
      </c>
      <c r="E1782" s="129" t="s">
        <v>1758</v>
      </c>
      <c r="F1782" s="130">
        <v>150.0</v>
      </c>
      <c r="G1782" s="129"/>
      <c r="H1782" s="44" t="b">
        <v>1</v>
      </c>
      <c r="K1782" s="91" t="s">
        <v>1636</v>
      </c>
      <c r="L1782" s="90">
        <f t="shared" si="477"/>
        <v>16</v>
      </c>
      <c r="M1782" s="90">
        <f t="shared" si="478"/>
        <v>0</v>
      </c>
      <c r="N1782" s="90">
        <f t="shared" si="479"/>
        <v>16</v>
      </c>
      <c r="O1782" s="92">
        <f t="shared" si="480"/>
        <v>2400</v>
      </c>
      <c r="P1782" s="92">
        <f t="shared" si="481"/>
        <v>2400</v>
      </c>
      <c r="Q1782" s="92">
        <f t="shared" si="482"/>
        <v>0</v>
      </c>
    </row>
    <row r="1783" hidden="1" outlineLevel="1">
      <c r="A1783" s="10"/>
      <c r="B1783" s="10"/>
      <c r="C1783" s="313">
        <v>0.5069444444444444</v>
      </c>
      <c r="D1783" s="129" t="s">
        <v>1636</v>
      </c>
      <c r="E1783" s="129" t="s">
        <v>1758</v>
      </c>
      <c r="F1783" s="130">
        <v>150.0</v>
      </c>
      <c r="G1783" s="129"/>
      <c r="H1783" s="44" t="b">
        <v>1</v>
      </c>
      <c r="K1783" s="91" t="s">
        <v>1841</v>
      </c>
      <c r="L1783" s="90">
        <f t="shared" si="477"/>
        <v>3</v>
      </c>
      <c r="M1783" s="90">
        <f t="shared" si="478"/>
        <v>0</v>
      </c>
      <c r="N1783" s="90">
        <f t="shared" si="479"/>
        <v>3</v>
      </c>
      <c r="O1783" s="92">
        <f t="shared" si="480"/>
        <v>0</v>
      </c>
      <c r="P1783" s="92">
        <f t="shared" si="481"/>
        <v>0</v>
      </c>
      <c r="Q1783" s="92">
        <f t="shared" si="482"/>
        <v>0</v>
      </c>
    </row>
    <row r="1784" hidden="1" outlineLevel="1">
      <c r="A1784" s="102">
        <v>46176.0</v>
      </c>
      <c r="B1784" s="97">
        <f>A1784</f>
        <v>46176</v>
      </c>
      <c r="C1784" s="313">
        <v>0.3333333333333333</v>
      </c>
      <c r="D1784" s="129" t="s">
        <v>1756</v>
      </c>
      <c r="E1784" s="129" t="s">
        <v>1758</v>
      </c>
      <c r="F1784" s="130">
        <v>150.0</v>
      </c>
      <c r="G1784" s="129"/>
      <c r="H1784" s="44" t="b">
        <v>1</v>
      </c>
      <c r="K1784" s="91" t="s">
        <v>1840</v>
      </c>
      <c r="L1784" s="90">
        <f t="shared" si="477"/>
        <v>1</v>
      </c>
      <c r="M1784" s="90">
        <f t="shared" si="478"/>
        <v>0</v>
      </c>
      <c r="N1784" s="90">
        <f t="shared" si="479"/>
        <v>1</v>
      </c>
      <c r="O1784" s="92">
        <f t="shared" si="480"/>
        <v>200</v>
      </c>
      <c r="P1784" s="92">
        <f t="shared" si="481"/>
        <v>200</v>
      </c>
      <c r="Q1784" s="92">
        <f t="shared" si="482"/>
        <v>0</v>
      </c>
    </row>
    <row r="1785" hidden="1" outlineLevel="1">
      <c r="A1785" s="10"/>
      <c r="B1785" s="10"/>
      <c r="C1785" s="313">
        <v>0.5069444444444444</v>
      </c>
      <c r="D1785" s="129" t="s">
        <v>1636</v>
      </c>
      <c r="E1785" s="129" t="s">
        <v>1758</v>
      </c>
      <c r="F1785" s="130">
        <v>150.0</v>
      </c>
      <c r="G1785" s="129"/>
      <c r="H1785" s="44" t="b">
        <v>1</v>
      </c>
      <c r="K1785" s="91" t="s">
        <v>183</v>
      </c>
      <c r="L1785" s="90">
        <f t="shared" si="477"/>
        <v>9</v>
      </c>
      <c r="M1785" s="90">
        <f t="shared" si="478"/>
        <v>0</v>
      </c>
      <c r="N1785" s="90">
        <f t="shared" si="479"/>
        <v>9</v>
      </c>
      <c r="O1785" s="92">
        <f t="shared" si="480"/>
        <v>1350</v>
      </c>
      <c r="P1785" s="92">
        <f t="shared" si="481"/>
        <v>1350</v>
      </c>
      <c r="Q1785" s="92">
        <f t="shared" si="482"/>
        <v>0</v>
      </c>
    </row>
    <row r="1786" hidden="1" outlineLevel="1">
      <c r="A1786" s="102">
        <v>46177.0</v>
      </c>
      <c r="B1786" s="97">
        <f>A1786</f>
        <v>46177</v>
      </c>
      <c r="C1786" s="313">
        <v>0.3333333333333333</v>
      </c>
      <c r="D1786" s="129" t="s">
        <v>1756</v>
      </c>
      <c r="E1786" s="129" t="s">
        <v>469</v>
      </c>
      <c r="F1786" s="130">
        <v>150.0</v>
      </c>
      <c r="G1786" s="129" t="s">
        <v>1642</v>
      </c>
      <c r="H1786" s="44" t="b">
        <v>1</v>
      </c>
      <c r="K1786" s="91" t="s">
        <v>1848</v>
      </c>
      <c r="L1786" s="90">
        <f t="shared" si="477"/>
        <v>2</v>
      </c>
      <c r="M1786" s="90">
        <f t="shared" si="478"/>
        <v>0</v>
      </c>
      <c r="N1786" s="90">
        <f t="shared" si="479"/>
        <v>2</v>
      </c>
      <c r="O1786" s="92">
        <f t="shared" si="480"/>
        <v>350</v>
      </c>
      <c r="P1786" s="92">
        <f t="shared" si="481"/>
        <v>350</v>
      </c>
      <c r="Q1786" s="92">
        <f t="shared" si="482"/>
        <v>0</v>
      </c>
    </row>
    <row r="1787" hidden="1" outlineLevel="1">
      <c r="A1787" s="10"/>
      <c r="B1787" s="10"/>
      <c r="C1787" s="313">
        <v>0.3333333333333333</v>
      </c>
      <c r="D1787" s="129" t="s">
        <v>1828</v>
      </c>
      <c r="E1787" s="129" t="s">
        <v>1758</v>
      </c>
      <c r="F1787" s="130">
        <v>200.0</v>
      </c>
      <c r="G1787" s="129" t="s">
        <v>1642</v>
      </c>
      <c r="H1787" s="44" t="b">
        <v>1</v>
      </c>
      <c r="K1787" s="91" t="s">
        <v>1857</v>
      </c>
      <c r="L1787" s="90">
        <f t="shared" si="477"/>
        <v>3</v>
      </c>
      <c r="M1787" s="90">
        <f t="shared" si="478"/>
        <v>0</v>
      </c>
      <c r="N1787" s="90">
        <f t="shared" si="479"/>
        <v>3</v>
      </c>
      <c r="O1787" s="92">
        <f t="shared" si="480"/>
        <v>550</v>
      </c>
      <c r="P1787" s="92">
        <f t="shared" si="481"/>
        <v>550</v>
      </c>
      <c r="Q1787" s="92">
        <f t="shared" si="482"/>
        <v>0</v>
      </c>
    </row>
    <row r="1788" hidden="1" outlineLevel="1">
      <c r="A1788" s="102">
        <v>46178.0</v>
      </c>
      <c r="B1788" s="97">
        <f>A1788</f>
        <v>46178</v>
      </c>
      <c r="C1788" s="398">
        <v>0.2916666666666667</v>
      </c>
      <c r="D1788" s="129" t="s">
        <v>1756</v>
      </c>
      <c r="E1788" s="129" t="s">
        <v>469</v>
      </c>
      <c r="F1788" s="130">
        <v>150.0</v>
      </c>
      <c r="G1788" s="129"/>
      <c r="H1788" s="44" t="b">
        <v>1</v>
      </c>
      <c r="K1788" s="91" t="s">
        <v>1842</v>
      </c>
      <c r="L1788" s="90">
        <f t="shared" si="477"/>
        <v>0</v>
      </c>
      <c r="M1788" s="90">
        <f t="shared" si="478"/>
        <v>0</v>
      </c>
      <c r="N1788" s="90">
        <f t="shared" si="479"/>
        <v>0</v>
      </c>
      <c r="O1788" s="92">
        <f t="shared" si="480"/>
        <v>0</v>
      </c>
      <c r="P1788" s="92">
        <f t="shared" si="481"/>
        <v>0</v>
      </c>
      <c r="Q1788" s="92">
        <f t="shared" si="482"/>
        <v>0</v>
      </c>
    </row>
    <row r="1789" hidden="1" outlineLevel="1">
      <c r="A1789" s="58"/>
      <c r="B1789" s="58"/>
      <c r="C1789" s="10"/>
      <c r="D1789" s="129" t="s">
        <v>183</v>
      </c>
      <c r="E1789" s="129" t="s">
        <v>1758</v>
      </c>
      <c r="F1789" s="130">
        <v>150.0</v>
      </c>
      <c r="G1789" s="129"/>
      <c r="H1789" s="44" t="b">
        <v>1</v>
      </c>
      <c r="K1789" s="91" t="s">
        <v>562</v>
      </c>
      <c r="L1789" s="90">
        <f t="shared" si="477"/>
        <v>4</v>
      </c>
      <c r="M1789" s="90">
        <f t="shared" si="478"/>
        <v>0</v>
      </c>
      <c r="N1789" s="90">
        <f t="shared" si="479"/>
        <v>4</v>
      </c>
      <c r="O1789" s="92">
        <f t="shared" si="480"/>
        <v>650</v>
      </c>
      <c r="P1789" s="92">
        <f t="shared" si="481"/>
        <v>650</v>
      </c>
      <c r="Q1789" s="92">
        <f t="shared" si="482"/>
        <v>0</v>
      </c>
    </row>
    <row r="1790" hidden="1" outlineLevel="1">
      <c r="A1790" s="10"/>
      <c r="B1790" s="10"/>
      <c r="C1790" s="313">
        <v>0.5069444444444444</v>
      </c>
      <c r="D1790" s="129" t="s">
        <v>1636</v>
      </c>
      <c r="E1790" s="129" t="s">
        <v>1758</v>
      </c>
      <c r="F1790" s="130">
        <v>150.0</v>
      </c>
      <c r="G1790" s="129"/>
      <c r="H1790" s="44" t="b">
        <v>1</v>
      </c>
      <c r="K1790" s="91" t="s">
        <v>1828</v>
      </c>
      <c r="L1790" s="90">
        <f t="shared" si="477"/>
        <v>4</v>
      </c>
      <c r="M1790" s="90">
        <f t="shared" si="478"/>
        <v>0</v>
      </c>
      <c r="N1790" s="90">
        <f t="shared" si="479"/>
        <v>4</v>
      </c>
      <c r="O1790" s="92">
        <f t="shared" si="480"/>
        <v>800</v>
      </c>
      <c r="P1790" s="92">
        <f t="shared" si="481"/>
        <v>800</v>
      </c>
      <c r="Q1790" s="92">
        <f t="shared" si="482"/>
        <v>0</v>
      </c>
    </row>
    <row r="1791" hidden="1" outlineLevel="1">
      <c r="A1791" s="102">
        <v>46179.0</v>
      </c>
      <c r="B1791" s="97">
        <f>A1791</f>
        <v>46179</v>
      </c>
      <c r="C1791" s="313">
        <v>0.3333333333333333</v>
      </c>
      <c r="D1791" s="129" t="s">
        <v>1756</v>
      </c>
      <c r="E1791" s="129" t="s">
        <v>469</v>
      </c>
      <c r="F1791" s="130">
        <v>150.0</v>
      </c>
      <c r="G1791" s="129" t="s">
        <v>1396</v>
      </c>
      <c r="H1791" s="44" t="b">
        <v>1</v>
      </c>
      <c r="K1791" s="91" t="s">
        <v>1860</v>
      </c>
      <c r="L1791" s="90">
        <f t="shared" si="477"/>
        <v>1</v>
      </c>
      <c r="M1791" s="90">
        <f t="shared" si="478"/>
        <v>0</v>
      </c>
      <c r="N1791" s="90">
        <f t="shared" si="479"/>
        <v>1</v>
      </c>
      <c r="O1791" s="92">
        <f t="shared" si="480"/>
        <v>200</v>
      </c>
      <c r="P1791" s="92">
        <f t="shared" si="481"/>
        <v>200</v>
      </c>
      <c r="Q1791" s="92">
        <f t="shared" si="482"/>
        <v>0</v>
      </c>
    </row>
    <row r="1792" hidden="1" outlineLevel="1">
      <c r="A1792" s="10"/>
      <c r="B1792" s="10"/>
      <c r="C1792" s="313">
        <v>0.3333333333333333</v>
      </c>
      <c r="D1792" s="129" t="s">
        <v>1857</v>
      </c>
      <c r="E1792" s="129" t="s">
        <v>1758</v>
      </c>
      <c r="F1792" s="130">
        <v>150.0</v>
      </c>
      <c r="G1792" s="129" t="s">
        <v>1396</v>
      </c>
      <c r="H1792" s="44" t="b">
        <v>1</v>
      </c>
      <c r="K1792" s="91" t="s">
        <v>1845</v>
      </c>
      <c r="L1792" s="90">
        <f t="shared" si="477"/>
        <v>1</v>
      </c>
      <c r="M1792" s="90">
        <f t="shared" si="478"/>
        <v>0</v>
      </c>
      <c r="N1792" s="90">
        <f t="shared" si="479"/>
        <v>1</v>
      </c>
      <c r="O1792" s="92">
        <f t="shared" si="480"/>
        <v>200</v>
      </c>
      <c r="P1792" s="92">
        <f t="shared" si="481"/>
        <v>200</v>
      </c>
      <c r="Q1792" s="92">
        <f t="shared" si="482"/>
        <v>0</v>
      </c>
    </row>
    <row r="1793" hidden="1" outlineLevel="1">
      <c r="A1793" s="102">
        <v>46180.0</v>
      </c>
      <c r="B1793" s="97">
        <f>A1793</f>
        <v>46180</v>
      </c>
      <c r="C1793" s="313">
        <v>0.3333333333333333</v>
      </c>
      <c r="D1793" s="129" t="s">
        <v>1828</v>
      </c>
      <c r="E1793" s="129" t="s">
        <v>1758</v>
      </c>
      <c r="F1793" s="130">
        <v>200.0</v>
      </c>
      <c r="G1793" s="129"/>
      <c r="H1793" s="44" t="b">
        <v>1</v>
      </c>
      <c r="K1793" s="91" t="s">
        <v>1861</v>
      </c>
      <c r="L1793" s="90">
        <f t="shared" si="477"/>
        <v>1</v>
      </c>
      <c r="M1793" s="90">
        <f t="shared" si="478"/>
        <v>0</v>
      </c>
      <c r="N1793" s="90">
        <f t="shared" si="479"/>
        <v>1</v>
      </c>
      <c r="O1793" s="92">
        <f t="shared" si="480"/>
        <v>200</v>
      </c>
      <c r="P1793" s="92">
        <f t="shared" si="481"/>
        <v>200</v>
      </c>
      <c r="Q1793" s="92">
        <f t="shared" si="482"/>
        <v>0</v>
      </c>
    </row>
    <row r="1794" hidden="1" outlineLevel="1">
      <c r="A1794" s="58"/>
      <c r="B1794" s="58"/>
      <c r="C1794" s="313">
        <v>0.4583333333333333</v>
      </c>
      <c r="D1794" s="129" t="s">
        <v>1857</v>
      </c>
      <c r="E1794" s="129" t="s">
        <v>1758</v>
      </c>
      <c r="F1794" s="130">
        <v>200.0</v>
      </c>
      <c r="G1794" s="129"/>
      <c r="H1794" s="44" t="b">
        <v>1</v>
      </c>
      <c r="K1794" s="91" t="s">
        <v>1855</v>
      </c>
      <c r="L1794" s="90">
        <f t="shared" si="477"/>
        <v>4</v>
      </c>
      <c r="M1794" s="90">
        <f t="shared" si="478"/>
        <v>0</v>
      </c>
      <c r="N1794" s="90">
        <f t="shared" si="479"/>
        <v>4</v>
      </c>
      <c r="O1794" s="92">
        <f t="shared" si="480"/>
        <v>600</v>
      </c>
      <c r="P1794" s="92">
        <f t="shared" si="481"/>
        <v>600</v>
      </c>
      <c r="Q1794" s="92">
        <f t="shared" si="482"/>
        <v>0</v>
      </c>
    </row>
    <row r="1795" hidden="1" outlineLevel="1">
      <c r="A1795" s="10"/>
      <c r="B1795" s="10"/>
      <c r="C1795" s="313">
        <v>0.7708333333333334</v>
      </c>
      <c r="D1795" s="129" t="s">
        <v>1840</v>
      </c>
      <c r="E1795" s="129" t="s">
        <v>1758</v>
      </c>
      <c r="F1795" s="130">
        <v>200.0</v>
      </c>
      <c r="G1795" s="129"/>
      <c r="H1795" s="44" t="b">
        <v>1</v>
      </c>
      <c r="K1795" s="91" t="s">
        <v>1761</v>
      </c>
      <c r="L1795" s="90">
        <f t="shared" si="477"/>
        <v>1</v>
      </c>
      <c r="M1795" s="90">
        <f t="shared" si="478"/>
        <v>0</v>
      </c>
      <c r="N1795" s="90">
        <f t="shared" si="479"/>
        <v>1</v>
      </c>
      <c r="O1795" s="92">
        <f t="shared" si="480"/>
        <v>150</v>
      </c>
      <c r="P1795" s="92">
        <f t="shared" si="481"/>
        <v>150</v>
      </c>
      <c r="Q1795" s="92">
        <f t="shared" si="482"/>
        <v>0</v>
      </c>
    </row>
    <row r="1796" hidden="1" outlineLevel="1">
      <c r="A1796" s="102">
        <v>46181.0</v>
      </c>
      <c r="B1796" s="97">
        <f>A1796</f>
        <v>46181</v>
      </c>
      <c r="C1796" s="313">
        <v>0.2916666666666667</v>
      </c>
      <c r="D1796" s="129" t="s">
        <v>1855</v>
      </c>
      <c r="E1796" s="129" t="s">
        <v>1758</v>
      </c>
      <c r="F1796" s="130">
        <v>150.0</v>
      </c>
      <c r="G1796" s="129"/>
      <c r="H1796" s="44" t="b">
        <v>1</v>
      </c>
      <c r="K1796" s="276"/>
      <c r="L1796" s="90"/>
      <c r="M1796" s="276"/>
      <c r="N1796" s="276"/>
      <c r="O1796" s="276"/>
      <c r="P1796" s="276"/>
      <c r="Q1796" s="276"/>
    </row>
    <row r="1797" hidden="1" outlineLevel="1">
      <c r="A1797" s="10"/>
      <c r="B1797" s="10"/>
      <c r="C1797" s="313">
        <v>0.5069444444444444</v>
      </c>
      <c r="D1797" s="129" t="s">
        <v>1636</v>
      </c>
      <c r="E1797" s="129" t="s">
        <v>1758</v>
      </c>
      <c r="F1797" s="130">
        <v>150.0</v>
      </c>
      <c r="G1797" s="129"/>
      <c r="H1797" s="44" t="b">
        <v>1</v>
      </c>
      <c r="K1797" s="276"/>
      <c r="L1797" s="90"/>
      <c r="M1797" s="276"/>
      <c r="N1797" s="276"/>
      <c r="O1797" s="276"/>
      <c r="P1797" s="276"/>
      <c r="Q1797" s="276"/>
    </row>
    <row r="1798" hidden="1" outlineLevel="1">
      <c r="A1798" s="102">
        <v>46182.0</v>
      </c>
      <c r="B1798" s="97">
        <f>A1798</f>
        <v>46182</v>
      </c>
      <c r="C1798" s="398">
        <v>0.2916666666666667</v>
      </c>
      <c r="D1798" s="129" t="s">
        <v>1756</v>
      </c>
      <c r="E1798" s="129" t="s">
        <v>469</v>
      </c>
      <c r="F1798" s="130">
        <v>150.0</v>
      </c>
      <c r="G1798" s="129"/>
      <c r="H1798" s="44" t="b">
        <v>1</v>
      </c>
      <c r="K1798" s="276"/>
      <c r="L1798" s="90"/>
      <c r="M1798" s="276"/>
      <c r="N1798" s="276"/>
      <c r="O1798" s="276"/>
      <c r="P1798" s="276"/>
      <c r="Q1798" s="276"/>
    </row>
    <row r="1799" hidden="1" outlineLevel="1">
      <c r="A1799" s="58"/>
      <c r="B1799" s="58"/>
      <c r="C1799" s="10"/>
      <c r="D1799" s="129" t="s">
        <v>183</v>
      </c>
      <c r="E1799" s="129" t="s">
        <v>1758</v>
      </c>
      <c r="F1799" s="130">
        <v>150.0</v>
      </c>
      <c r="G1799" s="129"/>
      <c r="H1799" s="44" t="b">
        <v>1</v>
      </c>
      <c r="K1799" s="276"/>
      <c r="L1799" s="90"/>
      <c r="M1799" s="276"/>
      <c r="N1799" s="276"/>
      <c r="O1799" s="276"/>
      <c r="P1799" s="276"/>
      <c r="Q1799" s="276"/>
    </row>
    <row r="1800" hidden="1" outlineLevel="1">
      <c r="A1800" s="10"/>
      <c r="B1800" s="10"/>
      <c r="C1800" s="313">
        <v>0.5069444444444444</v>
      </c>
      <c r="D1800" s="129" t="s">
        <v>1636</v>
      </c>
      <c r="E1800" s="129" t="s">
        <v>1758</v>
      </c>
      <c r="F1800" s="130">
        <v>150.0</v>
      </c>
      <c r="G1800" s="129"/>
      <c r="H1800" s="44" t="b">
        <v>1</v>
      </c>
      <c r="K1800" s="276"/>
      <c r="L1800" s="90"/>
      <c r="M1800" s="276"/>
      <c r="N1800" s="276"/>
      <c r="O1800" s="276"/>
      <c r="P1800" s="276"/>
      <c r="Q1800" s="276"/>
    </row>
    <row r="1801" hidden="1" outlineLevel="1">
      <c r="A1801" s="102">
        <v>46183.0</v>
      </c>
      <c r="B1801" s="97">
        <f>A1801</f>
        <v>46183</v>
      </c>
      <c r="C1801" s="313">
        <v>0.3333333333333333</v>
      </c>
      <c r="D1801" s="129" t="s">
        <v>1756</v>
      </c>
      <c r="E1801" s="129" t="s">
        <v>1758</v>
      </c>
      <c r="F1801" s="130">
        <v>150.0</v>
      </c>
      <c r="G1801" s="129"/>
      <c r="H1801" s="44" t="b">
        <v>1</v>
      </c>
      <c r="K1801" s="91"/>
      <c r="L1801" s="90"/>
      <c r="M1801" s="90"/>
      <c r="N1801" s="90"/>
      <c r="O1801" s="92"/>
      <c r="P1801" s="92"/>
      <c r="Q1801" s="90"/>
    </row>
    <row r="1802" hidden="1" outlineLevel="1">
      <c r="A1802" s="10"/>
      <c r="B1802" s="10"/>
      <c r="C1802" s="313">
        <v>0.5069444444444444</v>
      </c>
      <c r="D1802" s="129" t="s">
        <v>1636</v>
      </c>
      <c r="E1802" s="129" t="s">
        <v>1758</v>
      </c>
      <c r="F1802" s="130">
        <v>150.0</v>
      </c>
      <c r="G1802" s="129"/>
      <c r="H1802" s="44" t="b">
        <v>1</v>
      </c>
      <c r="K1802" s="477" t="s">
        <v>195</v>
      </c>
      <c r="L1802" s="478">
        <f t="shared" ref="L1802:Q1802" si="483">SUM(L1781:L1801)</f>
        <v>59</v>
      </c>
      <c r="M1802" s="478">
        <f t="shared" si="483"/>
        <v>12</v>
      </c>
      <c r="N1802" s="478">
        <f t="shared" si="483"/>
        <v>71</v>
      </c>
      <c r="O1802" s="479">
        <f t="shared" si="483"/>
        <v>10800</v>
      </c>
      <c r="P1802" s="479">
        <f t="shared" si="483"/>
        <v>10800</v>
      </c>
      <c r="Q1802" s="479">
        <f t="shared" si="483"/>
        <v>0</v>
      </c>
    </row>
    <row r="1803" hidden="1" outlineLevel="1">
      <c r="A1803" s="102">
        <v>46184.0</v>
      </c>
      <c r="B1803" s="97">
        <f>A1803</f>
        <v>46184</v>
      </c>
      <c r="C1803" s="313">
        <v>0.2916666666666667</v>
      </c>
      <c r="D1803" s="129" t="s">
        <v>1756</v>
      </c>
      <c r="E1803" s="129" t="s">
        <v>1758</v>
      </c>
      <c r="F1803" s="130">
        <v>150.0</v>
      </c>
      <c r="G1803" s="129"/>
      <c r="H1803" s="44" t="b">
        <v>1</v>
      </c>
    </row>
    <row r="1804" hidden="1" outlineLevel="1">
      <c r="A1804" s="10"/>
      <c r="B1804" s="10"/>
      <c r="C1804" s="313">
        <v>0.5069444444444444</v>
      </c>
      <c r="D1804" s="129" t="s">
        <v>562</v>
      </c>
      <c r="E1804" s="129" t="s">
        <v>1758</v>
      </c>
      <c r="F1804" s="130">
        <v>150.0</v>
      </c>
      <c r="G1804" s="129"/>
      <c r="H1804" s="44" t="b">
        <v>1</v>
      </c>
    </row>
    <row r="1805" hidden="1" outlineLevel="1">
      <c r="A1805" s="102">
        <v>46185.0</v>
      </c>
      <c r="B1805" s="97">
        <f>A1805</f>
        <v>46185</v>
      </c>
      <c r="C1805" s="398">
        <v>0.2916666666666667</v>
      </c>
      <c r="D1805" s="129" t="s">
        <v>1756</v>
      </c>
      <c r="E1805" s="129" t="s">
        <v>469</v>
      </c>
      <c r="F1805" s="130">
        <v>150.0</v>
      </c>
      <c r="G1805" s="129"/>
      <c r="H1805" s="44" t="b">
        <v>1</v>
      </c>
    </row>
    <row r="1806" hidden="1" outlineLevel="1">
      <c r="A1806" s="58"/>
      <c r="B1806" s="58"/>
      <c r="C1806" s="10"/>
      <c r="D1806" s="129" t="s">
        <v>183</v>
      </c>
      <c r="E1806" s="129" t="s">
        <v>1758</v>
      </c>
      <c r="F1806" s="130">
        <v>150.0</v>
      </c>
      <c r="G1806" s="129"/>
      <c r="H1806" s="44" t="b">
        <v>1</v>
      </c>
    </row>
    <row r="1807" hidden="1" outlineLevel="1">
      <c r="A1807" s="10"/>
      <c r="B1807" s="10"/>
      <c r="C1807" s="313">
        <v>0.5069444444444444</v>
      </c>
      <c r="D1807" s="129" t="s">
        <v>1636</v>
      </c>
      <c r="E1807" s="129" t="s">
        <v>1758</v>
      </c>
      <c r="F1807" s="130">
        <v>150.0</v>
      </c>
      <c r="G1807" s="129"/>
      <c r="H1807" s="44" t="b">
        <v>1</v>
      </c>
    </row>
    <row r="1808" hidden="1" outlineLevel="1">
      <c r="A1808" s="102">
        <v>46186.0</v>
      </c>
      <c r="B1808" s="97">
        <f>A1808</f>
        <v>46186</v>
      </c>
      <c r="C1808" s="313">
        <v>0.3333333333333333</v>
      </c>
      <c r="D1808" s="129" t="s">
        <v>1841</v>
      </c>
      <c r="E1808" s="129" t="s">
        <v>1758</v>
      </c>
      <c r="F1808" s="130">
        <v>0.0</v>
      </c>
      <c r="G1808" s="129" t="s">
        <v>2097</v>
      </c>
      <c r="H1808" s="44" t="b">
        <v>1</v>
      </c>
    </row>
    <row r="1809" hidden="1" outlineLevel="1">
      <c r="A1809" s="10"/>
      <c r="B1809" s="10"/>
      <c r="C1809" s="313">
        <v>0.3333333333333333</v>
      </c>
      <c r="D1809" s="129" t="s">
        <v>1756</v>
      </c>
      <c r="E1809" s="129" t="s">
        <v>469</v>
      </c>
      <c r="F1809" s="130">
        <v>150.0</v>
      </c>
      <c r="G1809" s="129" t="s">
        <v>2098</v>
      </c>
      <c r="H1809" s="44" t="b">
        <v>1</v>
      </c>
    </row>
    <row r="1810" hidden="1" outlineLevel="1">
      <c r="A1810" s="102">
        <v>46187.0</v>
      </c>
      <c r="B1810" s="97">
        <f>A1810</f>
        <v>46187</v>
      </c>
      <c r="C1810" s="313">
        <v>0.3333333333333333</v>
      </c>
      <c r="D1810" s="129" t="s">
        <v>1828</v>
      </c>
      <c r="E1810" s="129" t="s">
        <v>1758</v>
      </c>
      <c r="F1810" s="130">
        <v>200.0</v>
      </c>
      <c r="G1810" s="129"/>
      <c r="H1810" s="44" t="b">
        <v>1</v>
      </c>
    </row>
    <row r="1811" hidden="1" outlineLevel="1">
      <c r="A1811" s="58"/>
      <c r="B1811" s="58"/>
      <c r="C1811" s="313">
        <v>0.4583333333333333</v>
      </c>
      <c r="D1811" s="129" t="s">
        <v>1841</v>
      </c>
      <c r="E1811" s="129" t="s">
        <v>1758</v>
      </c>
      <c r="F1811" s="130">
        <v>0.0</v>
      </c>
      <c r="G1811" s="129" t="s">
        <v>2097</v>
      </c>
      <c r="H1811" s="44" t="b">
        <v>1</v>
      </c>
    </row>
    <row r="1812" hidden="1" outlineLevel="1">
      <c r="A1812" s="10"/>
      <c r="B1812" s="10"/>
      <c r="C1812" s="313">
        <v>0.7708333333333334</v>
      </c>
      <c r="D1812" s="129" t="s">
        <v>1845</v>
      </c>
      <c r="E1812" s="129" t="s">
        <v>1758</v>
      </c>
      <c r="F1812" s="130">
        <v>200.0</v>
      </c>
      <c r="G1812" s="129"/>
      <c r="H1812" s="44" t="b">
        <v>1</v>
      </c>
    </row>
    <row r="1813" hidden="1" outlineLevel="1">
      <c r="A1813" s="102">
        <v>46188.0</v>
      </c>
      <c r="B1813" s="97">
        <f>A1813</f>
        <v>46188</v>
      </c>
      <c r="C1813" s="313">
        <v>0.2916666666666667</v>
      </c>
      <c r="D1813" s="129" t="s">
        <v>1841</v>
      </c>
      <c r="E1813" s="129" t="s">
        <v>1758</v>
      </c>
      <c r="F1813" s="130">
        <v>0.0</v>
      </c>
      <c r="G1813" s="129"/>
      <c r="H1813" s="44" t="b">
        <v>1</v>
      </c>
    </row>
    <row r="1814" hidden="1" outlineLevel="1">
      <c r="A1814" s="10"/>
      <c r="B1814" s="10"/>
      <c r="C1814" s="313">
        <v>0.5069444444444444</v>
      </c>
      <c r="D1814" s="129" t="s">
        <v>1636</v>
      </c>
      <c r="E1814" s="129" t="s">
        <v>1758</v>
      </c>
      <c r="F1814" s="130">
        <v>150.0</v>
      </c>
      <c r="G1814" s="129"/>
      <c r="H1814" s="44" t="b">
        <v>1</v>
      </c>
    </row>
    <row r="1815" hidden="1" outlineLevel="1">
      <c r="A1815" s="102">
        <v>46189.0</v>
      </c>
      <c r="B1815" s="97">
        <f>A1815</f>
        <v>46189</v>
      </c>
      <c r="C1815" s="398">
        <v>0.2916666666666667</v>
      </c>
      <c r="D1815" s="129" t="s">
        <v>1756</v>
      </c>
      <c r="E1815" s="129" t="s">
        <v>469</v>
      </c>
      <c r="F1815" s="130">
        <v>150.0</v>
      </c>
      <c r="G1815" s="129"/>
      <c r="H1815" s="44" t="b">
        <v>1</v>
      </c>
    </row>
    <row r="1816" hidden="1" outlineLevel="1">
      <c r="A1816" s="58"/>
      <c r="B1816" s="58"/>
      <c r="C1816" s="10"/>
      <c r="D1816" s="129" t="s">
        <v>183</v>
      </c>
      <c r="E1816" s="129" t="s">
        <v>1758</v>
      </c>
      <c r="F1816" s="130">
        <v>150.0</v>
      </c>
      <c r="G1816" s="129"/>
      <c r="H1816" s="44" t="b">
        <v>1</v>
      </c>
    </row>
    <row r="1817" hidden="1" outlineLevel="1">
      <c r="A1817" s="10"/>
      <c r="B1817" s="10"/>
      <c r="C1817" s="313">
        <v>0.5069444444444444</v>
      </c>
      <c r="D1817" s="129" t="s">
        <v>1636</v>
      </c>
      <c r="E1817" s="129" t="s">
        <v>1758</v>
      </c>
      <c r="F1817" s="130">
        <v>150.0</v>
      </c>
      <c r="G1817" s="129"/>
      <c r="H1817" s="44" t="b">
        <v>1</v>
      </c>
    </row>
    <row r="1818" hidden="1" outlineLevel="1">
      <c r="A1818" s="102">
        <v>46190.0</v>
      </c>
      <c r="B1818" s="97">
        <f>A1818</f>
        <v>46190</v>
      </c>
      <c r="C1818" s="313">
        <v>0.3333333333333333</v>
      </c>
      <c r="D1818" s="129" t="s">
        <v>1756</v>
      </c>
      <c r="E1818" s="129" t="s">
        <v>1758</v>
      </c>
      <c r="F1818" s="130">
        <v>150.0</v>
      </c>
      <c r="G1818" s="129"/>
      <c r="H1818" s="44" t="b">
        <v>1</v>
      </c>
    </row>
    <row r="1819" hidden="1" outlineLevel="1">
      <c r="A1819" s="10"/>
      <c r="B1819" s="10"/>
      <c r="C1819" s="313">
        <v>0.5069444444444444</v>
      </c>
      <c r="D1819" s="129" t="s">
        <v>1636</v>
      </c>
      <c r="E1819" s="129" t="s">
        <v>1758</v>
      </c>
      <c r="F1819" s="130">
        <v>150.0</v>
      </c>
      <c r="G1819" s="129"/>
      <c r="H1819" s="44" t="b">
        <v>1</v>
      </c>
    </row>
    <row r="1820" hidden="1" outlineLevel="1">
      <c r="A1820" s="102">
        <v>46191.0</v>
      </c>
      <c r="B1820" s="97">
        <f>A1820</f>
        <v>46191</v>
      </c>
      <c r="C1820" s="313">
        <v>0.2916666666666667</v>
      </c>
      <c r="D1820" s="129" t="s">
        <v>1756</v>
      </c>
      <c r="E1820" s="129" t="s">
        <v>1758</v>
      </c>
      <c r="F1820" s="130">
        <v>150.0</v>
      </c>
      <c r="G1820" s="129"/>
      <c r="H1820" s="44" t="b">
        <v>1</v>
      </c>
    </row>
    <row r="1821" hidden="1" outlineLevel="1">
      <c r="A1821" s="10"/>
      <c r="B1821" s="10"/>
      <c r="C1821" s="313">
        <v>0.5069444444444444</v>
      </c>
      <c r="D1821" s="129" t="s">
        <v>562</v>
      </c>
      <c r="E1821" s="129" t="s">
        <v>1758</v>
      </c>
      <c r="F1821" s="130">
        <v>150.0</v>
      </c>
      <c r="G1821" s="129"/>
      <c r="H1821" s="44" t="b">
        <v>1</v>
      </c>
    </row>
    <row r="1822" hidden="1" outlineLevel="1">
      <c r="A1822" s="102">
        <v>46192.0</v>
      </c>
      <c r="B1822" s="97">
        <f>A1822</f>
        <v>46192</v>
      </c>
      <c r="C1822" s="398">
        <v>0.2916666666666667</v>
      </c>
      <c r="D1822" s="129" t="s">
        <v>1756</v>
      </c>
      <c r="E1822" s="129" t="s">
        <v>469</v>
      </c>
      <c r="F1822" s="130">
        <v>150.0</v>
      </c>
      <c r="G1822" s="129"/>
      <c r="H1822" s="44" t="b">
        <v>1</v>
      </c>
    </row>
    <row r="1823" hidden="1" outlineLevel="1">
      <c r="A1823" s="58"/>
      <c r="B1823" s="58"/>
      <c r="C1823" s="10"/>
      <c r="D1823" s="129" t="s">
        <v>183</v>
      </c>
      <c r="E1823" s="129" t="s">
        <v>1758</v>
      </c>
      <c r="F1823" s="130">
        <v>150.0</v>
      </c>
      <c r="G1823" s="129"/>
      <c r="H1823" s="44" t="b">
        <v>1</v>
      </c>
    </row>
    <row r="1824" hidden="1" outlineLevel="1">
      <c r="A1824" s="10"/>
      <c r="B1824" s="10"/>
      <c r="C1824" s="313">
        <v>0.5069444444444444</v>
      </c>
      <c r="D1824" s="129" t="s">
        <v>1636</v>
      </c>
      <c r="E1824" s="129" t="s">
        <v>1758</v>
      </c>
      <c r="F1824" s="130">
        <v>150.0</v>
      </c>
      <c r="G1824" s="129"/>
      <c r="H1824" s="44" t="b">
        <v>1</v>
      </c>
    </row>
    <row r="1825" hidden="1" outlineLevel="1">
      <c r="A1825" s="125">
        <v>46193.0</v>
      </c>
      <c r="B1825" s="126">
        <f t="shared" ref="B1825:B1826" si="484">A1825</f>
        <v>46193</v>
      </c>
      <c r="C1825" s="313">
        <v>0.3333333333333333</v>
      </c>
      <c r="D1825" s="129" t="s">
        <v>1756</v>
      </c>
      <c r="E1825" s="129" t="s">
        <v>1758</v>
      </c>
      <c r="F1825" s="130">
        <v>150.0</v>
      </c>
      <c r="G1825" s="129"/>
      <c r="H1825" s="44" t="b">
        <v>1</v>
      </c>
    </row>
    <row r="1826" hidden="1" outlineLevel="1">
      <c r="A1826" s="102">
        <v>46194.0</v>
      </c>
      <c r="B1826" s="97">
        <f t="shared" si="484"/>
        <v>46194</v>
      </c>
      <c r="C1826" s="313">
        <v>0.3333333333333333</v>
      </c>
      <c r="D1826" s="129" t="s">
        <v>1828</v>
      </c>
      <c r="E1826" s="129" t="s">
        <v>1758</v>
      </c>
      <c r="F1826" s="130">
        <v>200.0</v>
      </c>
      <c r="G1826" s="129"/>
      <c r="H1826" s="44" t="b">
        <v>1</v>
      </c>
    </row>
    <row r="1827" hidden="1" outlineLevel="1">
      <c r="A1827" s="58"/>
      <c r="B1827" s="58"/>
      <c r="C1827" s="313">
        <v>0.4583333333333333</v>
      </c>
      <c r="D1827" s="129" t="s">
        <v>1857</v>
      </c>
      <c r="E1827" s="129" t="s">
        <v>1758</v>
      </c>
      <c r="F1827" s="130">
        <v>200.0</v>
      </c>
      <c r="G1827" s="129"/>
      <c r="H1827" s="44" t="b">
        <v>1</v>
      </c>
    </row>
    <row r="1828" hidden="1" outlineLevel="1">
      <c r="A1828" s="10"/>
      <c r="B1828" s="10"/>
      <c r="C1828" s="313">
        <v>0.7708333333333334</v>
      </c>
      <c r="D1828" s="129" t="s">
        <v>1861</v>
      </c>
      <c r="E1828" s="129" t="s">
        <v>1758</v>
      </c>
      <c r="F1828" s="130">
        <v>200.0</v>
      </c>
      <c r="G1828" s="129"/>
      <c r="H1828" s="44" t="b">
        <v>1</v>
      </c>
    </row>
    <row r="1829" hidden="1" outlineLevel="1">
      <c r="A1829" s="102">
        <v>46195.0</v>
      </c>
      <c r="B1829" s="97">
        <f>A1829</f>
        <v>46195</v>
      </c>
      <c r="C1829" s="313">
        <v>0.2916666666666667</v>
      </c>
      <c r="D1829" s="129" t="s">
        <v>1855</v>
      </c>
      <c r="E1829" s="129" t="s">
        <v>1758</v>
      </c>
      <c r="F1829" s="130">
        <v>150.0</v>
      </c>
      <c r="G1829" s="129"/>
      <c r="H1829" s="44" t="b">
        <v>1</v>
      </c>
    </row>
    <row r="1830" hidden="1" outlineLevel="1">
      <c r="A1830" s="10"/>
      <c r="B1830" s="10"/>
      <c r="C1830" s="313">
        <v>0.5069444444444444</v>
      </c>
      <c r="D1830" s="129" t="s">
        <v>1848</v>
      </c>
      <c r="E1830" s="129" t="s">
        <v>1758</v>
      </c>
      <c r="F1830" s="130">
        <v>150.0</v>
      </c>
      <c r="G1830" s="129"/>
      <c r="H1830" s="44" t="b">
        <v>1</v>
      </c>
    </row>
    <row r="1831" hidden="1" outlineLevel="1">
      <c r="A1831" s="102">
        <v>46196.0</v>
      </c>
      <c r="B1831" s="97">
        <f>A1831</f>
        <v>46196</v>
      </c>
      <c r="C1831" s="398">
        <v>0.2916666666666667</v>
      </c>
      <c r="D1831" s="129" t="s">
        <v>1756</v>
      </c>
      <c r="E1831" s="129" t="s">
        <v>469</v>
      </c>
      <c r="F1831" s="130">
        <v>150.0</v>
      </c>
      <c r="G1831" s="129"/>
      <c r="H1831" s="44" t="b">
        <v>1</v>
      </c>
    </row>
    <row r="1832" hidden="1" outlineLevel="1">
      <c r="A1832" s="58"/>
      <c r="B1832" s="58"/>
      <c r="C1832" s="10"/>
      <c r="D1832" s="129" t="s">
        <v>183</v>
      </c>
      <c r="E1832" s="129" t="s">
        <v>1758</v>
      </c>
      <c r="F1832" s="130">
        <v>150.0</v>
      </c>
      <c r="G1832" s="129"/>
      <c r="H1832" s="44" t="b">
        <v>1</v>
      </c>
    </row>
    <row r="1833" hidden="1" outlineLevel="1">
      <c r="A1833" s="10"/>
      <c r="B1833" s="10"/>
      <c r="C1833" s="313">
        <v>0.5069444444444444</v>
      </c>
      <c r="D1833" s="129" t="s">
        <v>1761</v>
      </c>
      <c r="E1833" s="129" t="s">
        <v>1758</v>
      </c>
      <c r="F1833" s="130">
        <v>150.0</v>
      </c>
      <c r="G1833" s="129"/>
      <c r="H1833" s="44" t="b">
        <v>1</v>
      </c>
    </row>
    <row r="1834" hidden="1" outlineLevel="1">
      <c r="A1834" s="102">
        <v>46197.0</v>
      </c>
      <c r="B1834" s="97">
        <f>A1834</f>
        <v>46197</v>
      </c>
      <c r="C1834" s="313">
        <v>0.3333333333333333</v>
      </c>
      <c r="D1834" s="129" t="s">
        <v>1756</v>
      </c>
      <c r="E1834" s="129" t="s">
        <v>1758</v>
      </c>
      <c r="F1834" s="130">
        <v>150.0</v>
      </c>
      <c r="G1834" s="129"/>
      <c r="H1834" s="44" t="b">
        <v>1</v>
      </c>
    </row>
    <row r="1835" hidden="1" outlineLevel="1">
      <c r="A1835" s="10"/>
      <c r="B1835" s="10"/>
      <c r="C1835" s="313">
        <v>0.5069444444444444</v>
      </c>
      <c r="D1835" s="129" t="s">
        <v>1636</v>
      </c>
      <c r="E1835" s="129" t="s">
        <v>1758</v>
      </c>
      <c r="F1835" s="130">
        <v>150.0</v>
      </c>
      <c r="G1835" s="129"/>
      <c r="H1835" s="44" t="b">
        <v>1</v>
      </c>
    </row>
    <row r="1836" hidden="1" outlineLevel="1">
      <c r="A1836" s="102">
        <v>46198.0</v>
      </c>
      <c r="B1836" s="97">
        <f>A1836</f>
        <v>46198</v>
      </c>
      <c r="C1836" s="313">
        <v>0.2916666666666667</v>
      </c>
      <c r="D1836" s="129" t="s">
        <v>1756</v>
      </c>
      <c r="E1836" s="129" t="s">
        <v>1758</v>
      </c>
      <c r="F1836" s="130">
        <v>150.0</v>
      </c>
      <c r="G1836" s="129"/>
      <c r="H1836" s="44" t="b">
        <v>1</v>
      </c>
    </row>
    <row r="1837" hidden="1" outlineLevel="1">
      <c r="A1837" s="10"/>
      <c r="B1837" s="10"/>
      <c r="C1837" s="313">
        <v>0.5069444444444444</v>
      </c>
      <c r="D1837" s="129" t="s">
        <v>562</v>
      </c>
      <c r="E1837" s="129" t="s">
        <v>1758</v>
      </c>
      <c r="F1837" s="130">
        <v>150.0</v>
      </c>
      <c r="G1837" s="129"/>
      <c r="H1837" s="44" t="b">
        <v>1</v>
      </c>
    </row>
    <row r="1838" hidden="1" outlineLevel="1">
      <c r="A1838" s="102">
        <v>46199.0</v>
      </c>
      <c r="B1838" s="97">
        <f>A1838</f>
        <v>46199</v>
      </c>
      <c r="C1838" s="398">
        <v>0.2916666666666667</v>
      </c>
      <c r="D1838" s="129" t="s">
        <v>1756</v>
      </c>
      <c r="E1838" s="129" t="s">
        <v>469</v>
      </c>
      <c r="F1838" s="130">
        <v>150.0</v>
      </c>
      <c r="G1838" s="129"/>
      <c r="H1838" s="44" t="b">
        <v>1</v>
      </c>
    </row>
    <row r="1839" hidden="1" outlineLevel="1">
      <c r="A1839" s="58"/>
      <c r="B1839" s="58"/>
      <c r="C1839" s="10"/>
      <c r="D1839" s="129" t="s">
        <v>183</v>
      </c>
      <c r="E1839" s="129" t="s">
        <v>1758</v>
      </c>
      <c r="F1839" s="130">
        <v>150.0</v>
      </c>
      <c r="G1839" s="129"/>
      <c r="H1839" s="44" t="b">
        <v>1</v>
      </c>
    </row>
    <row r="1840" hidden="1" outlineLevel="1">
      <c r="A1840" s="10"/>
      <c r="B1840" s="10"/>
      <c r="C1840" s="313">
        <v>0.5069444444444444</v>
      </c>
      <c r="D1840" s="129" t="s">
        <v>1636</v>
      </c>
      <c r="E1840" s="129" t="s">
        <v>1758</v>
      </c>
      <c r="F1840" s="130">
        <v>150.0</v>
      </c>
      <c r="G1840" s="129"/>
      <c r="H1840" s="44" t="b">
        <v>1</v>
      </c>
    </row>
    <row r="1841" hidden="1" outlineLevel="1">
      <c r="A1841" s="125">
        <v>46200.0</v>
      </c>
      <c r="B1841" s="126">
        <f t="shared" ref="B1841:B1842" si="485">A1841</f>
        <v>46200</v>
      </c>
      <c r="C1841" s="313">
        <v>0.3333333333333333</v>
      </c>
      <c r="D1841" s="129" t="s">
        <v>1756</v>
      </c>
      <c r="E1841" s="129" t="s">
        <v>1758</v>
      </c>
      <c r="F1841" s="130">
        <v>150.0</v>
      </c>
      <c r="G1841" s="129"/>
      <c r="H1841" s="44" t="b">
        <v>1</v>
      </c>
    </row>
    <row r="1842" hidden="1" outlineLevel="1">
      <c r="A1842" s="102">
        <v>46201.0</v>
      </c>
      <c r="B1842" s="97">
        <f t="shared" si="485"/>
        <v>46201</v>
      </c>
      <c r="C1842" s="313">
        <v>0.3333333333333333</v>
      </c>
      <c r="D1842" s="129" t="s">
        <v>1848</v>
      </c>
      <c r="E1842" s="129" t="s">
        <v>1758</v>
      </c>
      <c r="F1842" s="130">
        <v>200.0</v>
      </c>
      <c r="G1842" s="129"/>
      <c r="H1842" s="44" t="b">
        <v>1</v>
      </c>
    </row>
    <row r="1843" hidden="1" outlineLevel="1">
      <c r="A1843" s="58"/>
      <c r="B1843" s="58"/>
      <c r="C1843" s="313">
        <v>0.4583333333333333</v>
      </c>
      <c r="D1843" s="129" t="s">
        <v>562</v>
      </c>
      <c r="E1843" s="129" t="s">
        <v>1758</v>
      </c>
      <c r="F1843" s="130">
        <v>200.0</v>
      </c>
      <c r="G1843" s="129"/>
      <c r="H1843" s="44" t="b">
        <v>1</v>
      </c>
    </row>
    <row r="1844" hidden="1" outlineLevel="1">
      <c r="A1844" s="10"/>
      <c r="B1844" s="10"/>
      <c r="C1844" s="313">
        <v>0.7708333333333334</v>
      </c>
      <c r="D1844" s="129" t="s">
        <v>1860</v>
      </c>
      <c r="E1844" s="129" t="s">
        <v>1758</v>
      </c>
      <c r="F1844" s="130">
        <v>200.0</v>
      </c>
      <c r="G1844" s="129"/>
      <c r="H1844" s="44" t="b">
        <v>1</v>
      </c>
    </row>
    <row r="1845" hidden="1" outlineLevel="1">
      <c r="A1845" s="102">
        <v>46202.0</v>
      </c>
      <c r="B1845" s="97">
        <f>A1845</f>
        <v>46202</v>
      </c>
      <c r="C1845" s="313">
        <v>0.2916666666666667</v>
      </c>
      <c r="D1845" s="129" t="s">
        <v>1855</v>
      </c>
      <c r="E1845" s="129" t="s">
        <v>1758</v>
      </c>
      <c r="F1845" s="130">
        <v>150.0</v>
      </c>
      <c r="G1845" s="129"/>
      <c r="H1845" s="44" t="b">
        <v>1</v>
      </c>
    </row>
    <row r="1846" hidden="1" outlineLevel="1">
      <c r="A1846" s="10"/>
      <c r="B1846" s="10"/>
      <c r="C1846" s="313">
        <v>0.5069444444444444</v>
      </c>
      <c r="D1846" s="129" t="s">
        <v>1636</v>
      </c>
      <c r="E1846" s="129" t="s">
        <v>1758</v>
      </c>
      <c r="F1846" s="130">
        <v>150.0</v>
      </c>
      <c r="G1846" s="129"/>
      <c r="H1846" s="44" t="b">
        <v>1</v>
      </c>
    </row>
    <row r="1847" hidden="1" outlineLevel="1">
      <c r="A1847" s="102">
        <v>46203.0</v>
      </c>
      <c r="B1847" s="97">
        <f>A1847</f>
        <v>46203</v>
      </c>
      <c r="C1847" s="398">
        <v>0.2916666666666667</v>
      </c>
      <c r="D1847" s="129" t="s">
        <v>1756</v>
      </c>
      <c r="E1847" s="129" t="s">
        <v>469</v>
      </c>
      <c r="F1847" s="130">
        <v>150.0</v>
      </c>
      <c r="G1847" s="129"/>
      <c r="H1847" s="44" t="b">
        <v>1</v>
      </c>
    </row>
    <row r="1848" hidden="1" outlineLevel="1">
      <c r="A1848" s="58"/>
      <c r="B1848" s="58"/>
      <c r="C1848" s="10"/>
      <c r="D1848" s="129" t="s">
        <v>183</v>
      </c>
      <c r="E1848" s="129" t="s">
        <v>1758</v>
      </c>
      <c r="F1848" s="130">
        <v>150.0</v>
      </c>
      <c r="G1848" s="129"/>
      <c r="H1848" s="44" t="b">
        <v>1</v>
      </c>
    </row>
    <row r="1849" hidden="1" outlineLevel="1">
      <c r="A1849" s="10"/>
      <c r="B1849" s="10"/>
      <c r="C1849" s="313">
        <v>0.5069444444444444</v>
      </c>
      <c r="D1849" s="129" t="s">
        <v>1636</v>
      </c>
      <c r="E1849" s="129" t="s">
        <v>1758</v>
      </c>
      <c r="F1849" s="130">
        <v>150.0</v>
      </c>
      <c r="G1849" s="129"/>
      <c r="H1849" s="44" t="b">
        <v>1</v>
      </c>
    </row>
    <row r="1850">
      <c r="A1850" s="484" t="s">
        <v>195</v>
      </c>
      <c r="B1850" s="27"/>
      <c r="C1850" s="27"/>
      <c r="D1850" s="27"/>
      <c r="E1850" s="28"/>
      <c r="F1850" s="485">
        <f>SUM(F1779:F1849)</f>
        <v>10800</v>
      </c>
      <c r="G1850" s="486"/>
      <c r="H1850" s="28"/>
    </row>
    <row r="1851" collapsed="1">
      <c r="A1851" s="339" t="s">
        <v>1678</v>
      </c>
      <c r="B1851" s="246"/>
      <c r="C1851" s="246"/>
      <c r="D1851" s="246"/>
      <c r="E1851" s="246"/>
      <c r="F1851" s="246"/>
      <c r="G1851" s="246"/>
      <c r="H1851" s="247"/>
    </row>
    <row r="1852" hidden="1" outlineLevel="1">
      <c r="A1852" s="574">
        <v>46204.0</v>
      </c>
      <c r="B1852" s="575">
        <f>A1852</f>
        <v>46204</v>
      </c>
      <c r="C1852" s="576">
        <v>0.2916666666666667</v>
      </c>
      <c r="D1852" s="577" t="s">
        <v>1756</v>
      </c>
      <c r="E1852" s="577" t="s">
        <v>1758</v>
      </c>
      <c r="F1852" s="578">
        <v>150.0</v>
      </c>
      <c r="G1852" s="579"/>
      <c r="H1852" s="580" t="b">
        <v>1</v>
      </c>
      <c r="K1852" s="440" t="s">
        <v>2099</v>
      </c>
      <c r="L1852" s="27"/>
      <c r="M1852" s="27"/>
      <c r="N1852" s="27"/>
      <c r="O1852" s="27"/>
      <c r="P1852" s="572">
        <v>46204.0</v>
      </c>
      <c r="Q1852" s="573">
        <v>46234.0</v>
      </c>
    </row>
    <row r="1853" hidden="1" outlineLevel="1">
      <c r="A1853" s="10"/>
      <c r="B1853" s="10"/>
      <c r="C1853" s="429">
        <v>0.5069444444444444</v>
      </c>
      <c r="D1853" s="577" t="s">
        <v>1636</v>
      </c>
      <c r="E1853" s="577" t="s">
        <v>1758</v>
      </c>
      <c r="F1853" s="578">
        <v>150.0</v>
      </c>
      <c r="G1853" s="579"/>
      <c r="H1853" s="580" t="b">
        <v>1</v>
      </c>
      <c r="K1853" s="441" t="s">
        <v>1749</v>
      </c>
      <c r="L1853" s="441" t="s">
        <v>1758</v>
      </c>
      <c r="M1853" s="441" t="s">
        <v>469</v>
      </c>
      <c r="N1853" s="441" t="s">
        <v>195</v>
      </c>
      <c r="O1853" s="441" t="s">
        <v>1764</v>
      </c>
      <c r="P1853" s="441" t="s">
        <v>1765</v>
      </c>
      <c r="Q1853" s="441" t="s">
        <v>1766</v>
      </c>
    </row>
    <row r="1854" hidden="1" outlineLevel="1">
      <c r="A1854" s="574">
        <v>46205.0</v>
      </c>
      <c r="B1854" s="575">
        <f>A1854</f>
        <v>46205</v>
      </c>
      <c r="C1854" s="429">
        <v>0.2916666666666667</v>
      </c>
      <c r="D1854" s="577" t="s">
        <v>1756</v>
      </c>
      <c r="E1854" s="577" t="s">
        <v>1758</v>
      </c>
      <c r="F1854" s="578">
        <v>150.0</v>
      </c>
      <c r="G1854" s="579"/>
      <c r="H1854" s="580" t="b">
        <v>1</v>
      </c>
      <c r="K1854" s="91" t="s">
        <v>1756</v>
      </c>
      <c r="L1854" s="90">
        <f t="shared" ref="L1854:L1872" si="486">COUNTIFS($D$1852:$D$1927, $K1854,$E$1852:$E$1927,$L$1853)</f>
        <v>13</v>
      </c>
      <c r="M1854" s="90">
        <f t="shared" ref="M1854:M1872" si="487">COUNTIFS($D$1852:$D$1927, $K1854,$E$1852:$E$1927,$M$1853)</f>
        <v>10</v>
      </c>
      <c r="N1854" s="90">
        <f t="shared" ref="N1854:N1872" si="488">L1854+M1854</f>
        <v>23</v>
      </c>
      <c r="O1854" s="92">
        <f t="shared" ref="O1854:O1872" si="489">SUMIFS($F$1852:$F$1927,$D$1852:$D$1927,$K1854)</f>
        <v>3450</v>
      </c>
      <c r="P1854" s="92">
        <f t="shared" ref="P1854:P1872" si="490">SUMIFS($F$1852:$F$1927,$D$1852:$D$1927,$K1854,$H$1852:$H$1927,TRUE())</f>
        <v>3450</v>
      </c>
      <c r="Q1854" s="92">
        <f t="shared" ref="Q1854:Q1872" si="491">O1854-P1854</f>
        <v>0</v>
      </c>
    </row>
    <row r="1855" hidden="1" outlineLevel="1">
      <c r="A1855" s="10"/>
      <c r="B1855" s="10"/>
      <c r="C1855" s="429">
        <v>0.5069444444444444</v>
      </c>
      <c r="D1855" s="577" t="s">
        <v>562</v>
      </c>
      <c r="E1855" s="577" t="s">
        <v>1758</v>
      </c>
      <c r="F1855" s="578">
        <v>150.0</v>
      </c>
      <c r="G1855" s="579"/>
      <c r="H1855" s="580" t="b">
        <v>1</v>
      </c>
      <c r="K1855" s="91" t="s">
        <v>1636</v>
      </c>
      <c r="L1855" s="90">
        <f t="shared" si="486"/>
        <v>18</v>
      </c>
      <c r="M1855" s="90">
        <f t="shared" si="487"/>
        <v>0</v>
      </c>
      <c r="N1855" s="90">
        <f t="shared" si="488"/>
        <v>18</v>
      </c>
      <c r="O1855" s="92">
        <f t="shared" si="489"/>
        <v>2700</v>
      </c>
      <c r="P1855" s="92">
        <f t="shared" si="490"/>
        <v>2700</v>
      </c>
      <c r="Q1855" s="92">
        <f t="shared" si="491"/>
        <v>0</v>
      </c>
    </row>
    <row r="1856" hidden="1" outlineLevel="1">
      <c r="A1856" s="574">
        <v>46206.0</v>
      </c>
      <c r="B1856" s="575">
        <f>A1856</f>
        <v>46206</v>
      </c>
      <c r="C1856" s="581">
        <v>0.2916666666666667</v>
      </c>
      <c r="D1856" s="577" t="s">
        <v>1756</v>
      </c>
      <c r="E1856" s="577" t="s">
        <v>469</v>
      </c>
      <c r="F1856" s="578">
        <v>150.0</v>
      </c>
      <c r="G1856" s="579"/>
      <c r="H1856" s="580" t="b">
        <v>1</v>
      </c>
      <c r="K1856" s="91" t="s">
        <v>1841</v>
      </c>
      <c r="L1856" s="90">
        <f t="shared" si="486"/>
        <v>0</v>
      </c>
      <c r="M1856" s="90">
        <f t="shared" si="487"/>
        <v>0</v>
      </c>
      <c r="N1856" s="90">
        <f t="shared" si="488"/>
        <v>0</v>
      </c>
      <c r="O1856" s="92">
        <f t="shared" si="489"/>
        <v>0</v>
      </c>
      <c r="P1856" s="92">
        <f t="shared" si="490"/>
        <v>0</v>
      </c>
      <c r="Q1856" s="92">
        <f t="shared" si="491"/>
        <v>0</v>
      </c>
    </row>
    <row r="1857" hidden="1" outlineLevel="1">
      <c r="A1857" s="58"/>
      <c r="B1857" s="58"/>
      <c r="C1857" s="10"/>
      <c r="D1857" s="577" t="s">
        <v>183</v>
      </c>
      <c r="E1857" s="577" t="s">
        <v>1758</v>
      </c>
      <c r="F1857" s="578">
        <v>150.0</v>
      </c>
      <c r="G1857" s="579"/>
      <c r="H1857" s="580" t="b">
        <v>1</v>
      </c>
      <c r="K1857" s="91" t="s">
        <v>1838</v>
      </c>
      <c r="L1857" s="90">
        <f t="shared" si="486"/>
        <v>1</v>
      </c>
      <c r="M1857" s="90">
        <f t="shared" si="487"/>
        <v>0</v>
      </c>
      <c r="N1857" s="90">
        <f t="shared" si="488"/>
        <v>1</v>
      </c>
      <c r="O1857" s="92">
        <f t="shared" si="489"/>
        <v>200</v>
      </c>
      <c r="P1857" s="92">
        <f t="shared" si="490"/>
        <v>200</v>
      </c>
      <c r="Q1857" s="92">
        <f t="shared" si="491"/>
        <v>0</v>
      </c>
    </row>
    <row r="1858" hidden="1" outlineLevel="1">
      <c r="A1858" s="10"/>
      <c r="B1858" s="10"/>
      <c r="C1858" s="429">
        <v>0.5069444444444444</v>
      </c>
      <c r="D1858" s="577" t="s">
        <v>1636</v>
      </c>
      <c r="E1858" s="577" t="s">
        <v>1758</v>
      </c>
      <c r="F1858" s="578">
        <v>150.0</v>
      </c>
      <c r="G1858" s="579"/>
      <c r="H1858" s="580" t="b">
        <v>1</v>
      </c>
      <c r="K1858" s="91" t="s">
        <v>183</v>
      </c>
      <c r="L1858" s="90">
        <f t="shared" si="486"/>
        <v>3</v>
      </c>
      <c r="M1858" s="90">
        <f t="shared" si="487"/>
        <v>0</v>
      </c>
      <c r="N1858" s="90">
        <f t="shared" si="488"/>
        <v>3</v>
      </c>
      <c r="O1858" s="92">
        <f t="shared" si="489"/>
        <v>450</v>
      </c>
      <c r="P1858" s="92">
        <f t="shared" si="490"/>
        <v>450</v>
      </c>
      <c r="Q1858" s="92">
        <f t="shared" si="491"/>
        <v>0</v>
      </c>
    </row>
    <row r="1859" hidden="1" outlineLevel="1">
      <c r="A1859" s="574">
        <v>46207.0</v>
      </c>
      <c r="B1859" s="575">
        <f>A1859</f>
        <v>46207</v>
      </c>
      <c r="C1859" s="429">
        <v>0.3333333333333333</v>
      </c>
      <c r="D1859" s="577" t="s">
        <v>1756</v>
      </c>
      <c r="E1859" s="123" t="s">
        <v>469</v>
      </c>
      <c r="F1859" s="578">
        <v>150.0</v>
      </c>
      <c r="G1859" s="579"/>
      <c r="H1859" s="580" t="b">
        <v>1</v>
      </c>
      <c r="K1859" s="91" t="s">
        <v>1848</v>
      </c>
      <c r="L1859" s="90">
        <f t="shared" si="486"/>
        <v>3</v>
      </c>
      <c r="M1859" s="90">
        <f t="shared" si="487"/>
        <v>0</v>
      </c>
      <c r="N1859" s="90">
        <f t="shared" si="488"/>
        <v>3</v>
      </c>
      <c r="O1859" s="92">
        <f t="shared" si="489"/>
        <v>500</v>
      </c>
      <c r="P1859" s="92">
        <f t="shared" si="490"/>
        <v>500</v>
      </c>
      <c r="Q1859" s="92">
        <f t="shared" si="491"/>
        <v>0</v>
      </c>
    </row>
    <row r="1860" hidden="1" outlineLevel="1">
      <c r="A1860" s="58"/>
      <c r="B1860" s="58"/>
      <c r="C1860" s="313">
        <v>0.3333333333333333</v>
      </c>
      <c r="D1860" s="129" t="s">
        <v>1855</v>
      </c>
      <c r="E1860" s="129" t="s">
        <v>1758</v>
      </c>
      <c r="F1860" s="130">
        <v>150.0</v>
      </c>
      <c r="G1860" s="129" t="s">
        <v>107</v>
      </c>
      <c r="H1860" s="44" t="b">
        <v>1</v>
      </c>
      <c r="K1860" s="91" t="s">
        <v>1863</v>
      </c>
      <c r="L1860" s="90">
        <f t="shared" si="486"/>
        <v>1</v>
      </c>
      <c r="M1860" s="90">
        <f t="shared" si="487"/>
        <v>0</v>
      </c>
      <c r="N1860" s="90">
        <f t="shared" si="488"/>
        <v>1</v>
      </c>
      <c r="O1860" s="92">
        <f t="shared" si="489"/>
        <v>100</v>
      </c>
      <c r="P1860" s="92">
        <f t="shared" si="490"/>
        <v>100</v>
      </c>
      <c r="Q1860" s="92">
        <f t="shared" si="491"/>
        <v>0</v>
      </c>
    </row>
    <row r="1861" hidden="1" outlineLevel="1">
      <c r="A1861" s="58"/>
      <c r="B1861" s="58"/>
      <c r="C1861" s="313">
        <v>0.3333333333333333</v>
      </c>
      <c r="D1861" s="129" t="s">
        <v>1863</v>
      </c>
      <c r="E1861" s="129" t="s">
        <v>1758</v>
      </c>
      <c r="F1861" s="130">
        <v>100.0</v>
      </c>
      <c r="G1861" s="129" t="s">
        <v>2100</v>
      </c>
      <c r="H1861" s="44" t="b">
        <v>1</v>
      </c>
      <c r="K1861" s="91" t="s">
        <v>1865</v>
      </c>
      <c r="L1861" s="90">
        <f t="shared" si="486"/>
        <v>0</v>
      </c>
      <c r="M1861" s="90">
        <f t="shared" si="487"/>
        <v>0</v>
      </c>
      <c r="N1861" s="90">
        <f t="shared" si="488"/>
        <v>0</v>
      </c>
      <c r="O1861" s="92">
        <f t="shared" si="489"/>
        <v>150</v>
      </c>
      <c r="P1861" s="92">
        <f t="shared" si="490"/>
        <v>150</v>
      </c>
      <c r="Q1861" s="92">
        <f t="shared" si="491"/>
        <v>0</v>
      </c>
    </row>
    <row r="1862" hidden="1" outlineLevel="1">
      <c r="A1862" s="10"/>
      <c r="B1862" s="10"/>
      <c r="C1862" s="313">
        <v>0.3333333333333333</v>
      </c>
      <c r="D1862" s="129" t="s">
        <v>1865</v>
      </c>
      <c r="E1862" s="129" t="s">
        <v>1793</v>
      </c>
      <c r="F1862" s="130">
        <v>150.0</v>
      </c>
      <c r="G1862" s="129" t="s">
        <v>1396</v>
      </c>
      <c r="H1862" s="44" t="b">
        <v>1</v>
      </c>
      <c r="K1862" s="91" t="s">
        <v>1857</v>
      </c>
      <c r="L1862" s="90">
        <f t="shared" si="486"/>
        <v>3</v>
      </c>
      <c r="M1862" s="90">
        <f t="shared" si="487"/>
        <v>0</v>
      </c>
      <c r="N1862" s="90">
        <f t="shared" si="488"/>
        <v>3</v>
      </c>
      <c r="O1862" s="92">
        <f t="shared" si="489"/>
        <v>550</v>
      </c>
      <c r="P1862" s="92">
        <f t="shared" si="490"/>
        <v>550</v>
      </c>
      <c r="Q1862" s="92">
        <f t="shared" si="491"/>
        <v>0</v>
      </c>
    </row>
    <row r="1863" hidden="1" outlineLevel="1">
      <c r="A1863" s="102">
        <v>46208.0</v>
      </c>
      <c r="B1863" s="97">
        <f>A1863</f>
        <v>46208</v>
      </c>
      <c r="C1863" s="313">
        <v>0.3333333333333333</v>
      </c>
      <c r="D1863" s="129" t="s">
        <v>1862</v>
      </c>
      <c r="E1863" s="129" t="s">
        <v>1758</v>
      </c>
      <c r="F1863" s="130">
        <v>200.0</v>
      </c>
      <c r="G1863" s="129"/>
      <c r="H1863" s="44" t="b">
        <v>1</v>
      </c>
      <c r="K1863" s="91" t="s">
        <v>1842</v>
      </c>
      <c r="L1863" s="90">
        <f t="shared" si="486"/>
        <v>0</v>
      </c>
      <c r="M1863" s="90">
        <f t="shared" si="487"/>
        <v>0</v>
      </c>
      <c r="N1863" s="90">
        <f t="shared" si="488"/>
        <v>0</v>
      </c>
      <c r="O1863" s="92">
        <f t="shared" si="489"/>
        <v>0</v>
      </c>
      <c r="P1863" s="92">
        <f t="shared" si="490"/>
        <v>0</v>
      </c>
      <c r="Q1863" s="92">
        <f t="shared" si="491"/>
        <v>0</v>
      </c>
    </row>
    <row r="1864" hidden="1" outlineLevel="1">
      <c r="A1864" s="58"/>
      <c r="B1864" s="58"/>
      <c r="C1864" s="313">
        <v>0.4583333333333333</v>
      </c>
      <c r="D1864" s="129" t="s">
        <v>1857</v>
      </c>
      <c r="E1864" s="129" t="s">
        <v>1758</v>
      </c>
      <c r="F1864" s="130">
        <v>200.0</v>
      </c>
      <c r="G1864" s="129"/>
      <c r="H1864" s="44" t="b">
        <v>1</v>
      </c>
      <c r="K1864" s="91" t="s">
        <v>562</v>
      </c>
      <c r="L1864" s="90">
        <f t="shared" si="486"/>
        <v>5</v>
      </c>
      <c r="M1864" s="90">
        <f t="shared" si="487"/>
        <v>0</v>
      </c>
      <c r="N1864" s="90">
        <f t="shared" si="488"/>
        <v>5</v>
      </c>
      <c r="O1864" s="92">
        <f t="shared" si="489"/>
        <v>800</v>
      </c>
      <c r="P1864" s="92">
        <f t="shared" si="490"/>
        <v>800</v>
      </c>
      <c r="Q1864" s="92">
        <f t="shared" si="491"/>
        <v>0</v>
      </c>
    </row>
    <row r="1865" hidden="1" outlineLevel="1">
      <c r="A1865" s="10"/>
      <c r="B1865" s="10"/>
      <c r="C1865" s="313">
        <v>0.7708333333333334</v>
      </c>
      <c r="D1865" s="129" t="s">
        <v>1761</v>
      </c>
      <c r="E1865" s="129" t="s">
        <v>1758</v>
      </c>
      <c r="F1865" s="130">
        <v>0.0</v>
      </c>
      <c r="G1865" s="129" t="s">
        <v>1689</v>
      </c>
      <c r="H1865" s="44" t="b">
        <v>1</v>
      </c>
      <c r="K1865" s="91" t="s">
        <v>1828</v>
      </c>
      <c r="L1865" s="90">
        <f t="shared" si="486"/>
        <v>0</v>
      </c>
      <c r="M1865" s="90">
        <f t="shared" si="487"/>
        <v>0</v>
      </c>
      <c r="N1865" s="90">
        <f t="shared" si="488"/>
        <v>0</v>
      </c>
      <c r="O1865" s="92">
        <f t="shared" si="489"/>
        <v>0</v>
      </c>
      <c r="P1865" s="92">
        <f t="shared" si="490"/>
        <v>0</v>
      </c>
      <c r="Q1865" s="92">
        <f t="shared" si="491"/>
        <v>0</v>
      </c>
    </row>
    <row r="1866" hidden="1" outlineLevel="1">
      <c r="A1866" s="102">
        <v>46209.0</v>
      </c>
      <c r="B1866" s="97">
        <f>A1866</f>
        <v>46209</v>
      </c>
      <c r="C1866" s="313">
        <v>0.2916666666666667</v>
      </c>
      <c r="D1866" s="129" t="s">
        <v>1855</v>
      </c>
      <c r="E1866" s="129" t="s">
        <v>1758</v>
      </c>
      <c r="F1866" s="130">
        <v>150.0</v>
      </c>
      <c r="G1866" s="129"/>
      <c r="H1866" s="44" t="b">
        <v>1</v>
      </c>
      <c r="K1866" s="91" t="s">
        <v>1862</v>
      </c>
      <c r="L1866" s="90">
        <f t="shared" si="486"/>
        <v>2</v>
      </c>
      <c r="M1866" s="90">
        <f t="shared" si="487"/>
        <v>0</v>
      </c>
      <c r="N1866" s="90">
        <f t="shared" si="488"/>
        <v>2</v>
      </c>
      <c r="O1866" s="92">
        <f t="shared" si="489"/>
        <v>400</v>
      </c>
      <c r="P1866" s="92">
        <f t="shared" si="490"/>
        <v>400</v>
      </c>
      <c r="Q1866" s="92">
        <f t="shared" si="491"/>
        <v>0</v>
      </c>
    </row>
    <row r="1867" hidden="1" outlineLevel="1">
      <c r="A1867" s="10"/>
      <c r="B1867" s="10"/>
      <c r="C1867" s="313">
        <v>0.5069444444444444</v>
      </c>
      <c r="D1867" s="129" t="s">
        <v>1636</v>
      </c>
      <c r="E1867" s="129" t="s">
        <v>1758</v>
      </c>
      <c r="F1867" s="130">
        <v>150.0</v>
      </c>
      <c r="G1867" s="129"/>
      <c r="H1867" s="44" t="b">
        <v>1</v>
      </c>
      <c r="K1867" s="91" t="s">
        <v>1845</v>
      </c>
      <c r="L1867" s="90">
        <f t="shared" si="486"/>
        <v>1</v>
      </c>
      <c r="M1867" s="90">
        <f t="shared" si="487"/>
        <v>0</v>
      </c>
      <c r="N1867" s="90">
        <f t="shared" si="488"/>
        <v>1</v>
      </c>
      <c r="O1867" s="92">
        <f t="shared" si="489"/>
        <v>200</v>
      </c>
      <c r="P1867" s="92">
        <f t="shared" si="490"/>
        <v>200</v>
      </c>
      <c r="Q1867" s="92">
        <f t="shared" si="491"/>
        <v>0</v>
      </c>
    </row>
    <row r="1868" hidden="1" outlineLevel="1">
      <c r="A1868" s="102">
        <v>46210.0</v>
      </c>
      <c r="B1868" s="97">
        <f>A1868</f>
        <v>46210</v>
      </c>
      <c r="C1868" s="398">
        <v>0.2916666666666667</v>
      </c>
      <c r="D1868" s="129" t="s">
        <v>1756</v>
      </c>
      <c r="E1868" s="129" t="s">
        <v>469</v>
      </c>
      <c r="F1868" s="130">
        <v>150.0</v>
      </c>
      <c r="G1868" s="129"/>
      <c r="H1868" s="44" t="b">
        <v>1</v>
      </c>
      <c r="K1868" s="91" t="s">
        <v>1851</v>
      </c>
      <c r="L1868" s="90">
        <f t="shared" si="486"/>
        <v>1</v>
      </c>
      <c r="M1868" s="90">
        <f t="shared" si="487"/>
        <v>0</v>
      </c>
      <c r="N1868" s="90">
        <f t="shared" si="488"/>
        <v>1</v>
      </c>
      <c r="O1868" s="92">
        <f t="shared" si="489"/>
        <v>200</v>
      </c>
      <c r="P1868" s="92">
        <f t="shared" si="490"/>
        <v>200</v>
      </c>
      <c r="Q1868" s="92">
        <f t="shared" si="491"/>
        <v>0</v>
      </c>
    </row>
    <row r="1869" hidden="1" outlineLevel="1">
      <c r="A1869" s="58"/>
      <c r="B1869" s="58"/>
      <c r="C1869" s="10"/>
      <c r="D1869" s="129" t="s">
        <v>183</v>
      </c>
      <c r="E1869" s="129" t="s">
        <v>1758</v>
      </c>
      <c r="F1869" s="130">
        <v>150.0</v>
      </c>
      <c r="G1869" s="129"/>
      <c r="H1869" s="44" t="b">
        <v>1</v>
      </c>
      <c r="K1869" s="91" t="s">
        <v>1855</v>
      </c>
      <c r="L1869" s="90">
        <f t="shared" si="486"/>
        <v>6</v>
      </c>
      <c r="M1869" s="90">
        <f t="shared" si="487"/>
        <v>0</v>
      </c>
      <c r="N1869" s="90">
        <f t="shared" si="488"/>
        <v>6</v>
      </c>
      <c r="O1869" s="92">
        <f t="shared" si="489"/>
        <v>950</v>
      </c>
      <c r="P1869" s="92">
        <f t="shared" si="490"/>
        <v>950</v>
      </c>
      <c r="Q1869" s="92">
        <f t="shared" si="491"/>
        <v>0</v>
      </c>
    </row>
    <row r="1870" hidden="1" outlineLevel="1">
      <c r="A1870" s="10"/>
      <c r="B1870" s="10"/>
      <c r="C1870" s="313">
        <v>0.5069444444444444</v>
      </c>
      <c r="D1870" s="129" t="s">
        <v>1636</v>
      </c>
      <c r="E1870" s="129" t="s">
        <v>1758</v>
      </c>
      <c r="F1870" s="130">
        <v>150.0</v>
      </c>
      <c r="G1870" s="129"/>
      <c r="H1870" s="44" t="b">
        <v>1</v>
      </c>
      <c r="K1870" s="91" t="s">
        <v>1761</v>
      </c>
      <c r="L1870" s="90">
        <f t="shared" si="486"/>
        <v>6</v>
      </c>
      <c r="M1870" s="90">
        <f t="shared" si="487"/>
        <v>0</v>
      </c>
      <c r="N1870" s="90">
        <f t="shared" si="488"/>
        <v>6</v>
      </c>
      <c r="O1870" s="92">
        <f t="shared" si="489"/>
        <v>800</v>
      </c>
      <c r="P1870" s="92">
        <f t="shared" si="490"/>
        <v>800</v>
      </c>
      <c r="Q1870" s="92">
        <f t="shared" si="491"/>
        <v>0</v>
      </c>
    </row>
    <row r="1871" hidden="1" outlineLevel="1">
      <c r="A1871" s="102">
        <v>46211.0</v>
      </c>
      <c r="B1871" s="97">
        <f>A1871</f>
        <v>46211</v>
      </c>
      <c r="C1871" s="313">
        <v>0.2916666666666667</v>
      </c>
      <c r="D1871" s="129" t="s">
        <v>1756</v>
      </c>
      <c r="E1871" s="129" t="s">
        <v>1758</v>
      </c>
      <c r="F1871" s="130">
        <v>150.0</v>
      </c>
      <c r="G1871" s="129"/>
      <c r="H1871" s="44" t="b">
        <v>1</v>
      </c>
      <c r="K1871" s="91" t="s">
        <v>1866</v>
      </c>
      <c r="L1871" s="90">
        <f t="shared" si="486"/>
        <v>1</v>
      </c>
      <c r="M1871" s="90">
        <f t="shared" si="487"/>
        <v>0</v>
      </c>
      <c r="N1871" s="90">
        <f t="shared" si="488"/>
        <v>1</v>
      </c>
      <c r="O1871" s="92">
        <f t="shared" si="489"/>
        <v>200</v>
      </c>
      <c r="P1871" s="92">
        <f t="shared" si="490"/>
        <v>200</v>
      </c>
      <c r="Q1871" s="92">
        <f t="shared" si="491"/>
        <v>0</v>
      </c>
    </row>
    <row r="1872" hidden="1" outlineLevel="1">
      <c r="A1872" s="10"/>
      <c r="B1872" s="10"/>
      <c r="C1872" s="313">
        <v>0.5069444444444444</v>
      </c>
      <c r="D1872" s="129" t="s">
        <v>1636</v>
      </c>
      <c r="E1872" s="129" t="s">
        <v>1758</v>
      </c>
      <c r="F1872" s="130">
        <v>150.0</v>
      </c>
      <c r="G1872" s="129"/>
      <c r="H1872" s="44" t="b">
        <v>1</v>
      </c>
      <c r="K1872" s="91" t="s">
        <v>1843</v>
      </c>
      <c r="L1872" s="90">
        <f t="shared" si="486"/>
        <v>0</v>
      </c>
      <c r="M1872" s="90">
        <f t="shared" si="487"/>
        <v>1</v>
      </c>
      <c r="N1872" s="90">
        <f t="shared" si="488"/>
        <v>1</v>
      </c>
      <c r="O1872" s="92">
        <f t="shared" si="489"/>
        <v>150</v>
      </c>
      <c r="P1872" s="92">
        <f t="shared" si="490"/>
        <v>150</v>
      </c>
      <c r="Q1872" s="92">
        <f t="shared" si="491"/>
        <v>0</v>
      </c>
    </row>
    <row r="1873" hidden="1" outlineLevel="1">
      <c r="A1873" s="102">
        <v>46212.0</v>
      </c>
      <c r="B1873" s="97">
        <f>A1873</f>
        <v>46212</v>
      </c>
      <c r="C1873" s="313">
        <v>0.2916666666666667</v>
      </c>
      <c r="D1873" s="129" t="s">
        <v>1756</v>
      </c>
      <c r="E1873" s="129" t="s">
        <v>1758</v>
      </c>
      <c r="F1873" s="130">
        <v>150.0</v>
      </c>
      <c r="G1873" s="129"/>
      <c r="H1873" s="44" t="b">
        <v>1</v>
      </c>
      <c r="K1873" s="276"/>
      <c r="L1873" s="90"/>
      <c r="M1873" s="90"/>
      <c r="N1873" s="90"/>
      <c r="O1873" s="92"/>
      <c r="P1873" s="92"/>
      <c r="Q1873" s="90"/>
    </row>
    <row r="1874" hidden="1" outlineLevel="1">
      <c r="A1874" s="10"/>
      <c r="B1874" s="10"/>
      <c r="C1874" s="313">
        <v>0.5069444444444444</v>
      </c>
      <c r="D1874" s="129" t="s">
        <v>1857</v>
      </c>
      <c r="E1874" s="129" t="s">
        <v>1758</v>
      </c>
      <c r="F1874" s="130">
        <v>150.0</v>
      </c>
      <c r="G1874" s="129"/>
      <c r="H1874" s="44" t="b">
        <v>1</v>
      </c>
      <c r="K1874" s="276"/>
      <c r="L1874" s="90"/>
      <c r="M1874" s="90"/>
      <c r="N1874" s="90"/>
      <c r="O1874" s="92"/>
      <c r="P1874" s="92"/>
      <c r="Q1874" s="90"/>
    </row>
    <row r="1875" hidden="1" outlineLevel="1">
      <c r="A1875" s="102">
        <v>46213.0</v>
      </c>
      <c r="B1875" s="97">
        <f>A1875</f>
        <v>46213</v>
      </c>
      <c r="C1875" s="398">
        <v>0.2916666666666667</v>
      </c>
      <c r="D1875" s="129" t="s">
        <v>1756</v>
      </c>
      <c r="E1875" s="129" t="s">
        <v>469</v>
      </c>
      <c r="F1875" s="130">
        <v>150.0</v>
      </c>
      <c r="G1875" s="129"/>
      <c r="H1875" s="44" t="b">
        <v>1</v>
      </c>
      <c r="K1875" s="276"/>
      <c r="L1875" s="90"/>
      <c r="M1875" s="90"/>
      <c r="N1875" s="90"/>
      <c r="O1875" s="92"/>
      <c r="P1875" s="92"/>
      <c r="Q1875" s="90"/>
    </row>
    <row r="1876" hidden="1" outlineLevel="1">
      <c r="A1876" s="58"/>
      <c r="B1876" s="58"/>
      <c r="C1876" s="10"/>
      <c r="D1876" s="129" t="s">
        <v>1848</v>
      </c>
      <c r="E1876" s="129" t="s">
        <v>1758</v>
      </c>
      <c r="F1876" s="130">
        <v>150.0</v>
      </c>
      <c r="G1876" s="129"/>
      <c r="H1876" s="44" t="b">
        <v>1</v>
      </c>
      <c r="K1876" s="276"/>
      <c r="L1876" s="90"/>
      <c r="M1876" s="90"/>
      <c r="N1876" s="90"/>
      <c r="O1876" s="92"/>
      <c r="P1876" s="92"/>
      <c r="Q1876" s="90"/>
    </row>
    <row r="1877" hidden="1" outlineLevel="1">
      <c r="A1877" s="58"/>
      <c r="B1877" s="58"/>
      <c r="C1877" s="313">
        <v>0.7916666666666666</v>
      </c>
      <c r="D1877" s="129" t="s">
        <v>1843</v>
      </c>
      <c r="E1877" s="129" t="s">
        <v>469</v>
      </c>
      <c r="F1877" s="130">
        <v>150.0</v>
      </c>
      <c r="G1877" s="129" t="s">
        <v>2101</v>
      </c>
      <c r="H1877" s="44" t="b">
        <v>1</v>
      </c>
      <c r="K1877" s="91"/>
      <c r="L1877" s="90"/>
      <c r="M1877" s="90"/>
      <c r="N1877" s="90"/>
      <c r="O1877" s="92"/>
      <c r="P1877" s="92"/>
      <c r="Q1877" s="90"/>
    </row>
    <row r="1878" hidden="1" outlineLevel="1">
      <c r="A1878" s="10"/>
      <c r="B1878" s="10"/>
      <c r="C1878" s="313">
        <v>0.5069444444444444</v>
      </c>
      <c r="D1878" s="129" t="s">
        <v>1636</v>
      </c>
      <c r="E1878" s="129" t="s">
        <v>1758</v>
      </c>
      <c r="F1878" s="130">
        <v>150.0</v>
      </c>
      <c r="G1878" s="129"/>
      <c r="H1878" s="44" t="b">
        <v>1</v>
      </c>
      <c r="K1878" s="91"/>
      <c r="L1878" s="90"/>
      <c r="M1878" s="90"/>
      <c r="N1878" s="90"/>
      <c r="O1878" s="92"/>
      <c r="P1878" s="92"/>
      <c r="Q1878" s="90"/>
    </row>
    <row r="1879" hidden="1" outlineLevel="1">
      <c r="A1879" s="125">
        <v>46214.0</v>
      </c>
      <c r="B1879" s="126">
        <f t="shared" ref="B1879:B1880" si="493">A1879</f>
        <v>46214</v>
      </c>
      <c r="C1879" s="313">
        <v>0.3333333333333333</v>
      </c>
      <c r="D1879" s="129" t="s">
        <v>1756</v>
      </c>
      <c r="E1879" s="129" t="s">
        <v>1758</v>
      </c>
      <c r="F1879" s="130">
        <v>150.0</v>
      </c>
      <c r="G1879" s="129"/>
      <c r="H1879" s="44" t="b">
        <v>1</v>
      </c>
      <c r="K1879" s="477" t="s">
        <v>195</v>
      </c>
      <c r="L1879" s="478">
        <f t="shared" ref="L1879:Q1879" si="492">SUM(L1854:L1878)</f>
        <v>64</v>
      </c>
      <c r="M1879" s="478">
        <f t="shared" si="492"/>
        <v>11</v>
      </c>
      <c r="N1879" s="478">
        <f t="shared" si="492"/>
        <v>75</v>
      </c>
      <c r="O1879" s="479">
        <f t="shared" si="492"/>
        <v>11800</v>
      </c>
      <c r="P1879" s="479">
        <f t="shared" si="492"/>
        <v>11800</v>
      </c>
      <c r="Q1879" s="479">
        <f t="shared" si="492"/>
        <v>0</v>
      </c>
    </row>
    <row r="1880" hidden="1" outlineLevel="1">
      <c r="A1880" s="102">
        <v>46215.0</v>
      </c>
      <c r="B1880" s="97">
        <f t="shared" si="493"/>
        <v>46215</v>
      </c>
      <c r="C1880" s="313">
        <v>0.3333333333333333</v>
      </c>
      <c r="D1880" s="129" t="s">
        <v>1851</v>
      </c>
      <c r="E1880" s="129" t="s">
        <v>1758</v>
      </c>
      <c r="F1880" s="130">
        <v>200.0</v>
      </c>
      <c r="G1880" s="129"/>
      <c r="H1880" s="44" t="b">
        <v>1</v>
      </c>
    </row>
    <row r="1881" hidden="1" outlineLevel="1">
      <c r="A1881" s="58"/>
      <c r="B1881" s="58"/>
      <c r="C1881" s="313">
        <v>0.4583333333333333</v>
      </c>
      <c r="D1881" s="129" t="s">
        <v>562</v>
      </c>
      <c r="E1881" s="129" t="s">
        <v>1758</v>
      </c>
      <c r="F1881" s="130">
        <v>200.0</v>
      </c>
      <c r="G1881" s="129"/>
      <c r="H1881" s="44" t="b">
        <v>1</v>
      </c>
    </row>
    <row r="1882" hidden="1" outlineLevel="1">
      <c r="A1882" s="10"/>
      <c r="B1882" s="10"/>
      <c r="C1882" s="313">
        <v>0.7708333333333334</v>
      </c>
      <c r="D1882" s="129" t="s">
        <v>1845</v>
      </c>
      <c r="E1882" s="129" t="s">
        <v>1758</v>
      </c>
      <c r="F1882" s="130">
        <v>200.0</v>
      </c>
      <c r="G1882" s="129"/>
      <c r="H1882" s="44" t="b">
        <v>1</v>
      </c>
    </row>
    <row r="1883" hidden="1" outlineLevel="1">
      <c r="A1883" s="102">
        <v>46216.0</v>
      </c>
      <c r="B1883" s="97">
        <f>A1883</f>
        <v>46216</v>
      </c>
      <c r="C1883" s="313">
        <v>0.2916666666666667</v>
      </c>
      <c r="D1883" s="129" t="s">
        <v>1855</v>
      </c>
      <c r="E1883" s="129" t="s">
        <v>1758</v>
      </c>
      <c r="F1883" s="130">
        <v>150.0</v>
      </c>
      <c r="G1883" s="129"/>
      <c r="H1883" s="44" t="b">
        <v>1</v>
      </c>
    </row>
    <row r="1884" hidden="1" outlineLevel="1">
      <c r="A1884" s="10"/>
      <c r="B1884" s="10"/>
      <c r="C1884" s="313">
        <v>0.5069444444444444</v>
      </c>
      <c r="D1884" s="129" t="s">
        <v>1636</v>
      </c>
      <c r="E1884" s="129" t="s">
        <v>1758</v>
      </c>
      <c r="F1884" s="130">
        <v>150.0</v>
      </c>
      <c r="G1884" s="129"/>
      <c r="H1884" s="44" t="b">
        <v>1</v>
      </c>
    </row>
    <row r="1885" hidden="1" outlineLevel="1">
      <c r="A1885" s="102">
        <v>46217.0</v>
      </c>
      <c r="B1885" s="97">
        <f>A1885</f>
        <v>46217</v>
      </c>
      <c r="C1885" s="398">
        <v>0.2916666666666667</v>
      </c>
      <c r="D1885" s="129" t="s">
        <v>1756</v>
      </c>
      <c r="E1885" s="129" t="s">
        <v>469</v>
      </c>
      <c r="F1885" s="130">
        <v>150.0</v>
      </c>
      <c r="G1885" s="129"/>
      <c r="H1885" s="44" t="b">
        <v>1</v>
      </c>
    </row>
    <row r="1886" hidden="1" outlineLevel="1">
      <c r="A1886" s="58"/>
      <c r="B1886" s="58"/>
      <c r="C1886" s="10"/>
      <c r="D1886" s="129" t="s">
        <v>183</v>
      </c>
      <c r="E1886" s="129" t="s">
        <v>1758</v>
      </c>
      <c r="F1886" s="130">
        <v>150.0</v>
      </c>
      <c r="G1886" s="129"/>
      <c r="H1886" s="44" t="b">
        <v>1</v>
      </c>
    </row>
    <row r="1887" hidden="1" outlineLevel="1">
      <c r="A1887" s="10"/>
      <c r="B1887" s="10"/>
      <c r="C1887" s="313">
        <v>0.5069444444444444</v>
      </c>
      <c r="D1887" s="129" t="s">
        <v>1636</v>
      </c>
      <c r="E1887" s="129" t="s">
        <v>1758</v>
      </c>
      <c r="F1887" s="130">
        <v>150.0</v>
      </c>
      <c r="G1887" s="129"/>
      <c r="H1887" s="44" t="b">
        <v>1</v>
      </c>
    </row>
    <row r="1888" hidden="1" outlineLevel="1">
      <c r="A1888" s="102">
        <v>46218.0</v>
      </c>
      <c r="B1888" s="97">
        <f>A1888</f>
        <v>46218</v>
      </c>
      <c r="C1888" s="313">
        <v>0.2916666666666667</v>
      </c>
      <c r="D1888" s="129" t="s">
        <v>1756</v>
      </c>
      <c r="E1888" s="129" t="s">
        <v>1758</v>
      </c>
      <c r="F1888" s="130">
        <v>150.0</v>
      </c>
      <c r="G1888" s="129"/>
      <c r="H1888" s="44" t="b">
        <v>1</v>
      </c>
    </row>
    <row r="1889" hidden="1" outlineLevel="1">
      <c r="A1889" s="10"/>
      <c r="B1889" s="10"/>
      <c r="C1889" s="313">
        <v>0.5069444444444444</v>
      </c>
      <c r="D1889" s="129" t="s">
        <v>1636</v>
      </c>
      <c r="E1889" s="129" t="s">
        <v>1758</v>
      </c>
      <c r="F1889" s="130">
        <v>150.0</v>
      </c>
      <c r="G1889" s="129"/>
      <c r="H1889" s="44" t="b">
        <v>1</v>
      </c>
    </row>
    <row r="1890" hidden="1" outlineLevel="1">
      <c r="A1890" s="102">
        <v>46219.0</v>
      </c>
      <c r="B1890" s="97">
        <f>A1890</f>
        <v>46219</v>
      </c>
      <c r="C1890" s="313">
        <v>0.2916666666666667</v>
      </c>
      <c r="D1890" s="129" t="s">
        <v>1756</v>
      </c>
      <c r="E1890" s="129" t="s">
        <v>1758</v>
      </c>
      <c r="F1890" s="130">
        <v>150.0</v>
      </c>
      <c r="G1890" s="129"/>
      <c r="H1890" s="44" t="b">
        <v>1</v>
      </c>
    </row>
    <row r="1891" hidden="1" outlineLevel="1">
      <c r="A1891" s="58"/>
      <c r="B1891" s="58"/>
      <c r="C1891" s="313">
        <v>0.5069444444444444</v>
      </c>
      <c r="D1891" s="129" t="s">
        <v>562</v>
      </c>
      <c r="E1891" s="129" t="s">
        <v>1758</v>
      </c>
      <c r="F1891" s="130">
        <v>150.0</v>
      </c>
      <c r="G1891" s="129"/>
      <c r="H1891" s="44" t="b">
        <v>1</v>
      </c>
    </row>
    <row r="1892" hidden="1" outlineLevel="1">
      <c r="A1892" s="10"/>
      <c r="B1892" s="10"/>
      <c r="C1892" s="313">
        <v>0.7916666666666666</v>
      </c>
      <c r="D1892" s="129" t="s">
        <v>1866</v>
      </c>
      <c r="E1892" s="129" t="s">
        <v>1758</v>
      </c>
      <c r="F1892" s="130">
        <v>200.0</v>
      </c>
      <c r="G1892" s="129" t="s">
        <v>2102</v>
      </c>
      <c r="H1892" s="44" t="b">
        <v>1</v>
      </c>
    </row>
    <row r="1893" hidden="1" outlineLevel="1">
      <c r="A1893" s="102">
        <v>46220.0</v>
      </c>
      <c r="B1893" s="97">
        <f>A1893</f>
        <v>46220</v>
      </c>
      <c r="C1893" s="398">
        <v>0.2916666666666667</v>
      </c>
      <c r="D1893" s="129" t="s">
        <v>1756</v>
      </c>
      <c r="E1893" s="129" t="s">
        <v>469</v>
      </c>
      <c r="F1893" s="130">
        <v>150.0</v>
      </c>
      <c r="G1893" s="129"/>
      <c r="H1893" s="44" t="b">
        <v>1</v>
      </c>
    </row>
    <row r="1894" hidden="1" outlineLevel="1">
      <c r="A1894" s="58"/>
      <c r="B1894" s="58"/>
      <c r="C1894" s="10"/>
      <c r="D1894" s="129" t="s">
        <v>1855</v>
      </c>
      <c r="E1894" s="129" t="s">
        <v>1758</v>
      </c>
      <c r="F1894" s="130">
        <v>150.0</v>
      </c>
      <c r="G1894" s="129"/>
      <c r="H1894" s="44" t="b">
        <v>1</v>
      </c>
    </row>
    <row r="1895" hidden="1" outlineLevel="1">
      <c r="A1895" s="10"/>
      <c r="B1895" s="10"/>
      <c r="C1895" s="313">
        <v>0.5069444444444444</v>
      </c>
      <c r="D1895" s="129" t="s">
        <v>1636</v>
      </c>
      <c r="E1895" s="129" t="s">
        <v>1758</v>
      </c>
      <c r="F1895" s="130">
        <v>150.0</v>
      </c>
      <c r="G1895" s="129"/>
      <c r="H1895" s="44" t="b">
        <v>1</v>
      </c>
    </row>
    <row r="1896" hidden="1" outlineLevel="1">
      <c r="A1896" s="125">
        <v>46221.0</v>
      </c>
      <c r="B1896" s="126">
        <f t="shared" ref="B1896:B1897" si="494">A1896</f>
        <v>46221</v>
      </c>
      <c r="C1896" s="313">
        <v>0.3333333333333333</v>
      </c>
      <c r="D1896" s="129" t="s">
        <v>1756</v>
      </c>
      <c r="E1896" s="129" t="s">
        <v>1758</v>
      </c>
      <c r="F1896" s="130">
        <v>150.0</v>
      </c>
      <c r="G1896" s="129"/>
      <c r="H1896" s="44" t="b">
        <v>1</v>
      </c>
    </row>
    <row r="1897" hidden="1" outlineLevel="1">
      <c r="A1897" s="102">
        <v>46222.0</v>
      </c>
      <c r="B1897" s="97">
        <f t="shared" si="494"/>
        <v>46222</v>
      </c>
      <c r="C1897" s="313">
        <v>0.3333333333333333</v>
      </c>
      <c r="D1897" s="129" t="s">
        <v>1855</v>
      </c>
      <c r="E1897" s="129" t="s">
        <v>1758</v>
      </c>
      <c r="F1897" s="130">
        <v>200.0</v>
      </c>
      <c r="G1897" s="129"/>
      <c r="H1897" s="44" t="b">
        <v>1</v>
      </c>
    </row>
    <row r="1898" hidden="1" outlineLevel="1">
      <c r="A1898" s="58"/>
      <c r="B1898" s="58"/>
      <c r="C1898" s="313">
        <v>0.4583333333333333</v>
      </c>
      <c r="D1898" s="129" t="s">
        <v>1857</v>
      </c>
      <c r="E1898" s="129" t="s">
        <v>1758</v>
      </c>
      <c r="F1898" s="130">
        <v>200.0</v>
      </c>
      <c r="G1898" s="129"/>
      <c r="H1898" s="44" t="b">
        <v>1</v>
      </c>
    </row>
    <row r="1899" hidden="1" outlineLevel="1">
      <c r="A1899" s="10"/>
      <c r="B1899" s="10"/>
      <c r="C1899" s="313">
        <v>0.7708333333333334</v>
      </c>
      <c r="D1899" s="129" t="s">
        <v>1862</v>
      </c>
      <c r="E1899" s="129" t="s">
        <v>1758</v>
      </c>
      <c r="F1899" s="130">
        <v>200.0</v>
      </c>
      <c r="G1899" s="129"/>
      <c r="H1899" s="44" t="b">
        <v>1</v>
      </c>
    </row>
    <row r="1900" hidden="1" outlineLevel="1">
      <c r="A1900" s="102">
        <v>46223.0</v>
      </c>
      <c r="B1900" s="97">
        <f>A1900</f>
        <v>46223</v>
      </c>
      <c r="C1900" s="313">
        <v>0.2916666666666667</v>
      </c>
      <c r="D1900" s="129" t="s">
        <v>1855</v>
      </c>
      <c r="E1900" s="129" t="s">
        <v>1758</v>
      </c>
      <c r="F1900" s="130">
        <v>150.0</v>
      </c>
      <c r="G1900" s="129"/>
      <c r="H1900" s="44" t="b">
        <v>1</v>
      </c>
    </row>
    <row r="1901" hidden="1" outlineLevel="1">
      <c r="A1901" s="10"/>
      <c r="B1901" s="10"/>
      <c r="C1901" s="313">
        <v>0.5069444444444444</v>
      </c>
      <c r="D1901" s="129" t="s">
        <v>1636</v>
      </c>
      <c r="E1901" s="129" t="s">
        <v>1758</v>
      </c>
      <c r="F1901" s="130">
        <v>150.0</v>
      </c>
      <c r="G1901" s="129"/>
      <c r="H1901" s="44" t="b">
        <v>1</v>
      </c>
    </row>
    <row r="1902" hidden="1" outlineLevel="1">
      <c r="A1902" s="102">
        <v>46224.0</v>
      </c>
      <c r="B1902" s="97">
        <f>A1902</f>
        <v>46224</v>
      </c>
      <c r="C1902" s="398">
        <v>0.2916666666666667</v>
      </c>
      <c r="D1902" s="129" t="s">
        <v>1756</v>
      </c>
      <c r="E1902" s="129" t="s">
        <v>469</v>
      </c>
      <c r="F1902" s="130">
        <v>150.0</v>
      </c>
      <c r="G1902" s="129"/>
      <c r="H1902" s="44" t="b">
        <v>1</v>
      </c>
    </row>
    <row r="1903" hidden="1" outlineLevel="1">
      <c r="A1903" s="58"/>
      <c r="B1903" s="58"/>
      <c r="C1903" s="10"/>
      <c r="D1903" s="129" t="s">
        <v>1761</v>
      </c>
      <c r="E1903" s="129" t="s">
        <v>1758</v>
      </c>
      <c r="F1903" s="130">
        <v>150.0</v>
      </c>
      <c r="G1903" s="129"/>
      <c r="H1903" s="44" t="b">
        <v>1</v>
      </c>
    </row>
    <row r="1904" hidden="1" outlineLevel="1">
      <c r="A1904" s="10"/>
      <c r="B1904" s="10"/>
      <c r="C1904" s="313">
        <v>0.5069444444444444</v>
      </c>
      <c r="D1904" s="129" t="s">
        <v>1636</v>
      </c>
      <c r="E1904" s="129" t="s">
        <v>1758</v>
      </c>
      <c r="F1904" s="130">
        <v>150.0</v>
      </c>
      <c r="G1904" s="129"/>
      <c r="H1904" s="44" t="b">
        <v>1</v>
      </c>
    </row>
    <row r="1905" hidden="1" outlineLevel="1">
      <c r="A1905" s="102">
        <v>46225.0</v>
      </c>
      <c r="B1905" s="97">
        <f>A1905</f>
        <v>46225</v>
      </c>
      <c r="C1905" s="313">
        <v>0.2916666666666667</v>
      </c>
      <c r="D1905" s="129" t="s">
        <v>1756</v>
      </c>
      <c r="E1905" s="129" t="s">
        <v>1758</v>
      </c>
      <c r="F1905" s="130">
        <v>150.0</v>
      </c>
      <c r="G1905" s="129"/>
      <c r="H1905" s="44" t="b">
        <v>1</v>
      </c>
    </row>
    <row r="1906" hidden="1" outlineLevel="1">
      <c r="A1906" s="10"/>
      <c r="B1906" s="10"/>
      <c r="C1906" s="313">
        <v>0.5069444444444444</v>
      </c>
      <c r="D1906" s="129" t="s">
        <v>1636</v>
      </c>
      <c r="E1906" s="129" t="s">
        <v>1758</v>
      </c>
      <c r="F1906" s="130">
        <v>150.0</v>
      </c>
      <c r="G1906" s="129"/>
      <c r="H1906" s="44" t="b">
        <v>1</v>
      </c>
    </row>
    <row r="1907" hidden="1" outlineLevel="1">
      <c r="A1907" s="102">
        <v>46226.0</v>
      </c>
      <c r="B1907" s="97">
        <f>A1907</f>
        <v>46226</v>
      </c>
      <c r="C1907" s="313">
        <v>0.2916666666666667</v>
      </c>
      <c r="D1907" s="129" t="s">
        <v>1756</v>
      </c>
      <c r="E1907" s="129" t="s">
        <v>1758</v>
      </c>
      <c r="F1907" s="130">
        <v>150.0</v>
      </c>
      <c r="G1907" s="129"/>
      <c r="H1907" s="44" t="b">
        <v>1</v>
      </c>
    </row>
    <row r="1908" hidden="1" outlineLevel="1">
      <c r="A1908" s="10"/>
      <c r="B1908" s="10"/>
      <c r="C1908" s="313">
        <v>0.5069444444444444</v>
      </c>
      <c r="D1908" s="129" t="s">
        <v>562</v>
      </c>
      <c r="E1908" s="129" t="s">
        <v>1758</v>
      </c>
      <c r="F1908" s="130">
        <v>150.0</v>
      </c>
      <c r="G1908" s="129"/>
      <c r="H1908" s="44" t="b">
        <v>1</v>
      </c>
    </row>
    <row r="1909" hidden="1" outlineLevel="1">
      <c r="A1909" s="102">
        <v>46227.0</v>
      </c>
      <c r="B1909" s="97">
        <f>A1909</f>
        <v>46227</v>
      </c>
      <c r="C1909" s="398">
        <v>0.2916666666666667</v>
      </c>
      <c r="D1909" s="129" t="s">
        <v>1756</v>
      </c>
      <c r="E1909" s="129" t="s">
        <v>469</v>
      </c>
      <c r="F1909" s="130">
        <v>150.0</v>
      </c>
      <c r="G1909" s="129"/>
      <c r="H1909" s="44" t="b">
        <v>1</v>
      </c>
    </row>
    <row r="1910" hidden="1" outlineLevel="1">
      <c r="A1910" s="58"/>
      <c r="B1910" s="58"/>
      <c r="C1910" s="10"/>
      <c r="D1910" s="129" t="s">
        <v>1761</v>
      </c>
      <c r="E1910" s="129" t="s">
        <v>1758</v>
      </c>
      <c r="F1910" s="130">
        <v>150.0</v>
      </c>
      <c r="G1910" s="129"/>
      <c r="H1910" s="44" t="b">
        <v>1</v>
      </c>
    </row>
    <row r="1911" hidden="1" outlineLevel="1">
      <c r="A1911" s="10"/>
      <c r="B1911" s="10"/>
      <c r="C1911" s="313">
        <v>0.5069444444444444</v>
      </c>
      <c r="D1911" s="129" t="s">
        <v>1636</v>
      </c>
      <c r="E1911" s="129" t="s">
        <v>1758</v>
      </c>
      <c r="F1911" s="130">
        <v>150.0</v>
      </c>
      <c r="G1911" s="129"/>
      <c r="H1911" s="44" t="b">
        <v>1</v>
      </c>
    </row>
    <row r="1912" hidden="1" outlineLevel="1">
      <c r="A1912" s="125">
        <v>46228.0</v>
      </c>
      <c r="B1912" s="126">
        <f t="shared" ref="B1912:B1913" si="495">A1912</f>
        <v>46228</v>
      </c>
      <c r="C1912" s="313">
        <v>0.3333333333333333</v>
      </c>
      <c r="D1912" s="129" t="s">
        <v>1756</v>
      </c>
      <c r="E1912" s="129" t="s">
        <v>1758</v>
      </c>
      <c r="F1912" s="130">
        <v>150.0</v>
      </c>
      <c r="G1912" s="129"/>
      <c r="H1912" s="44" t="b">
        <v>1</v>
      </c>
    </row>
    <row r="1913" hidden="1" outlineLevel="1">
      <c r="A1913" s="102">
        <v>46229.0</v>
      </c>
      <c r="B1913" s="97">
        <f t="shared" si="495"/>
        <v>46229</v>
      </c>
      <c r="C1913" s="313">
        <v>0.3333333333333333</v>
      </c>
      <c r="D1913" s="129" t="s">
        <v>1848</v>
      </c>
      <c r="E1913" s="129" t="s">
        <v>1758</v>
      </c>
      <c r="F1913" s="130">
        <v>200.0</v>
      </c>
      <c r="G1913" s="129"/>
      <c r="H1913" s="44" t="b">
        <v>1</v>
      </c>
    </row>
    <row r="1914" hidden="1" outlineLevel="1">
      <c r="A1914" s="58"/>
      <c r="B1914" s="58"/>
      <c r="C1914" s="313">
        <v>0.4583333333333333</v>
      </c>
      <c r="D1914" s="129" t="s">
        <v>1761</v>
      </c>
      <c r="E1914" s="129" t="s">
        <v>1758</v>
      </c>
      <c r="F1914" s="130">
        <v>200.0</v>
      </c>
      <c r="G1914" s="129"/>
      <c r="H1914" s="44" t="b">
        <v>1</v>
      </c>
    </row>
    <row r="1915" hidden="1" outlineLevel="1">
      <c r="A1915" s="10"/>
      <c r="B1915" s="10"/>
      <c r="C1915" s="313">
        <v>0.7708333333333334</v>
      </c>
      <c r="D1915" s="129" t="s">
        <v>1838</v>
      </c>
      <c r="E1915" s="129" t="s">
        <v>1758</v>
      </c>
      <c r="F1915" s="130">
        <v>200.0</v>
      </c>
      <c r="G1915" s="129"/>
      <c r="H1915" s="44" t="b">
        <v>1</v>
      </c>
    </row>
    <row r="1916" hidden="1" outlineLevel="1">
      <c r="A1916" s="102">
        <v>46230.0</v>
      </c>
      <c r="B1916" s="97">
        <f>A1916</f>
        <v>46230</v>
      </c>
      <c r="C1916" s="313">
        <v>0.2916666666666667</v>
      </c>
      <c r="D1916" s="129" t="s">
        <v>1848</v>
      </c>
      <c r="E1916" s="129" t="s">
        <v>1758</v>
      </c>
      <c r="F1916" s="130">
        <v>150.0</v>
      </c>
      <c r="G1916" s="129"/>
      <c r="H1916" s="44" t="b">
        <v>1</v>
      </c>
    </row>
    <row r="1917" hidden="1" outlineLevel="1">
      <c r="A1917" s="10"/>
      <c r="B1917" s="10"/>
      <c r="C1917" s="313">
        <v>0.5069444444444444</v>
      </c>
      <c r="D1917" s="129" t="s">
        <v>1636</v>
      </c>
      <c r="E1917" s="129" t="s">
        <v>1758</v>
      </c>
      <c r="F1917" s="130">
        <v>150.0</v>
      </c>
      <c r="G1917" s="129"/>
      <c r="H1917" s="44" t="b">
        <v>1</v>
      </c>
    </row>
    <row r="1918" hidden="1" outlineLevel="1">
      <c r="A1918" s="102">
        <v>46231.0</v>
      </c>
      <c r="B1918" s="97">
        <f>A1918</f>
        <v>46231</v>
      </c>
      <c r="C1918" s="398">
        <v>0.2916666666666667</v>
      </c>
      <c r="D1918" s="129" t="s">
        <v>1756</v>
      </c>
      <c r="E1918" s="129" t="s">
        <v>469</v>
      </c>
      <c r="F1918" s="130">
        <v>150.0</v>
      </c>
      <c r="G1918" s="129"/>
      <c r="H1918" s="44" t="b">
        <v>1</v>
      </c>
    </row>
    <row r="1919" hidden="1" outlineLevel="1">
      <c r="A1919" s="58"/>
      <c r="B1919" s="58"/>
      <c r="C1919" s="10"/>
      <c r="D1919" s="129" t="s">
        <v>1761</v>
      </c>
      <c r="E1919" s="129" t="s">
        <v>1758</v>
      </c>
      <c r="F1919" s="130">
        <v>150.0</v>
      </c>
      <c r="G1919" s="129"/>
      <c r="H1919" s="44" t="b">
        <v>1</v>
      </c>
    </row>
    <row r="1920" hidden="1" outlineLevel="1">
      <c r="A1920" s="10"/>
      <c r="B1920" s="10"/>
      <c r="C1920" s="313">
        <v>0.5069444444444444</v>
      </c>
      <c r="D1920" s="129" t="s">
        <v>1636</v>
      </c>
      <c r="E1920" s="129" t="s">
        <v>1758</v>
      </c>
      <c r="F1920" s="130">
        <v>150.0</v>
      </c>
      <c r="G1920" s="129"/>
      <c r="H1920" s="44" t="b">
        <v>1</v>
      </c>
    </row>
    <row r="1921" hidden="1" outlineLevel="1">
      <c r="A1921" s="102">
        <v>46232.0</v>
      </c>
      <c r="B1921" s="97">
        <f>A1921</f>
        <v>46232</v>
      </c>
      <c r="C1921" s="313">
        <v>0.2916666666666667</v>
      </c>
      <c r="D1921" s="129" t="s">
        <v>1756</v>
      </c>
      <c r="E1921" s="129" t="s">
        <v>1758</v>
      </c>
      <c r="F1921" s="130">
        <v>150.0</v>
      </c>
      <c r="G1921" s="129"/>
      <c r="H1921" s="44" t="b">
        <v>1</v>
      </c>
    </row>
    <row r="1922" hidden="1" outlineLevel="1">
      <c r="A1922" s="10"/>
      <c r="B1922" s="10"/>
      <c r="C1922" s="313">
        <v>0.5069444444444444</v>
      </c>
      <c r="D1922" s="129" t="s">
        <v>1636</v>
      </c>
      <c r="E1922" s="129" t="s">
        <v>1758</v>
      </c>
      <c r="F1922" s="130">
        <v>150.0</v>
      </c>
      <c r="G1922" s="129"/>
      <c r="H1922" s="44" t="b">
        <v>1</v>
      </c>
    </row>
    <row r="1923" hidden="1" outlineLevel="1">
      <c r="A1923" s="102">
        <v>46233.0</v>
      </c>
      <c r="B1923" s="97">
        <f>A1923</f>
        <v>46233</v>
      </c>
      <c r="C1923" s="313">
        <v>0.2916666666666667</v>
      </c>
      <c r="D1923" s="129" t="s">
        <v>1756</v>
      </c>
      <c r="E1923" s="129" t="s">
        <v>1758</v>
      </c>
      <c r="F1923" s="130">
        <v>150.0</v>
      </c>
      <c r="G1923" s="129"/>
      <c r="H1923" s="44" t="b">
        <v>1</v>
      </c>
    </row>
    <row r="1924" hidden="1" outlineLevel="1">
      <c r="A1924" s="10"/>
      <c r="B1924" s="10"/>
      <c r="C1924" s="313">
        <v>0.5069444444444444</v>
      </c>
      <c r="D1924" s="129" t="s">
        <v>562</v>
      </c>
      <c r="E1924" s="129" t="s">
        <v>1758</v>
      </c>
      <c r="F1924" s="130">
        <v>150.0</v>
      </c>
      <c r="G1924" s="129"/>
      <c r="H1924" s="44" t="b">
        <v>1</v>
      </c>
    </row>
    <row r="1925" hidden="1" outlineLevel="1">
      <c r="A1925" s="102">
        <v>46234.0</v>
      </c>
      <c r="B1925" s="97">
        <f>A1925</f>
        <v>46234</v>
      </c>
      <c r="C1925" s="398">
        <v>0.2916666666666667</v>
      </c>
      <c r="D1925" s="129" t="s">
        <v>1756</v>
      </c>
      <c r="E1925" s="129" t="s">
        <v>469</v>
      </c>
      <c r="F1925" s="130">
        <v>150.0</v>
      </c>
      <c r="G1925" s="129"/>
      <c r="H1925" s="44" t="b">
        <v>1</v>
      </c>
    </row>
    <row r="1926" hidden="1" outlineLevel="1">
      <c r="A1926" s="58"/>
      <c r="B1926" s="58"/>
      <c r="C1926" s="10"/>
      <c r="D1926" s="129" t="s">
        <v>1761</v>
      </c>
      <c r="E1926" s="129" t="s">
        <v>1758</v>
      </c>
      <c r="F1926" s="130">
        <v>150.0</v>
      </c>
      <c r="G1926" s="129"/>
      <c r="H1926" s="44" t="b">
        <v>1</v>
      </c>
    </row>
    <row r="1927" hidden="1" outlineLevel="1">
      <c r="A1927" s="10"/>
      <c r="B1927" s="10"/>
      <c r="C1927" s="313">
        <v>0.5069444444444444</v>
      </c>
      <c r="D1927" s="129" t="s">
        <v>1636</v>
      </c>
      <c r="E1927" s="129" t="s">
        <v>1758</v>
      </c>
      <c r="F1927" s="130">
        <v>150.0</v>
      </c>
      <c r="G1927" s="129"/>
      <c r="H1927" s="44" t="b">
        <v>1</v>
      </c>
    </row>
    <row r="1928">
      <c r="A1928" s="484" t="s">
        <v>195</v>
      </c>
      <c r="B1928" s="27"/>
      <c r="C1928" s="27"/>
      <c r="D1928" s="27"/>
      <c r="E1928" s="28"/>
      <c r="F1928" s="485">
        <f>SUM(F1852:F1927)</f>
        <v>11800</v>
      </c>
      <c r="G1928" s="486"/>
      <c r="H1928" s="28"/>
    </row>
    <row r="1929" collapsed="1">
      <c r="A1929" s="339" t="s">
        <v>1728</v>
      </c>
      <c r="B1929" s="246"/>
      <c r="C1929" s="246"/>
      <c r="D1929" s="246"/>
      <c r="E1929" s="246"/>
      <c r="F1929" s="246"/>
      <c r="G1929" s="246"/>
      <c r="H1929" s="247"/>
    </row>
    <row r="1930" hidden="1" outlineLevel="1">
      <c r="A1930" s="125">
        <v>46235.0</v>
      </c>
      <c r="B1930" s="126">
        <f t="shared" ref="B1930:B1931" si="496">A1930</f>
        <v>46235</v>
      </c>
      <c r="C1930" s="313">
        <v>0.3333333333333333</v>
      </c>
      <c r="D1930" s="129" t="s">
        <v>1756</v>
      </c>
      <c r="E1930" s="129" t="s">
        <v>1758</v>
      </c>
      <c r="F1930" s="130">
        <v>150.0</v>
      </c>
      <c r="G1930" s="129"/>
      <c r="H1930" s="44" t="b">
        <v>1</v>
      </c>
      <c r="K1930" s="440" t="s">
        <v>2103</v>
      </c>
      <c r="L1930" s="27"/>
      <c r="M1930" s="27"/>
      <c r="N1930" s="27"/>
      <c r="O1930" s="27"/>
      <c r="P1930" s="572">
        <v>46235.0</v>
      </c>
      <c r="Q1930" s="573">
        <v>46265.0</v>
      </c>
    </row>
    <row r="1931" hidden="1" outlineLevel="1">
      <c r="A1931" s="102">
        <v>46236.0</v>
      </c>
      <c r="B1931" s="97">
        <f t="shared" si="496"/>
        <v>46236</v>
      </c>
      <c r="C1931" s="313">
        <v>0.3333333333333333</v>
      </c>
      <c r="D1931" s="129" t="s">
        <v>1828</v>
      </c>
      <c r="E1931" s="129" t="s">
        <v>1758</v>
      </c>
      <c r="F1931" s="130">
        <v>200.0</v>
      </c>
      <c r="G1931" s="129"/>
      <c r="H1931" s="44" t="b">
        <v>1</v>
      </c>
      <c r="K1931" s="441" t="s">
        <v>1749</v>
      </c>
      <c r="L1931" s="441" t="s">
        <v>1758</v>
      </c>
      <c r="M1931" s="441" t="s">
        <v>469</v>
      </c>
      <c r="N1931" s="441" t="s">
        <v>195</v>
      </c>
      <c r="O1931" s="441" t="s">
        <v>1764</v>
      </c>
      <c r="P1931" s="441" t="s">
        <v>1765</v>
      </c>
      <c r="Q1931" s="441" t="s">
        <v>1766</v>
      </c>
    </row>
    <row r="1932" hidden="1" outlineLevel="1">
      <c r="A1932" s="58"/>
      <c r="B1932" s="58"/>
      <c r="C1932" s="313">
        <v>0.4583333333333333</v>
      </c>
      <c r="D1932" s="129" t="s">
        <v>1857</v>
      </c>
      <c r="E1932" s="129" t="s">
        <v>1758</v>
      </c>
      <c r="F1932" s="130">
        <v>200.0</v>
      </c>
      <c r="G1932" s="129"/>
      <c r="H1932" s="44" t="b">
        <v>1</v>
      </c>
      <c r="K1932" s="91" t="s">
        <v>1756</v>
      </c>
      <c r="L1932" s="90">
        <f t="shared" ref="L1932:L1950" si="497">COUNTIFS($D$1930:$D$2001, $K1932,$E$1930:$E$2001,$L$1931)</f>
        <v>13</v>
      </c>
      <c r="M1932" s="90">
        <f t="shared" ref="M1932:M1950" si="498">COUNTIFS($D$1930:$D$2001, $K1932,$E$1930:$E$2001,$M$1931)</f>
        <v>9</v>
      </c>
      <c r="N1932" s="90">
        <f t="shared" ref="N1932:N1950" si="499">L1932+M1932</f>
        <v>22</v>
      </c>
      <c r="O1932" s="92">
        <f t="shared" ref="O1932:O1950" si="500">SUMIFS($F$1930:$F$2001,$D$1930:$D$2001,$K1932)</f>
        <v>3300</v>
      </c>
      <c r="P1932" s="92">
        <f t="shared" ref="P1932:P1950" si="501">SUMIFS($F$1930:$F$2001,$D$1930:$D$2001,$K1932,$H$1930:$H$2001,TRUE())</f>
        <v>3300</v>
      </c>
      <c r="Q1932" s="92">
        <f t="shared" ref="Q1932:Q1950" si="502">O1932-P1932</f>
        <v>0</v>
      </c>
    </row>
    <row r="1933" hidden="1" outlineLevel="1">
      <c r="A1933" s="10"/>
      <c r="B1933" s="10"/>
      <c r="C1933" s="313">
        <v>0.7708333333333334</v>
      </c>
      <c r="D1933" s="129" t="s">
        <v>1838</v>
      </c>
      <c r="E1933" s="129" t="s">
        <v>1758</v>
      </c>
      <c r="F1933" s="130">
        <v>200.0</v>
      </c>
      <c r="G1933" s="129"/>
      <c r="H1933" s="44" t="b">
        <v>1</v>
      </c>
      <c r="K1933" s="91" t="s">
        <v>1636</v>
      </c>
      <c r="L1933" s="90">
        <f t="shared" si="497"/>
        <v>17</v>
      </c>
      <c r="M1933" s="90">
        <f t="shared" si="498"/>
        <v>0</v>
      </c>
      <c r="N1933" s="90">
        <f t="shared" si="499"/>
        <v>17</v>
      </c>
      <c r="O1933" s="92">
        <f t="shared" si="500"/>
        <v>2550</v>
      </c>
      <c r="P1933" s="92">
        <f t="shared" si="501"/>
        <v>2550</v>
      </c>
      <c r="Q1933" s="92">
        <f t="shared" si="502"/>
        <v>0</v>
      </c>
    </row>
    <row r="1934" hidden="1" outlineLevel="1">
      <c r="A1934" s="102">
        <v>46237.0</v>
      </c>
      <c r="B1934" s="97">
        <f>A1934</f>
        <v>46237</v>
      </c>
      <c r="C1934" s="313">
        <v>0.2916666666666667</v>
      </c>
      <c r="D1934" s="129" t="s">
        <v>1756</v>
      </c>
      <c r="E1934" s="129" t="s">
        <v>1758</v>
      </c>
      <c r="F1934" s="130">
        <v>150.0</v>
      </c>
      <c r="G1934" s="129"/>
      <c r="H1934" s="44" t="b">
        <v>1</v>
      </c>
      <c r="K1934" s="91" t="s">
        <v>1841</v>
      </c>
      <c r="L1934" s="90">
        <f t="shared" si="497"/>
        <v>0</v>
      </c>
      <c r="M1934" s="90">
        <f t="shared" si="498"/>
        <v>0</v>
      </c>
      <c r="N1934" s="90">
        <f t="shared" si="499"/>
        <v>0</v>
      </c>
      <c r="O1934" s="92">
        <f t="shared" si="500"/>
        <v>0</v>
      </c>
      <c r="P1934" s="92">
        <f t="shared" si="501"/>
        <v>0</v>
      </c>
      <c r="Q1934" s="92">
        <f t="shared" si="502"/>
        <v>0</v>
      </c>
    </row>
    <row r="1935" hidden="1" outlineLevel="1">
      <c r="A1935" s="10"/>
      <c r="B1935" s="10"/>
      <c r="C1935" s="313">
        <v>0.5069444444444444</v>
      </c>
      <c r="D1935" s="129" t="s">
        <v>1636</v>
      </c>
      <c r="E1935" s="129" t="s">
        <v>1758</v>
      </c>
      <c r="F1935" s="130">
        <v>150.0</v>
      </c>
      <c r="G1935" s="129"/>
      <c r="H1935" s="44" t="b">
        <v>1</v>
      </c>
      <c r="K1935" s="91" t="s">
        <v>1838</v>
      </c>
      <c r="L1935" s="90">
        <f t="shared" si="497"/>
        <v>2</v>
      </c>
      <c r="M1935" s="90">
        <f t="shared" si="498"/>
        <v>0</v>
      </c>
      <c r="N1935" s="90">
        <f t="shared" si="499"/>
        <v>2</v>
      </c>
      <c r="O1935" s="92">
        <f t="shared" si="500"/>
        <v>400</v>
      </c>
      <c r="P1935" s="92">
        <f t="shared" si="501"/>
        <v>400</v>
      </c>
      <c r="Q1935" s="92">
        <f t="shared" si="502"/>
        <v>0</v>
      </c>
    </row>
    <row r="1936" hidden="1" outlineLevel="1">
      <c r="A1936" s="102">
        <v>46238.0</v>
      </c>
      <c r="B1936" s="97">
        <f>A1936</f>
        <v>46238</v>
      </c>
      <c r="C1936" s="398">
        <v>0.2916666666666667</v>
      </c>
      <c r="D1936" s="129" t="s">
        <v>1756</v>
      </c>
      <c r="E1936" s="129" t="s">
        <v>469</v>
      </c>
      <c r="F1936" s="130">
        <v>150.0</v>
      </c>
      <c r="G1936" s="129"/>
      <c r="H1936" s="44" t="b">
        <v>1</v>
      </c>
      <c r="K1936" s="91" t="s">
        <v>183</v>
      </c>
      <c r="L1936" s="90">
        <f t="shared" si="497"/>
        <v>0</v>
      </c>
      <c r="M1936" s="90">
        <f t="shared" si="498"/>
        <v>0</v>
      </c>
      <c r="N1936" s="90">
        <f t="shared" si="499"/>
        <v>0</v>
      </c>
      <c r="O1936" s="92">
        <f t="shared" si="500"/>
        <v>0</v>
      </c>
      <c r="P1936" s="92">
        <f t="shared" si="501"/>
        <v>0</v>
      </c>
      <c r="Q1936" s="92">
        <f t="shared" si="502"/>
        <v>0</v>
      </c>
    </row>
    <row r="1937" hidden="1" outlineLevel="1">
      <c r="A1937" s="58"/>
      <c r="B1937" s="58"/>
      <c r="C1937" s="10"/>
      <c r="D1937" s="129" t="s">
        <v>1761</v>
      </c>
      <c r="E1937" s="129" t="s">
        <v>1758</v>
      </c>
      <c r="F1937" s="130">
        <v>150.0</v>
      </c>
      <c r="G1937" s="129"/>
      <c r="H1937" s="44" t="b">
        <v>1</v>
      </c>
      <c r="K1937" s="91" t="s">
        <v>1848</v>
      </c>
      <c r="L1937" s="90">
        <f t="shared" si="497"/>
        <v>1</v>
      </c>
      <c r="M1937" s="90">
        <f t="shared" si="498"/>
        <v>0</v>
      </c>
      <c r="N1937" s="90">
        <f t="shared" si="499"/>
        <v>1</v>
      </c>
      <c r="O1937" s="92">
        <f t="shared" si="500"/>
        <v>200</v>
      </c>
      <c r="P1937" s="92">
        <f t="shared" si="501"/>
        <v>200</v>
      </c>
      <c r="Q1937" s="92">
        <f t="shared" si="502"/>
        <v>0</v>
      </c>
    </row>
    <row r="1938" hidden="1" outlineLevel="1">
      <c r="A1938" s="10"/>
      <c r="B1938" s="10"/>
      <c r="C1938" s="313">
        <v>0.5069444444444444</v>
      </c>
      <c r="D1938" s="129" t="s">
        <v>1636</v>
      </c>
      <c r="E1938" s="129" t="s">
        <v>1758</v>
      </c>
      <c r="F1938" s="130">
        <v>150.0</v>
      </c>
      <c r="G1938" s="129"/>
      <c r="H1938" s="44" t="b">
        <v>1</v>
      </c>
      <c r="K1938" s="91" t="s">
        <v>1863</v>
      </c>
      <c r="L1938" s="90">
        <f t="shared" si="497"/>
        <v>0</v>
      </c>
      <c r="M1938" s="90">
        <f t="shared" si="498"/>
        <v>0</v>
      </c>
      <c r="N1938" s="90">
        <f t="shared" si="499"/>
        <v>0</v>
      </c>
      <c r="O1938" s="92">
        <f t="shared" si="500"/>
        <v>0</v>
      </c>
      <c r="P1938" s="92">
        <f t="shared" si="501"/>
        <v>0</v>
      </c>
      <c r="Q1938" s="92">
        <f t="shared" si="502"/>
        <v>0</v>
      </c>
    </row>
    <row r="1939" hidden="1" outlineLevel="1">
      <c r="A1939" s="102">
        <v>46239.0</v>
      </c>
      <c r="B1939" s="97">
        <f>A1939</f>
        <v>46239</v>
      </c>
      <c r="C1939" s="313">
        <v>0.2916666666666667</v>
      </c>
      <c r="D1939" s="129" t="s">
        <v>1756</v>
      </c>
      <c r="E1939" s="129" t="s">
        <v>1758</v>
      </c>
      <c r="F1939" s="130">
        <v>150.0</v>
      </c>
      <c r="G1939" s="129"/>
      <c r="H1939" s="44" t="b">
        <v>1</v>
      </c>
      <c r="K1939" s="91" t="s">
        <v>1865</v>
      </c>
      <c r="L1939" s="90">
        <f t="shared" si="497"/>
        <v>0</v>
      </c>
      <c r="M1939" s="90">
        <f t="shared" si="498"/>
        <v>0</v>
      </c>
      <c r="N1939" s="90">
        <f t="shared" si="499"/>
        <v>0</v>
      </c>
      <c r="O1939" s="92">
        <f t="shared" si="500"/>
        <v>0</v>
      </c>
      <c r="P1939" s="92">
        <f t="shared" si="501"/>
        <v>0</v>
      </c>
      <c r="Q1939" s="92">
        <f t="shared" si="502"/>
        <v>0</v>
      </c>
    </row>
    <row r="1940" hidden="1" outlineLevel="1">
      <c r="A1940" s="10"/>
      <c r="B1940" s="10"/>
      <c r="C1940" s="313">
        <v>0.5069444444444444</v>
      </c>
      <c r="D1940" s="129" t="s">
        <v>1636</v>
      </c>
      <c r="E1940" s="129" t="s">
        <v>1758</v>
      </c>
      <c r="F1940" s="130">
        <v>150.0</v>
      </c>
      <c r="G1940" s="129"/>
      <c r="H1940" s="44" t="b">
        <v>1</v>
      </c>
      <c r="K1940" s="91" t="s">
        <v>1857</v>
      </c>
      <c r="L1940" s="90">
        <f t="shared" si="497"/>
        <v>4</v>
      </c>
      <c r="M1940" s="90">
        <f t="shared" si="498"/>
        <v>0</v>
      </c>
      <c r="N1940" s="90">
        <f t="shared" si="499"/>
        <v>4</v>
      </c>
      <c r="O1940" s="92">
        <f t="shared" si="500"/>
        <v>850</v>
      </c>
      <c r="P1940" s="92">
        <f t="shared" si="501"/>
        <v>850</v>
      </c>
      <c r="Q1940" s="92">
        <f t="shared" si="502"/>
        <v>0</v>
      </c>
    </row>
    <row r="1941" hidden="1" outlineLevel="1">
      <c r="A1941" s="102">
        <v>46240.0</v>
      </c>
      <c r="B1941" s="97">
        <f>A1941</f>
        <v>46240</v>
      </c>
      <c r="C1941" s="313">
        <v>0.2916666666666667</v>
      </c>
      <c r="D1941" s="129" t="s">
        <v>1756</v>
      </c>
      <c r="E1941" s="129" t="s">
        <v>1758</v>
      </c>
      <c r="F1941" s="130">
        <v>150.0</v>
      </c>
      <c r="G1941" s="129"/>
      <c r="H1941" s="44" t="b">
        <v>1</v>
      </c>
      <c r="K1941" s="91" t="s">
        <v>1842</v>
      </c>
      <c r="L1941" s="90">
        <f t="shared" si="497"/>
        <v>0</v>
      </c>
      <c r="M1941" s="90">
        <f t="shared" si="498"/>
        <v>0</v>
      </c>
      <c r="N1941" s="90">
        <f t="shared" si="499"/>
        <v>0</v>
      </c>
      <c r="O1941" s="92">
        <f t="shared" si="500"/>
        <v>0</v>
      </c>
      <c r="P1941" s="92">
        <f t="shared" si="501"/>
        <v>0</v>
      </c>
      <c r="Q1941" s="92">
        <f t="shared" si="502"/>
        <v>0</v>
      </c>
    </row>
    <row r="1942" hidden="1" outlineLevel="1">
      <c r="A1942" s="10"/>
      <c r="B1942" s="10"/>
      <c r="C1942" s="313">
        <v>0.5069444444444444</v>
      </c>
      <c r="D1942" s="129" t="s">
        <v>562</v>
      </c>
      <c r="E1942" s="129" t="s">
        <v>1758</v>
      </c>
      <c r="F1942" s="130">
        <v>150.0</v>
      </c>
      <c r="G1942" s="129"/>
      <c r="H1942" s="44" t="b">
        <v>1</v>
      </c>
      <c r="K1942" s="91" t="s">
        <v>562</v>
      </c>
      <c r="L1942" s="90">
        <f t="shared" si="497"/>
        <v>6</v>
      </c>
      <c r="M1942" s="90">
        <f t="shared" si="498"/>
        <v>0</v>
      </c>
      <c r="N1942" s="90">
        <f t="shared" si="499"/>
        <v>6</v>
      </c>
      <c r="O1942" s="92">
        <f t="shared" si="500"/>
        <v>1000</v>
      </c>
      <c r="P1942" s="92">
        <f t="shared" si="501"/>
        <v>1000</v>
      </c>
      <c r="Q1942" s="92">
        <f t="shared" si="502"/>
        <v>0</v>
      </c>
    </row>
    <row r="1943" hidden="1" outlineLevel="1">
      <c r="A1943" s="102">
        <v>46241.0</v>
      </c>
      <c r="B1943" s="97">
        <f>A1943</f>
        <v>46241</v>
      </c>
      <c r="C1943" s="398">
        <v>0.2916666666666667</v>
      </c>
      <c r="D1943" s="129" t="s">
        <v>1756</v>
      </c>
      <c r="E1943" s="129" t="s">
        <v>469</v>
      </c>
      <c r="F1943" s="130">
        <v>150.0</v>
      </c>
      <c r="G1943" s="129"/>
      <c r="H1943" s="44" t="b">
        <v>1</v>
      </c>
      <c r="K1943" s="91" t="s">
        <v>1828</v>
      </c>
      <c r="L1943" s="90">
        <f t="shared" si="497"/>
        <v>4</v>
      </c>
      <c r="M1943" s="90">
        <f t="shared" si="498"/>
        <v>0</v>
      </c>
      <c r="N1943" s="90">
        <f t="shared" si="499"/>
        <v>4</v>
      </c>
      <c r="O1943" s="92">
        <f t="shared" si="500"/>
        <v>800</v>
      </c>
      <c r="P1943" s="92">
        <f t="shared" si="501"/>
        <v>800</v>
      </c>
      <c r="Q1943" s="92">
        <f t="shared" si="502"/>
        <v>0</v>
      </c>
    </row>
    <row r="1944" hidden="1" outlineLevel="1">
      <c r="A1944" s="58"/>
      <c r="B1944" s="58"/>
      <c r="C1944" s="10"/>
      <c r="D1944" s="129" t="s">
        <v>1761</v>
      </c>
      <c r="E1944" s="129" t="s">
        <v>1758</v>
      </c>
      <c r="F1944" s="130">
        <v>150.0</v>
      </c>
      <c r="G1944" s="129"/>
      <c r="H1944" s="44" t="b">
        <v>1</v>
      </c>
      <c r="K1944" s="91" t="s">
        <v>1862</v>
      </c>
      <c r="L1944" s="90">
        <f t="shared" si="497"/>
        <v>1</v>
      </c>
      <c r="M1944" s="90">
        <f t="shared" si="498"/>
        <v>0</v>
      </c>
      <c r="N1944" s="90">
        <f t="shared" si="499"/>
        <v>1</v>
      </c>
      <c r="O1944" s="92">
        <f t="shared" si="500"/>
        <v>200</v>
      </c>
      <c r="P1944" s="92">
        <f t="shared" si="501"/>
        <v>200</v>
      </c>
      <c r="Q1944" s="92">
        <f t="shared" si="502"/>
        <v>0</v>
      </c>
    </row>
    <row r="1945" hidden="1" outlineLevel="1">
      <c r="A1945" s="10"/>
      <c r="B1945" s="10"/>
      <c r="C1945" s="313">
        <v>0.5069444444444444</v>
      </c>
      <c r="D1945" s="129" t="s">
        <v>1636</v>
      </c>
      <c r="E1945" s="129" t="s">
        <v>1758</v>
      </c>
      <c r="F1945" s="130">
        <v>150.0</v>
      </c>
      <c r="G1945" s="129"/>
      <c r="H1945" s="44" t="b">
        <v>1</v>
      </c>
      <c r="K1945" s="91" t="s">
        <v>1845</v>
      </c>
      <c r="L1945" s="90">
        <f t="shared" si="497"/>
        <v>1</v>
      </c>
      <c r="M1945" s="90">
        <f t="shared" si="498"/>
        <v>0</v>
      </c>
      <c r="N1945" s="90">
        <f t="shared" si="499"/>
        <v>1</v>
      </c>
      <c r="O1945" s="92">
        <f t="shared" si="500"/>
        <v>0</v>
      </c>
      <c r="P1945" s="92">
        <f t="shared" si="501"/>
        <v>0</v>
      </c>
      <c r="Q1945" s="92">
        <f t="shared" si="502"/>
        <v>0</v>
      </c>
    </row>
    <row r="1946" hidden="1" outlineLevel="1">
      <c r="A1946" s="574">
        <v>46242.0</v>
      </c>
      <c r="B1946" s="575">
        <f>A1946</f>
        <v>46242</v>
      </c>
      <c r="C1946" s="429">
        <v>0.3333333333333333</v>
      </c>
      <c r="D1946" s="577" t="s">
        <v>1756</v>
      </c>
      <c r="E1946" s="123" t="s">
        <v>469</v>
      </c>
      <c r="F1946" s="578">
        <v>150.0</v>
      </c>
      <c r="G1946" s="129"/>
      <c r="H1946" s="44" t="b">
        <v>1</v>
      </c>
      <c r="K1946" s="91" t="s">
        <v>1851</v>
      </c>
      <c r="L1946" s="90">
        <f t="shared" si="497"/>
        <v>0</v>
      </c>
      <c r="M1946" s="90">
        <f t="shared" si="498"/>
        <v>0</v>
      </c>
      <c r="N1946" s="90">
        <f t="shared" si="499"/>
        <v>0</v>
      </c>
      <c r="O1946" s="92">
        <f t="shared" si="500"/>
        <v>0</v>
      </c>
      <c r="P1946" s="92">
        <f t="shared" si="501"/>
        <v>0</v>
      </c>
      <c r="Q1946" s="92">
        <f t="shared" si="502"/>
        <v>0</v>
      </c>
    </row>
    <row r="1947" hidden="1" outlineLevel="1">
      <c r="A1947" s="58"/>
      <c r="B1947" s="58"/>
      <c r="C1947" s="313">
        <v>0.3333333333333333</v>
      </c>
      <c r="D1947" s="129" t="s">
        <v>1857</v>
      </c>
      <c r="E1947" s="129" t="s">
        <v>1758</v>
      </c>
      <c r="F1947" s="130">
        <v>150.0</v>
      </c>
      <c r="G1947" s="129"/>
      <c r="H1947" s="44" t="b">
        <v>1</v>
      </c>
      <c r="K1947" s="91" t="s">
        <v>1855</v>
      </c>
      <c r="L1947" s="90">
        <f t="shared" si="497"/>
        <v>4</v>
      </c>
      <c r="M1947" s="90">
        <f t="shared" si="498"/>
        <v>0</v>
      </c>
      <c r="N1947" s="90">
        <f t="shared" si="499"/>
        <v>4</v>
      </c>
      <c r="O1947" s="92">
        <f t="shared" si="500"/>
        <v>600</v>
      </c>
      <c r="P1947" s="92">
        <f t="shared" si="501"/>
        <v>600</v>
      </c>
      <c r="Q1947" s="92">
        <f t="shared" si="502"/>
        <v>0</v>
      </c>
    </row>
    <row r="1948" hidden="1" outlineLevel="1">
      <c r="A1948" s="10"/>
      <c r="B1948" s="10"/>
      <c r="C1948" s="313">
        <v>0.3333333333333333</v>
      </c>
      <c r="D1948" s="129" t="s">
        <v>1857</v>
      </c>
      <c r="E1948" s="129" t="s">
        <v>1793</v>
      </c>
      <c r="F1948" s="130">
        <v>100.0</v>
      </c>
      <c r="G1948" s="129"/>
      <c r="H1948" s="44" t="b">
        <v>1</v>
      </c>
      <c r="K1948" s="91" t="s">
        <v>1761</v>
      </c>
      <c r="L1948" s="90">
        <f t="shared" si="497"/>
        <v>8</v>
      </c>
      <c r="M1948" s="90">
        <f t="shared" si="498"/>
        <v>0</v>
      </c>
      <c r="N1948" s="90">
        <f t="shared" si="499"/>
        <v>8</v>
      </c>
      <c r="O1948" s="92">
        <f t="shared" si="500"/>
        <v>1200</v>
      </c>
      <c r="P1948" s="92">
        <f t="shared" si="501"/>
        <v>1200</v>
      </c>
      <c r="Q1948" s="92">
        <f t="shared" si="502"/>
        <v>0</v>
      </c>
    </row>
    <row r="1949" hidden="1" outlineLevel="1">
      <c r="A1949" s="102">
        <v>46243.0</v>
      </c>
      <c r="B1949" s="97">
        <f>A1949</f>
        <v>46243</v>
      </c>
      <c r="C1949" s="313">
        <v>0.3333333333333333</v>
      </c>
      <c r="D1949" s="129" t="s">
        <v>1828</v>
      </c>
      <c r="E1949" s="129" t="s">
        <v>1758</v>
      </c>
      <c r="F1949" s="130">
        <v>200.0</v>
      </c>
      <c r="G1949" s="129"/>
      <c r="H1949" s="44" t="b">
        <v>1</v>
      </c>
      <c r="K1949" s="91" t="s">
        <v>1860</v>
      </c>
      <c r="L1949" s="90">
        <f t="shared" si="497"/>
        <v>1</v>
      </c>
      <c r="M1949" s="90">
        <f t="shared" si="498"/>
        <v>0</v>
      </c>
      <c r="N1949" s="90">
        <f t="shared" si="499"/>
        <v>1</v>
      </c>
      <c r="O1949" s="92">
        <f t="shared" si="500"/>
        <v>200</v>
      </c>
      <c r="P1949" s="92">
        <f t="shared" si="501"/>
        <v>200</v>
      </c>
      <c r="Q1949" s="92">
        <f t="shared" si="502"/>
        <v>0</v>
      </c>
    </row>
    <row r="1950" hidden="1" outlineLevel="1">
      <c r="A1950" s="58"/>
      <c r="B1950" s="58"/>
      <c r="C1950" s="313">
        <v>0.4583333333333333</v>
      </c>
      <c r="D1950" s="129" t="s">
        <v>562</v>
      </c>
      <c r="E1950" s="129" t="s">
        <v>1758</v>
      </c>
      <c r="F1950" s="130">
        <v>200.0</v>
      </c>
      <c r="G1950" s="129"/>
      <c r="H1950" s="44" t="b">
        <v>1</v>
      </c>
      <c r="K1950" s="91" t="s">
        <v>1843</v>
      </c>
      <c r="L1950" s="90">
        <f t="shared" si="497"/>
        <v>0</v>
      </c>
      <c r="M1950" s="90">
        <f t="shared" si="498"/>
        <v>0</v>
      </c>
      <c r="N1950" s="90">
        <f t="shared" si="499"/>
        <v>0</v>
      </c>
      <c r="O1950" s="92">
        <f t="shared" si="500"/>
        <v>0</v>
      </c>
      <c r="P1950" s="92">
        <f t="shared" si="501"/>
        <v>0</v>
      </c>
      <c r="Q1950" s="92">
        <f t="shared" si="502"/>
        <v>0</v>
      </c>
    </row>
    <row r="1951" hidden="1" outlineLevel="1">
      <c r="A1951" s="10"/>
      <c r="B1951" s="10"/>
      <c r="C1951" s="313">
        <v>0.7708333333333334</v>
      </c>
      <c r="D1951" s="129" t="s">
        <v>1845</v>
      </c>
      <c r="E1951" s="129" t="s">
        <v>1758</v>
      </c>
      <c r="F1951" s="130">
        <v>0.0</v>
      </c>
      <c r="G1951" s="129"/>
      <c r="H1951" s="44" t="b">
        <v>1</v>
      </c>
      <c r="K1951" s="276"/>
      <c r="L1951" s="90"/>
      <c r="M1951" s="90"/>
      <c r="N1951" s="90"/>
      <c r="O1951" s="92"/>
      <c r="P1951" s="92"/>
      <c r="Q1951" s="90"/>
    </row>
    <row r="1952" hidden="1" outlineLevel="1">
      <c r="A1952" s="102">
        <v>46244.0</v>
      </c>
      <c r="B1952" s="97">
        <f>A1952</f>
        <v>46244</v>
      </c>
      <c r="C1952" s="313">
        <v>0.2916666666666667</v>
      </c>
      <c r="D1952" s="129" t="s">
        <v>1855</v>
      </c>
      <c r="E1952" s="129" t="s">
        <v>1758</v>
      </c>
      <c r="F1952" s="130">
        <v>150.0</v>
      </c>
      <c r="G1952" s="129"/>
      <c r="H1952" s="44" t="b">
        <v>1</v>
      </c>
      <c r="K1952" s="276"/>
      <c r="L1952" s="90"/>
      <c r="M1952" s="90"/>
      <c r="N1952" s="90"/>
      <c r="O1952" s="92"/>
      <c r="P1952" s="92"/>
      <c r="Q1952" s="90"/>
    </row>
    <row r="1953" hidden="1" outlineLevel="1">
      <c r="A1953" s="10"/>
      <c r="B1953" s="10"/>
      <c r="C1953" s="313">
        <v>0.5069444444444444</v>
      </c>
      <c r="D1953" s="129" t="s">
        <v>1636</v>
      </c>
      <c r="E1953" s="129" t="s">
        <v>1758</v>
      </c>
      <c r="F1953" s="130">
        <v>150.0</v>
      </c>
      <c r="G1953" s="129"/>
      <c r="H1953" s="44" t="b">
        <v>1</v>
      </c>
      <c r="K1953" s="91"/>
      <c r="L1953" s="90"/>
      <c r="M1953" s="90"/>
      <c r="N1953" s="90"/>
      <c r="O1953" s="92"/>
      <c r="P1953" s="92"/>
      <c r="Q1953" s="90"/>
    </row>
    <row r="1954" hidden="1" outlineLevel="1">
      <c r="A1954" s="102">
        <v>46245.0</v>
      </c>
      <c r="B1954" s="97">
        <f>A1954</f>
        <v>46245</v>
      </c>
      <c r="C1954" s="398">
        <v>0.2916666666666667</v>
      </c>
      <c r="D1954" s="129" t="s">
        <v>1756</v>
      </c>
      <c r="E1954" s="129" t="s">
        <v>469</v>
      </c>
      <c r="F1954" s="130">
        <v>150.0</v>
      </c>
      <c r="G1954" s="129"/>
      <c r="H1954" s="44" t="b">
        <v>1</v>
      </c>
      <c r="K1954" s="91"/>
      <c r="L1954" s="90"/>
      <c r="M1954" s="90"/>
      <c r="N1954" s="90"/>
      <c r="O1954" s="92"/>
      <c r="P1954" s="92"/>
      <c r="Q1954" s="90"/>
    </row>
    <row r="1955" hidden="1" outlineLevel="1">
      <c r="A1955" s="58"/>
      <c r="B1955" s="58"/>
      <c r="C1955" s="10"/>
      <c r="D1955" s="129" t="s">
        <v>1761</v>
      </c>
      <c r="E1955" s="129" t="s">
        <v>1758</v>
      </c>
      <c r="F1955" s="130">
        <v>150.0</v>
      </c>
      <c r="G1955" s="129"/>
      <c r="H1955" s="44" t="b">
        <v>1</v>
      </c>
      <c r="K1955" s="477" t="s">
        <v>195</v>
      </c>
      <c r="L1955" s="478">
        <f t="shared" ref="L1955:Q1955" si="503">SUM(L1932:L1954)</f>
        <v>62</v>
      </c>
      <c r="M1955" s="478">
        <f t="shared" si="503"/>
        <v>9</v>
      </c>
      <c r="N1955" s="478">
        <f t="shared" si="503"/>
        <v>71</v>
      </c>
      <c r="O1955" s="479">
        <f t="shared" si="503"/>
        <v>11300</v>
      </c>
      <c r="P1955" s="479">
        <f t="shared" si="503"/>
        <v>11300</v>
      </c>
      <c r="Q1955" s="479">
        <f t="shared" si="503"/>
        <v>0</v>
      </c>
    </row>
    <row r="1956" hidden="1" outlineLevel="1">
      <c r="A1956" s="10"/>
      <c r="B1956" s="10"/>
      <c r="C1956" s="313">
        <v>0.5069444444444444</v>
      </c>
      <c r="D1956" s="129" t="s">
        <v>1636</v>
      </c>
      <c r="E1956" s="129" t="s">
        <v>1758</v>
      </c>
      <c r="F1956" s="130">
        <v>150.0</v>
      </c>
      <c r="G1956" s="129"/>
      <c r="H1956" s="44" t="b">
        <v>1</v>
      </c>
    </row>
    <row r="1957" hidden="1" outlineLevel="1">
      <c r="A1957" s="102">
        <v>46246.0</v>
      </c>
      <c r="B1957" s="97">
        <f>A1957</f>
        <v>46246</v>
      </c>
      <c r="C1957" s="313">
        <v>0.2916666666666667</v>
      </c>
      <c r="D1957" s="129" t="s">
        <v>1756</v>
      </c>
      <c r="E1957" s="129" t="s">
        <v>1758</v>
      </c>
      <c r="F1957" s="130">
        <v>150.0</v>
      </c>
      <c r="G1957" s="129"/>
      <c r="H1957" s="44" t="b">
        <v>1</v>
      </c>
    </row>
    <row r="1958" hidden="1" outlineLevel="1">
      <c r="A1958" s="10"/>
      <c r="B1958" s="10"/>
      <c r="C1958" s="313">
        <v>0.5069444444444444</v>
      </c>
      <c r="D1958" s="129" t="s">
        <v>1636</v>
      </c>
      <c r="E1958" s="129" t="s">
        <v>1758</v>
      </c>
      <c r="F1958" s="130">
        <v>150.0</v>
      </c>
      <c r="G1958" s="129"/>
      <c r="H1958" s="44" t="b">
        <v>1</v>
      </c>
    </row>
    <row r="1959" hidden="1" outlineLevel="1">
      <c r="A1959" s="102">
        <v>46247.0</v>
      </c>
      <c r="B1959" s="97">
        <f>A1959</f>
        <v>46247</v>
      </c>
      <c r="C1959" s="313">
        <v>0.2916666666666667</v>
      </c>
      <c r="D1959" s="129" t="s">
        <v>1756</v>
      </c>
      <c r="E1959" s="129" t="s">
        <v>1758</v>
      </c>
      <c r="F1959" s="130">
        <v>150.0</v>
      </c>
      <c r="G1959" s="129"/>
      <c r="H1959" s="44" t="b">
        <v>1</v>
      </c>
    </row>
    <row r="1960" hidden="1" outlineLevel="1">
      <c r="A1960" s="10"/>
      <c r="B1960" s="10"/>
      <c r="C1960" s="313">
        <v>0.5069444444444444</v>
      </c>
      <c r="D1960" s="129" t="s">
        <v>562</v>
      </c>
      <c r="E1960" s="129" t="s">
        <v>1758</v>
      </c>
      <c r="F1960" s="130">
        <v>150.0</v>
      </c>
      <c r="G1960" s="129"/>
      <c r="H1960" s="44" t="b">
        <v>1</v>
      </c>
    </row>
    <row r="1961" hidden="1" outlineLevel="1">
      <c r="A1961" s="102">
        <v>46248.0</v>
      </c>
      <c r="B1961" s="97">
        <f>A1961</f>
        <v>46248</v>
      </c>
      <c r="C1961" s="398">
        <v>0.2916666666666667</v>
      </c>
      <c r="D1961" s="129" t="s">
        <v>1756</v>
      </c>
      <c r="E1961" s="129" t="s">
        <v>469</v>
      </c>
      <c r="F1961" s="130">
        <v>150.0</v>
      </c>
      <c r="G1961" s="129"/>
      <c r="H1961" s="44" t="b">
        <v>1</v>
      </c>
    </row>
    <row r="1962" hidden="1" outlineLevel="1">
      <c r="A1962" s="58"/>
      <c r="B1962" s="58"/>
      <c r="C1962" s="10"/>
      <c r="D1962" s="129" t="s">
        <v>1761</v>
      </c>
      <c r="E1962" s="129" t="s">
        <v>1758</v>
      </c>
      <c r="F1962" s="130">
        <v>150.0</v>
      </c>
      <c r="G1962" s="129"/>
      <c r="H1962" s="44" t="b">
        <v>1</v>
      </c>
    </row>
    <row r="1963" hidden="1" outlineLevel="1">
      <c r="A1963" s="10"/>
      <c r="B1963" s="10"/>
      <c r="C1963" s="313">
        <v>0.5069444444444444</v>
      </c>
      <c r="D1963" s="129" t="s">
        <v>1636</v>
      </c>
      <c r="E1963" s="129" t="s">
        <v>1758</v>
      </c>
      <c r="F1963" s="130">
        <v>150.0</v>
      </c>
      <c r="G1963" s="129"/>
      <c r="H1963" s="44" t="b">
        <v>1</v>
      </c>
    </row>
    <row r="1964" hidden="1" outlineLevel="1">
      <c r="A1964" s="125">
        <v>46249.0</v>
      </c>
      <c r="B1964" s="126">
        <f t="shared" ref="B1964:B1965" si="504">A1964</f>
        <v>46249</v>
      </c>
      <c r="C1964" s="313">
        <v>0.3333333333333333</v>
      </c>
      <c r="D1964" s="129" t="s">
        <v>1756</v>
      </c>
      <c r="E1964" s="129" t="s">
        <v>1758</v>
      </c>
      <c r="F1964" s="130">
        <v>150.0</v>
      </c>
      <c r="G1964" s="129"/>
      <c r="H1964" s="44" t="b">
        <v>1</v>
      </c>
    </row>
    <row r="1965" hidden="1" outlineLevel="1">
      <c r="A1965" s="102">
        <v>46250.0</v>
      </c>
      <c r="B1965" s="97">
        <f t="shared" si="504"/>
        <v>46250</v>
      </c>
      <c r="C1965" s="313">
        <v>0.3333333333333333</v>
      </c>
      <c r="D1965" s="129" t="s">
        <v>1828</v>
      </c>
      <c r="E1965" s="129" t="s">
        <v>1758</v>
      </c>
      <c r="F1965" s="130">
        <v>200.0</v>
      </c>
      <c r="G1965" s="129"/>
      <c r="H1965" s="44" t="b">
        <v>1</v>
      </c>
    </row>
    <row r="1966" hidden="1" outlineLevel="1">
      <c r="A1966" s="58"/>
      <c r="B1966" s="58"/>
      <c r="C1966" s="313">
        <v>0.4583333333333333</v>
      </c>
      <c r="D1966" s="129" t="s">
        <v>562</v>
      </c>
      <c r="E1966" s="129" t="s">
        <v>1758</v>
      </c>
      <c r="F1966" s="130">
        <v>200.0</v>
      </c>
      <c r="G1966" s="129"/>
      <c r="H1966" s="44" t="b">
        <v>1</v>
      </c>
    </row>
    <row r="1967" hidden="1" outlineLevel="1">
      <c r="A1967" s="10"/>
      <c r="B1967" s="10"/>
      <c r="C1967" s="313">
        <v>0.7708333333333334</v>
      </c>
      <c r="D1967" s="129" t="s">
        <v>1862</v>
      </c>
      <c r="E1967" s="129" t="s">
        <v>1758</v>
      </c>
      <c r="F1967" s="130">
        <v>200.0</v>
      </c>
      <c r="G1967" s="129"/>
      <c r="H1967" s="44" t="b">
        <v>1</v>
      </c>
    </row>
    <row r="1968" hidden="1" outlineLevel="1">
      <c r="A1968" s="102">
        <v>46251.0</v>
      </c>
      <c r="B1968" s="97">
        <f>A1968</f>
        <v>46251</v>
      </c>
      <c r="C1968" s="313">
        <v>0.2916666666666667</v>
      </c>
      <c r="D1968" s="129" t="s">
        <v>1855</v>
      </c>
      <c r="E1968" s="129" t="s">
        <v>1758</v>
      </c>
      <c r="F1968" s="130">
        <v>150.0</v>
      </c>
      <c r="G1968" s="129"/>
      <c r="H1968" s="44" t="b">
        <v>1</v>
      </c>
    </row>
    <row r="1969" hidden="1" outlineLevel="1">
      <c r="A1969" s="10"/>
      <c r="B1969" s="10"/>
      <c r="C1969" s="313">
        <v>0.5069444444444444</v>
      </c>
      <c r="D1969" s="129" t="s">
        <v>1636</v>
      </c>
      <c r="E1969" s="129" t="s">
        <v>1758</v>
      </c>
      <c r="F1969" s="130">
        <v>150.0</v>
      </c>
      <c r="G1969" s="129"/>
      <c r="H1969" s="44" t="b">
        <v>1</v>
      </c>
    </row>
    <row r="1970" hidden="1" outlineLevel="1">
      <c r="A1970" s="102">
        <v>46252.0</v>
      </c>
      <c r="B1970" s="97">
        <f>A1970</f>
        <v>46252</v>
      </c>
      <c r="C1970" s="398">
        <v>0.2916666666666667</v>
      </c>
      <c r="D1970" s="129" t="s">
        <v>1756</v>
      </c>
      <c r="E1970" s="129" t="s">
        <v>469</v>
      </c>
      <c r="F1970" s="130">
        <v>150.0</v>
      </c>
      <c r="G1970" s="129"/>
      <c r="H1970" s="44" t="b">
        <v>1</v>
      </c>
    </row>
    <row r="1971" hidden="1" outlineLevel="1">
      <c r="A1971" s="58"/>
      <c r="B1971" s="58"/>
      <c r="C1971" s="10"/>
      <c r="D1971" s="129" t="s">
        <v>1761</v>
      </c>
      <c r="E1971" s="129" t="s">
        <v>1758</v>
      </c>
      <c r="F1971" s="130">
        <v>150.0</v>
      </c>
      <c r="G1971" s="129"/>
      <c r="H1971" s="44" t="b">
        <v>1</v>
      </c>
    </row>
    <row r="1972" hidden="1" outlineLevel="1">
      <c r="A1972" s="10"/>
      <c r="B1972" s="10"/>
      <c r="C1972" s="313">
        <v>0.5069444444444444</v>
      </c>
      <c r="D1972" s="129" t="s">
        <v>1636</v>
      </c>
      <c r="E1972" s="129" t="s">
        <v>1758</v>
      </c>
      <c r="F1972" s="130">
        <v>150.0</v>
      </c>
      <c r="G1972" s="129"/>
      <c r="H1972" s="44" t="b">
        <v>1</v>
      </c>
    </row>
    <row r="1973" hidden="1" outlineLevel="1">
      <c r="A1973" s="102">
        <v>46253.0</v>
      </c>
      <c r="B1973" s="97">
        <f>A1973</f>
        <v>46253</v>
      </c>
      <c r="C1973" s="313">
        <v>0.2916666666666667</v>
      </c>
      <c r="D1973" s="129" t="s">
        <v>1756</v>
      </c>
      <c r="E1973" s="129" t="s">
        <v>1758</v>
      </c>
      <c r="F1973" s="130">
        <v>150.0</v>
      </c>
      <c r="G1973" s="129"/>
      <c r="H1973" s="44" t="b">
        <v>1</v>
      </c>
    </row>
    <row r="1974" hidden="1" outlineLevel="1">
      <c r="A1974" s="10"/>
      <c r="B1974" s="10"/>
      <c r="C1974" s="313">
        <v>0.5069444444444444</v>
      </c>
      <c r="D1974" s="129" t="s">
        <v>1636</v>
      </c>
      <c r="E1974" s="129" t="s">
        <v>1758</v>
      </c>
      <c r="F1974" s="130">
        <v>150.0</v>
      </c>
      <c r="G1974" s="129"/>
      <c r="H1974" s="44" t="b">
        <v>1</v>
      </c>
    </row>
    <row r="1975" hidden="1" outlineLevel="1">
      <c r="A1975" s="102">
        <v>46254.0</v>
      </c>
      <c r="B1975" s="97">
        <f>A1975</f>
        <v>46254</v>
      </c>
      <c r="C1975" s="313">
        <v>0.2916666666666667</v>
      </c>
      <c r="D1975" s="129" t="s">
        <v>1756</v>
      </c>
      <c r="E1975" s="129" t="s">
        <v>1758</v>
      </c>
      <c r="F1975" s="130">
        <v>150.0</v>
      </c>
      <c r="G1975" s="129"/>
      <c r="H1975" s="44" t="b">
        <v>1</v>
      </c>
    </row>
    <row r="1976" hidden="1" outlineLevel="1">
      <c r="A1976" s="10"/>
      <c r="B1976" s="10"/>
      <c r="C1976" s="313">
        <v>0.5069444444444444</v>
      </c>
      <c r="D1976" s="129" t="s">
        <v>562</v>
      </c>
      <c r="E1976" s="129" t="s">
        <v>1758</v>
      </c>
      <c r="F1976" s="130">
        <v>150.0</v>
      </c>
      <c r="G1976" s="129"/>
      <c r="H1976" s="44" t="b">
        <v>1</v>
      </c>
    </row>
    <row r="1977" hidden="1" outlineLevel="1">
      <c r="A1977" s="102">
        <v>46255.0</v>
      </c>
      <c r="B1977" s="97">
        <f>A1977</f>
        <v>46255</v>
      </c>
      <c r="C1977" s="398">
        <v>0.2916666666666667</v>
      </c>
      <c r="D1977" s="129" t="s">
        <v>1756</v>
      </c>
      <c r="E1977" s="129" t="s">
        <v>469</v>
      </c>
      <c r="F1977" s="130">
        <v>150.0</v>
      </c>
      <c r="G1977" s="129"/>
      <c r="H1977" s="44" t="b">
        <v>1</v>
      </c>
    </row>
    <row r="1978" hidden="1" outlineLevel="1">
      <c r="A1978" s="58"/>
      <c r="B1978" s="58"/>
      <c r="C1978" s="10"/>
      <c r="D1978" s="129" t="s">
        <v>1761</v>
      </c>
      <c r="E1978" s="129" t="s">
        <v>1758</v>
      </c>
      <c r="F1978" s="130">
        <v>150.0</v>
      </c>
      <c r="G1978" s="129"/>
      <c r="H1978" s="44" t="b">
        <v>1</v>
      </c>
    </row>
    <row r="1979" hidden="1" outlineLevel="1">
      <c r="A1979" s="10"/>
      <c r="B1979" s="10"/>
      <c r="C1979" s="313">
        <v>0.5069444444444444</v>
      </c>
      <c r="D1979" s="129" t="s">
        <v>1636</v>
      </c>
      <c r="E1979" s="129" t="s">
        <v>1758</v>
      </c>
      <c r="F1979" s="130">
        <v>150.0</v>
      </c>
      <c r="G1979" s="129"/>
      <c r="H1979" s="44" t="b">
        <v>1</v>
      </c>
    </row>
    <row r="1980" hidden="1" outlineLevel="1">
      <c r="A1980" s="125">
        <v>46256.0</v>
      </c>
      <c r="B1980" s="126">
        <f t="shared" ref="B1980:B1981" si="505">A1980</f>
        <v>46256</v>
      </c>
      <c r="C1980" s="313">
        <v>0.3333333333333333</v>
      </c>
      <c r="D1980" s="129" t="s">
        <v>1756</v>
      </c>
      <c r="E1980" s="129" t="s">
        <v>1758</v>
      </c>
      <c r="F1980" s="130">
        <v>150.0</v>
      </c>
      <c r="G1980" s="582"/>
      <c r="H1980" s="44" t="b">
        <v>1</v>
      </c>
    </row>
    <row r="1981" hidden="1" outlineLevel="1">
      <c r="A1981" s="102">
        <v>46257.0</v>
      </c>
      <c r="B1981" s="97">
        <f t="shared" si="505"/>
        <v>46257</v>
      </c>
      <c r="C1981" s="313">
        <v>0.3333333333333333</v>
      </c>
      <c r="D1981" s="129" t="s">
        <v>1848</v>
      </c>
      <c r="E1981" s="129" t="s">
        <v>1758</v>
      </c>
      <c r="F1981" s="130">
        <v>200.0</v>
      </c>
      <c r="G1981" s="129"/>
      <c r="H1981" s="44" t="b">
        <v>1</v>
      </c>
    </row>
    <row r="1982" hidden="1" outlineLevel="1">
      <c r="A1982" s="58"/>
      <c r="B1982" s="58"/>
      <c r="C1982" s="313">
        <v>0.4583333333333333</v>
      </c>
      <c r="D1982" s="129" t="s">
        <v>1857</v>
      </c>
      <c r="E1982" s="129" t="s">
        <v>1758</v>
      </c>
      <c r="F1982" s="130">
        <v>200.0</v>
      </c>
      <c r="G1982" s="129"/>
      <c r="H1982" s="44" t="b">
        <v>1</v>
      </c>
    </row>
    <row r="1983" hidden="1" outlineLevel="1">
      <c r="A1983" s="10"/>
      <c r="B1983" s="10"/>
      <c r="C1983" s="313">
        <v>0.7708333333333334</v>
      </c>
      <c r="D1983" s="129" t="s">
        <v>1860</v>
      </c>
      <c r="E1983" s="129" t="s">
        <v>1758</v>
      </c>
      <c r="F1983" s="130">
        <v>200.0</v>
      </c>
      <c r="G1983" s="129"/>
      <c r="H1983" s="44" t="b">
        <v>1</v>
      </c>
    </row>
    <row r="1984" hidden="1" outlineLevel="1">
      <c r="A1984" s="102">
        <v>46258.0</v>
      </c>
      <c r="B1984" s="97">
        <f>A1984</f>
        <v>46258</v>
      </c>
      <c r="C1984" s="313">
        <v>0.2916666666666667</v>
      </c>
      <c r="D1984" s="129" t="s">
        <v>1855</v>
      </c>
      <c r="E1984" s="129" t="s">
        <v>1758</v>
      </c>
      <c r="F1984" s="130">
        <v>150.0</v>
      </c>
      <c r="G1984" s="129"/>
      <c r="H1984" s="44" t="b">
        <v>1</v>
      </c>
    </row>
    <row r="1985" hidden="1" outlineLevel="1">
      <c r="A1985" s="10"/>
      <c r="B1985" s="10"/>
      <c r="C1985" s="313">
        <v>0.5069444444444444</v>
      </c>
      <c r="D1985" s="129" t="s">
        <v>1636</v>
      </c>
      <c r="E1985" s="129" t="s">
        <v>1758</v>
      </c>
      <c r="F1985" s="130">
        <v>150.0</v>
      </c>
      <c r="G1985" s="129"/>
      <c r="H1985" s="44" t="b">
        <v>1</v>
      </c>
    </row>
    <row r="1986" hidden="1" outlineLevel="1">
      <c r="A1986" s="102">
        <v>46259.0</v>
      </c>
      <c r="B1986" s="97">
        <f>A1986</f>
        <v>46259</v>
      </c>
      <c r="C1986" s="398">
        <v>0.2916666666666667</v>
      </c>
      <c r="D1986" s="129" t="s">
        <v>1756</v>
      </c>
      <c r="E1986" s="129" t="s">
        <v>469</v>
      </c>
      <c r="F1986" s="130">
        <v>150.0</v>
      </c>
      <c r="G1986" s="129"/>
      <c r="H1986" s="44" t="b">
        <v>1</v>
      </c>
    </row>
    <row r="1987" hidden="1" outlineLevel="1">
      <c r="A1987" s="58"/>
      <c r="B1987" s="58"/>
      <c r="C1987" s="10"/>
      <c r="D1987" s="129" t="s">
        <v>1761</v>
      </c>
      <c r="E1987" s="129" t="s">
        <v>1758</v>
      </c>
      <c r="F1987" s="130">
        <v>150.0</v>
      </c>
      <c r="G1987" s="129"/>
      <c r="H1987" s="44" t="b">
        <v>1</v>
      </c>
    </row>
    <row r="1988" hidden="1" outlineLevel="1">
      <c r="A1988" s="10"/>
      <c r="B1988" s="10"/>
      <c r="C1988" s="313">
        <v>0.5069444444444444</v>
      </c>
      <c r="D1988" s="129" t="s">
        <v>1636</v>
      </c>
      <c r="E1988" s="129" t="s">
        <v>1758</v>
      </c>
      <c r="F1988" s="130">
        <v>150.0</v>
      </c>
      <c r="G1988" s="129"/>
      <c r="H1988" s="44" t="b">
        <v>1</v>
      </c>
    </row>
    <row r="1989" hidden="1" outlineLevel="1">
      <c r="A1989" s="102">
        <v>46260.0</v>
      </c>
      <c r="B1989" s="97">
        <f>A1989</f>
        <v>46260</v>
      </c>
      <c r="C1989" s="313">
        <v>0.2916666666666667</v>
      </c>
      <c r="D1989" s="129" t="s">
        <v>1756</v>
      </c>
      <c r="E1989" s="129" t="s">
        <v>1758</v>
      </c>
      <c r="F1989" s="130">
        <v>150.0</v>
      </c>
      <c r="G1989" s="129"/>
      <c r="H1989" s="44" t="b">
        <v>1</v>
      </c>
    </row>
    <row r="1990" hidden="1" outlineLevel="1">
      <c r="A1990" s="10"/>
      <c r="B1990" s="10"/>
      <c r="C1990" s="313">
        <v>0.5069444444444444</v>
      </c>
      <c r="D1990" s="129" t="s">
        <v>1636</v>
      </c>
      <c r="E1990" s="129" t="s">
        <v>1758</v>
      </c>
      <c r="F1990" s="130">
        <v>150.0</v>
      </c>
      <c r="G1990" s="129"/>
      <c r="H1990" s="44" t="b">
        <v>1</v>
      </c>
    </row>
    <row r="1991" hidden="1" outlineLevel="1">
      <c r="A1991" s="102">
        <v>46261.0</v>
      </c>
      <c r="B1991" s="97">
        <f>A1991</f>
        <v>46261</v>
      </c>
      <c r="C1991" s="313">
        <v>0.2916666666666667</v>
      </c>
      <c r="D1991" s="129" t="s">
        <v>1756</v>
      </c>
      <c r="E1991" s="129" t="s">
        <v>1758</v>
      </c>
      <c r="F1991" s="130">
        <v>150.0</v>
      </c>
      <c r="G1991" s="129"/>
      <c r="H1991" s="44" t="b">
        <v>1</v>
      </c>
    </row>
    <row r="1992" hidden="1" outlineLevel="1">
      <c r="A1992" s="10"/>
      <c r="B1992" s="10"/>
      <c r="C1992" s="313">
        <v>0.5069444444444444</v>
      </c>
      <c r="D1992" s="129" t="s">
        <v>562</v>
      </c>
      <c r="E1992" s="129" t="s">
        <v>1758</v>
      </c>
      <c r="F1992" s="130">
        <v>150.0</v>
      </c>
      <c r="G1992" s="129"/>
      <c r="H1992" s="44" t="b">
        <v>1</v>
      </c>
    </row>
    <row r="1993" hidden="1" outlineLevel="1">
      <c r="A1993" s="102">
        <v>46262.0</v>
      </c>
      <c r="B1993" s="97">
        <f>A1993</f>
        <v>46262</v>
      </c>
      <c r="C1993" s="398">
        <v>0.2916666666666667</v>
      </c>
      <c r="D1993" s="129" t="s">
        <v>1756</v>
      </c>
      <c r="E1993" s="129" t="s">
        <v>469</v>
      </c>
      <c r="F1993" s="130">
        <v>150.0</v>
      </c>
      <c r="G1993" s="129"/>
      <c r="H1993" s="44" t="b">
        <v>1</v>
      </c>
    </row>
    <row r="1994" hidden="1" outlineLevel="1">
      <c r="A1994" s="58"/>
      <c r="B1994" s="58"/>
      <c r="C1994" s="10"/>
      <c r="D1994" s="129" t="s">
        <v>1761</v>
      </c>
      <c r="E1994" s="129" t="s">
        <v>1758</v>
      </c>
      <c r="F1994" s="130">
        <v>150.0</v>
      </c>
      <c r="G1994" s="129"/>
      <c r="H1994" s="44" t="b">
        <v>1</v>
      </c>
    </row>
    <row r="1995" hidden="1" outlineLevel="1">
      <c r="A1995" s="10"/>
      <c r="B1995" s="10"/>
      <c r="C1995" s="313">
        <v>0.5069444444444444</v>
      </c>
      <c r="D1995" s="129" t="s">
        <v>1636</v>
      </c>
      <c r="E1995" s="129" t="s">
        <v>1758</v>
      </c>
      <c r="F1995" s="130">
        <v>150.0</v>
      </c>
      <c r="G1995" s="129"/>
      <c r="H1995" s="44" t="b">
        <v>1</v>
      </c>
    </row>
    <row r="1996" hidden="1" outlineLevel="1">
      <c r="A1996" s="125">
        <v>46263.0</v>
      </c>
      <c r="B1996" s="126">
        <f t="shared" ref="B1996:B1997" si="506">A1996</f>
        <v>46263</v>
      </c>
      <c r="C1996" s="313">
        <v>0.3333333333333333</v>
      </c>
      <c r="D1996" s="129" t="s">
        <v>1756</v>
      </c>
      <c r="E1996" s="129" t="s">
        <v>1758</v>
      </c>
      <c r="F1996" s="130">
        <v>150.0</v>
      </c>
      <c r="G1996" s="582"/>
      <c r="H1996" s="44" t="b">
        <v>1</v>
      </c>
    </row>
    <row r="1997" hidden="1" outlineLevel="1">
      <c r="A1997" s="102">
        <v>46264.0</v>
      </c>
      <c r="B1997" s="97">
        <f t="shared" si="506"/>
        <v>46264</v>
      </c>
      <c r="C1997" s="313">
        <v>0.3333333333333333</v>
      </c>
      <c r="D1997" s="129" t="s">
        <v>1828</v>
      </c>
      <c r="E1997" s="129" t="s">
        <v>1758</v>
      </c>
      <c r="F1997" s="130">
        <v>200.0</v>
      </c>
      <c r="G1997" s="129"/>
      <c r="H1997" s="44" t="b">
        <v>1</v>
      </c>
    </row>
    <row r="1998" hidden="1" outlineLevel="1">
      <c r="A1998" s="58"/>
      <c r="B1998" s="58"/>
      <c r="C1998" s="313">
        <v>0.4583333333333333</v>
      </c>
      <c r="D1998" s="129" t="s">
        <v>1857</v>
      </c>
      <c r="E1998" s="129" t="s">
        <v>1758</v>
      </c>
      <c r="F1998" s="130">
        <v>200.0</v>
      </c>
      <c r="G1998" s="129"/>
      <c r="H1998" s="44" t="b">
        <v>1</v>
      </c>
    </row>
    <row r="1999" hidden="1" outlineLevel="1">
      <c r="A1999" s="10"/>
      <c r="B1999" s="10"/>
      <c r="C1999" s="313">
        <v>0.7708333333333334</v>
      </c>
      <c r="D1999" s="129" t="s">
        <v>1838</v>
      </c>
      <c r="E1999" s="129" t="s">
        <v>1758</v>
      </c>
      <c r="F1999" s="130">
        <v>200.0</v>
      </c>
      <c r="G1999" s="129"/>
      <c r="H1999" s="44" t="b">
        <v>1</v>
      </c>
    </row>
    <row r="2000" hidden="1" outlineLevel="1">
      <c r="A2000" s="102">
        <v>46265.0</v>
      </c>
      <c r="B2000" s="97">
        <f>A2000</f>
        <v>46265</v>
      </c>
      <c r="C2000" s="313">
        <v>0.2916666666666667</v>
      </c>
      <c r="D2000" s="129" t="s">
        <v>1855</v>
      </c>
      <c r="E2000" s="129" t="s">
        <v>1758</v>
      </c>
      <c r="F2000" s="130">
        <v>150.0</v>
      </c>
      <c r="G2000" s="129"/>
      <c r="H2000" s="44" t="b">
        <v>1</v>
      </c>
    </row>
    <row r="2001" hidden="1" outlineLevel="1">
      <c r="A2001" s="10"/>
      <c r="B2001" s="10"/>
      <c r="C2001" s="313">
        <v>0.5069444444444444</v>
      </c>
      <c r="D2001" s="129" t="s">
        <v>1636</v>
      </c>
      <c r="E2001" s="129" t="s">
        <v>1758</v>
      </c>
      <c r="F2001" s="130">
        <v>150.0</v>
      </c>
      <c r="G2001" s="129"/>
      <c r="H2001" s="44" t="b">
        <v>1</v>
      </c>
    </row>
    <row r="2002">
      <c r="A2002" s="484" t="s">
        <v>195</v>
      </c>
      <c r="B2002" s="27"/>
      <c r="C2002" s="27"/>
      <c r="D2002" s="27"/>
      <c r="E2002" s="28"/>
      <c r="F2002" s="485">
        <f>SUM(F1930:F2001)</f>
        <v>11300</v>
      </c>
      <c r="G2002" s="486"/>
      <c r="H2002" s="28"/>
    </row>
    <row r="2003" collapsed="1">
      <c r="A2003" s="339" t="s">
        <v>1812</v>
      </c>
      <c r="B2003" s="246"/>
      <c r="C2003" s="246"/>
      <c r="D2003" s="246"/>
      <c r="E2003" s="246"/>
      <c r="F2003" s="246"/>
      <c r="G2003" s="246"/>
      <c r="H2003" s="247"/>
    </row>
    <row r="2004" hidden="1" outlineLevel="1">
      <c r="A2004" s="462">
        <v>46266.0</v>
      </c>
      <c r="B2004" s="463">
        <f t="shared" ref="B2004:B2080" si="507">A2004</f>
        <v>46266</v>
      </c>
      <c r="C2004" s="313">
        <v>0.2916666666666667</v>
      </c>
      <c r="D2004" s="583" t="s">
        <v>1756</v>
      </c>
      <c r="E2004" s="584" t="s">
        <v>469</v>
      </c>
      <c r="F2004" s="130">
        <v>150.0</v>
      </c>
      <c r="G2004" s="129"/>
      <c r="H2004" s="44" t="b">
        <v>1</v>
      </c>
      <c r="K2004" s="440" t="s">
        <v>2104</v>
      </c>
      <c r="L2004" s="27"/>
      <c r="M2004" s="27"/>
      <c r="N2004" s="27"/>
      <c r="O2004" s="27"/>
      <c r="P2004" s="572">
        <v>46266.0</v>
      </c>
      <c r="Q2004" s="572">
        <v>46295.0</v>
      </c>
    </row>
    <row r="2005" hidden="1" outlineLevel="1">
      <c r="A2005" s="465">
        <v>46266.0</v>
      </c>
      <c r="B2005" s="466">
        <f t="shared" si="507"/>
        <v>46266</v>
      </c>
      <c r="C2005" s="467">
        <v>0.2916666666666667</v>
      </c>
      <c r="D2005" s="585" t="s">
        <v>1761</v>
      </c>
      <c r="E2005" s="585" t="s">
        <v>1758</v>
      </c>
      <c r="F2005" s="586">
        <v>150.0</v>
      </c>
      <c r="G2005" s="585"/>
      <c r="H2005" s="44" t="b">
        <v>1</v>
      </c>
      <c r="K2005" s="441" t="s">
        <v>1749</v>
      </c>
      <c r="L2005" s="441" t="s">
        <v>1758</v>
      </c>
      <c r="M2005" s="441" t="s">
        <v>469</v>
      </c>
      <c r="N2005" s="441" t="s">
        <v>195</v>
      </c>
      <c r="O2005" s="441" t="s">
        <v>1764</v>
      </c>
      <c r="P2005" s="441" t="s">
        <v>1765</v>
      </c>
      <c r="Q2005" s="441" t="s">
        <v>1766</v>
      </c>
    </row>
    <row r="2006" hidden="1" outlineLevel="1">
      <c r="A2006" s="471">
        <v>46266.0</v>
      </c>
      <c r="B2006" s="472">
        <f t="shared" si="507"/>
        <v>46266</v>
      </c>
      <c r="C2006" s="473">
        <v>0.5069444444444444</v>
      </c>
      <c r="D2006" s="587" t="s">
        <v>1636</v>
      </c>
      <c r="E2006" s="587" t="s">
        <v>1758</v>
      </c>
      <c r="F2006" s="588">
        <v>150.0</v>
      </c>
      <c r="G2006" s="587"/>
      <c r="H2006" s="44" t="b">
        <v>1</v>
      </c>
      <c r="K2006" s="91" t="s">
        <v>1756</v>
      </c>
      <c r="L2006" s="90">
        <f t="shared" ref="L2006:L2029" si="508">COUNTIFS($D$2004:$D$2080, $K2006,$E$2004:$E$2080,$L$2005)</f>
        <v>12</v>
      </c>
      <c r="M2006" s="90">
        <f t="shared" ref="M2006:M2029" si="509">COUNTIFS($D$2004:$D$2080, $K2006,$E$2004:$E$2080,$M$2005)</f>
        <v>10</v>
      </c>
      <c r="N2006" s="90">
        <f t="shared" ref="N2006:N2029" si="510">L2006+M2006</f>
        <v>22</v>
      </c>
      <c r="O2006" s="92">
        <f t="shared" ref="O2006:O2029" si="511">SUMIFS($F$2004:$F$2080,$D$2004:$D$2080,$K2006)</f>
        <v>3300</v>
      </c>
      <c r="P2006" s="92">
        <f t="shared" ref="P2006:P2029" si="512">SUMIFS($F$2004:$F$2080,$D$2004:$D$2080,$K2006,$H$2004:$H$2080,TRUE())</f>
        <v>3300</v>
      </c>
      <c r="Q2006" s="92">
        <f t="shared" ref="Q2006:Q2029" si="513">O2006-P2006</f>
        <v>0</v>
      </c>
    </row>
    <row r="2007" hidden="1" outlineLevel="1">
      <c r="A2007" s="465">
        <v>46267.0</v>
      </c>
      <c r="B2007" s="466">
        <f t="shared" si="507"/>
        <v>46267</v>
      </c>
      <c r="C2007" s="467">
        <v>0.2916666666666667</v>
      </c>
      <c r="D2007" s="585" t="s">
        <v>1756</v>
      </c>
      <c r="E2007" s="585" t="s">
        <v>1758</v>
      </c>
      <c r="F2007" s="586">
        <v>150.0</v>
      </c>
      <c r="G2007" s="585"/>
      <c r="H2007" s="44" t="b">
        <v>1</v>
      </c>
      <c r="K2007" s="91" t="s">
        <v>1636</v>
      </c>
      <c r="L2007" s="90">
        <f t="shared" si="508"/>
        <v>17</v>
      </c>
      <c r="M2007" s="90">
        <f t="shared" si="509"/>
        <v>0</v>
      </c>
      <c r="N2007" s="90">
        <f t="shared" si="510"/>
        <v>17</v>
      </c>
      <c r="O2007" s="92">
        <f t="shared" si="511"/>
        <v>2550</v>
      </c>
      <c r="P2007" s="92">
        <f t="shared" si="512"/>
        <v>2550</v>
      </c>
      <c r="Q2007" s="92">
        <f t="shared" si="513"/>
        <v>0</v>
      </c>
    </row>
    <row r="2008" hidden="1" outlineLevel="1">
      <c r="A2008" s="471">
        <v>46267.0</v>
      </c>
      <c r="B2008" s="472">
        <f t="shared" si="507"/>
        <v>46267</v>
      </c>
      <c r="C2008" s="473">
        <v>0.5069444444444444</v>
      </c>
      <c r="D2008" s="587" t="s">
        <v>1636</v>
      </c>
      <c r="E2008" s="587" t="s">
        <v>1758</v>
      </c>
      <c r="F2008" s="588">
        <v>150.0</v>
      </c>
      <c r="G2008" s="587"/>
      <c r="H2008" s="44" t="b">
        <v>1</v>
      </c>
      <c r="K2008" s="91" t="s">
        <v>1841</v>
      </c>
      <c r="L2008" s="90">
        <f t="shared" si="508"/>
        <v>0</v>
      </c>
      <c r="M2008" s="90">
        <f t="shared" si="509"/>
        <v>0</v>
      </c>
      <c r="N2008" s="90">
        <f t="shared" si="510"/>
        <v>0</v>
      </c>
      <c r="O2008" s="92">
        <f t="shared" si="511"/>
        <v>0</v>
      </c>
      <c r="P2008" s="92">
        <f t="shared" si="512"/>
        <v>0</v>
      </c>
      <c r="Q2008" s="92">
        <f t="shared" si="513"/>
        <v>0</v>
      </c>
    </row>
    <row r="2009" hidden="1" outlineLevel="1">
      <c r="A2009" s="465">
        <v>46267.0</v>
      </c>
      <c r="B2009" s="466">
        <f t="shared" si="507"/>
        <v>46267</v>
      </c>
      <c r="C2009" s="467">
        <v>0.7604166666666666</v>
      </c>
      <c r="D2009" s="585" t="s">
        <v>1867</v>
      </c>
      <c r="E2009" s="585" t="s">
        <v>1758</v>
      </c>
      <c r="F2009" s="586">
        <v>150.0</v>
      </c>
      <c r="G2009" s="585"/>
      <c r="H2009" s="44" t="b">
        <v>1</v>
      </c>
      <c r="K2009" s="91" t="s">
        <v>1838</v>
      </c>
      <c r="L2009" s="90">
        <f t="shared" si="508"/>
        <v>1</v>
      </c>
      <c r="M2009" s="90">
        <f t="shared" si="509"/>
        <v>0</v>
      </c>
      <c r="N2009" s="90">
        <f t="shared" si="510"/>
        <v>1</v>
      </c>
      <c r="O2009" s="92">
        <f t="shared" si="511"/>
        <v>200</v>
      </c>
      <c r="P2009" s="92">
        <f t="shared" si="512"/>
        <v>200</v>
      </c>
      <c r="Q2009" s="92">
        <f t="shared" si="513"/>
        <v>0</v>
      </c>
    </row>
    <row r="2010" hidden="1" outlineLevel="1">
      <c r="A2010" s="471">
        <v>46268.0</v>
      </c>
      <c r="B2010" s="472">
        <f t="shared" si="507"/>
        <v>46268</v>
      </c>
      <c r="C2010" s="473">
        <v>0.2916666666666667</v>
      </c>
      <c r="D2010" s="587" t="s">
        <v>1756</v>
      </c>
      <c r="E2010" s="587" t="s">
        <v>1758</v>
      </c>
      <c r="F2010" s="588">
        <v>150.0</v>
      </c>
      <c r="G2010" s="587"/>
      <c r="H2010" s="44" t="b">
        <v>1</v>
      </c>
      <c r="K2010" s="91" t="s">
        <v>183</v>
      </c>
      <c r="L2010" s="90">
        <f t="shared" si="508"/>
        <v>3</v>
      </c>
      <c r="M2010" s="90">
        <f t="shared" si="509"/>
        <v>0</v>
      </c>
      <c r="N2010" s="90">
        <f t="shared" si="510"/>
        <v>3</v>
      </c>
      <c r="O2010" s="92">
        <f t="shared" si="511"/>
        <v>450</v>
      </c>
      <c r="P2010" s="92">
        <f t="shared" si="512"/>
        <v>450</v>
      </c>
      <c r="Q2010" s="92">
        <f t="shared" si="513"/>
        <v>0</v>
      </c>
    </row>
    <row r="2011" hidden="1" outlineLevel="1">
      <c r="A2011" s="465">
        <v>46268.0</v>
      </c>
      <c r="B2011" s="466">
        <f t="shared" si="507"/>
        <v>46268</v>
      </c>
      <c r="C2011" s="467">
        <v>0.5069444444444444</v>
      </c>
      <c r="D2011" s="585" t="s">
        <v>562</v>
      </c>
      <c r="E2011" s="585" t="s">
        <v>1758</v>
      </c>
      <c r="F2011" s="586">
        <v>150.0</v>
      </c>
      <c r="G2011" s="585"/>
      <c r="H2011" s="44" t="b">
        <v>1</v>
      </c>
      <c r="K2011" s="91" t="s">
        <v>1848</v>
      </c>
      <c r="L2011" s="90">
        <f t="shared" si="508"/>
        <v>0</v>
      </c>
      <c r="M2011" s="90">
        <f t="shared" si="509"/>
        <v>0</v>
      </c>
      <c r="N2011" s="90">
        <f t="shared" si="510"/>
        <v>0</v>
      </c>
      <c r="O2011" s="92">
        <f t="shared" si="511"/>
        <v>0</v>
      </c>
      <c r="P2011" s="92">
        <f t="shared" si="512"/>
        <v>0</v>
      </c>
      <c r="Q2011" s="92">
        <f t="shared" si="513"/>
        <v>0</v>
      </c>
    </row>
    <row r="2012" hidden="1" outlineLevel="1">
      <c r="A2012" s="471">
        <v>46269.0</v>
      </c>
      <c r="B2012" s="472">
        <f t="shared" si="507"/>
        <v>46269</v>
      </c>
      <c r="C2012" s="473">
        <v>0.2916666666666667</v>
      </c>
      <c r="D2012" s="589" t="s">
        <v>1756</v>
      </c>
      <c r="E2012" s="590" t="s">
        <v>469</v>
      </c>
      <c r="F2012" s="588">
        <v>150.0</v>
      </c>
      <c r="G2012" s="587"/>
      <c r="H2012" s="44" t="b">
        <v>1</v>
      </c>
      <c r="K2012" s="91" t="s">
        <v>1863</v>
      </c>
      <c r="L2012" s="90">
        <f t="shared" si="508"/>
        <v>0</v>
      </c>
      <c r="M2012" s="90">
        <f t="shared" si="509"/>
        <v>0</v>
      </c>
      <c r="N2012" s="90">
        <f t="shared" si="510"/>
        <v>0</v>
      </c>
      <c r="O2012" s="92">
        <f t="shared" si="511"/>
        <v>0</v>
      </c>
      <c r="P2012" s="92">
        <f t="shared" si="512"/>
        <v>0</v>
      </c>
      <c r="Q2012" s="92">
        <f t="shared" si="513"/>
        <v>0</v>
      </c>
    </row>
    <row r="2013" hidden="1" outlineLevel="1">
      <c r="A2013" s="465">
        <v>46269.0</v>
      </c>
      <c r="B2013" s="466">
        <f t="shared" si="507"/>
        <v>46269</v>
      </c>
      <c r="C2013" s="467">
        <v>0.2916666666666667</v>
      </c>
      <c r="D2013" s="585" t="s">
        <v>1761</v>
      </c>
      <c r="E2013" s="585" t="s">
        <v>1758</v>
      </c>
      <c r="F2013" s="586">
        <v>150.0</v>
      </c>
      <c r="G2013" s="585"/>
      <c r="H2013" s="44" t="b">
        <v>1</v>
      </c>
      <c r="K2013" s="91" t="s">
        <v>1865</v>
      </c>
      <c r="L2013" s="90">
        <f t="shared" si="508"/>
        <v>0</v>
      </c>
      <c r="M2013" s="90">
        <f t="shared" si="509"/>
        <v>0</v>
      </c>
      <c r="N2013" s="90">
        <f t="shared" si="510"/>
        <v>0</v>
      </c>
      <c r="O2013" s="92">
        <f t="shared" si="511"/>
        <v>0</v>
      </c>
      <c r="P2013" s="92">
        <f t="shared" si="512"/>
        <v>0</v>
      </c>
      <c r="Q2013" s="92">
        <f t="shared" si="513"/>
        <v>0</v>
      </c>
    </row>
    <row r="2014" hidden="1" outlineLevel="1">
      <c r="A2014" s="471">
        <v>46269.0</v>
      </c>
      <c r="B2014" s="472">
        <f t="shared" si="507"/>
        <v>46269</v>
      </c>
      <c r="C2014" s="473">
        <v>0.5069444444444444</v>
      </c>
      <c r="D2014" s="587" t="s">
        <v>1636</v>
      </c>
      <c r="E2014" s="587" t="s">
        <v>1758</v>
      </c>
      <c r="F2014" s="588">
        <v>150.0</v>
      </c>
      <c r="G2014" s="587"/>
      <c r="H2014" s="44" t="b">
        <v>1</v>
      </c>
      <c r="K2014" s="91" t="s">
        <v>1857</v>
      </c>
      <c r="L2014" s="90">
        <f t="shared" si="508"/>
        <v>3</v>
      </c>
      <c r="M2014" s="90">
        <f t="shared" si="509"/>
        <v>0</v>
      </c>
      <c r="N2014" s="90">
        <f t="shared" si="510"/>
        <v>3</v>
      </c>
      <c r="O2014" s="92">
        <f t="shared" si="511"/>
        <v>550</v>
      </c>
      <c r="P2014" s="92">
        <f t="shared" si="512"/>
        <v>550</v>
      </c>
      <c r="Q2014" s="92">
        <f t="shared" si="513"/>
        <v>0</v>
      </c>
    </row>
    <row r="2015" hidden="1" outlineLevel="1">
      <c r="A2015" s="465">
        <v>46270.0</v>
      </c>
      <c r="B2015" s="466">
        <f t="shared" si="507"/>
        <v>46270</v>
      </c>
      <c r="C2015" s="467">
        <v>0.2916666666666667</v>
      </c>
      <c r="D2015" s="591" t="s">
        <v>1756</v>
      </c>
      <c r="E2015" s="592" t="s">
        <v>469</v>
      </c>
      <c r="F2015" s="586">
        <v>150.0</v>
      </c>
      <c r="G2015" s="585" t="s">
        <v>1396</v>
      </c>
      <c r="H2015" s="44" t="b">
        <v>1</v>
      </c>
      <c r="K2015" s="91" t="s">
        <v>1842</v>
      </c>
      <c r="L2015" s="90">
        <f t="shared" si="508"/>
        <v>0</v>
      </c>
      <c r="M2015" s="90">
        <f t="shared" si="509"/>
        <v>0</v>
      </c>
      <c r="N2015" s="90">
        <f t="shared" si="510"/>
        <v>0</v>
      </c>
      <c r="O2015" s="92">
        <f t="shared" si="511"/>
        <v>0</v>
      </c>
      <c r="P2015" s="92">
        <f t="shared" si="512"/>
        <v>0</v>
      </c>
      <c r="Q2015" s="92">
        <f t="shared" si="513"/>
        <v>0</v>
      </c>
    </row>
    <row r="2016" hidden="1" outlineLevel="1">
      <c r="A2016" s="471">
        <v>46270.0</v>
      </c>
      <c r="B2016" s="472">
        <f t="shared" si="507"/>
        <v>46270</v>
      </c>
      <c r="C2016" s="473">
        <v>0.3333333333333333</v>
      </c>
      <c r="D2016" s="587" t="s">
        <v>1857</v>
      </c>
      <c r="E2016" s="587" t="s">
        <v>1758</v>
      </c>
      <c r="F2016" s="588">
        <v>150.0</v>
      </c>
      <c r="G2016" s="587" t="s">
        <v>1396</v>
      </c>
      <c r="H2016" s="44" t="b">
        <v>1</v>
      </c>
      <c r="K2016" s="91" t="s">
        <v>562</v>
      </c>
      <c r="L2016" s="90">
        <f t="shared" si="508"/>
        <v>4</v>
      </c>
      <c r="M2016" s="90">
        <f t="shared" si="509"/>
        <v>0</v>
      </c>
      <c r="N2016" s="90">
        <f t="shared" si="510"/>
        <v>4</v>
      </c>
      <c r="O2016" s="92">
        <f t="shared" si="511"/>
        <v>650</v>
      </c>
      <c r="P2016" s="92">
        <f t="shared" si="512"/>
        <v>650</v>
      </c>
      <c r="Q2016" s="92">
        <f t="shared" si="513"/>
        <v>0</v>
      </c>
    </row>
    <row r="2017" hidden="1" outlineLevel="1">
      <c r="A2017" s="465">
        <v>46271.0</v>
      </c>
      <c r="B2017" s="466">
        <f t="shared" si="507"/>
        <v>46271</v>
      </c>
      <c r="C2017" s="467">
        <v>0.3333333333333333</v>
      </c>
      <c r="D2017" s="585" t="s">
        <v>1828</v>
      </c>
      <c r="E2017" s="585" t="s">
        <v>1758</v>
      </c>
      <c r="F2017" s="586">
        <v>200.0</v>
      </c>
      <c r="G2017" s="585"/>
      <c r="H2017" s="44" t="b">
        <v>1</v>
      </c>
      <c r="K2017" s="91" t="s">
        <v>1828</v>
      </c>
      <c r="L2017" s="90">
        <f t="shared" si="508"/>
        <v>3</v>
      </c>
      <c r="M2017" s="90">
        <f t="shared" si="509"/>
        <v>0</v>
      </c>
      <c r="N2017" s="90">
        <f t="shared" si="510"/>
        <v>3</v>
      </c>
      <c r="O2017" s="92">
        <f t="shared" si="511"/>
        <v>600</v>
      </c>
      <c r="P2017" s="92">
        <f t="shared" si="512"/>
        <v>600</v>
      </c>
      <c r="Q2017" s="92">
        <f t="shared" si="513"/>
        <v>0</v>
      </c>
    </row>
    <row r="2018" hidden="1" outlineLevel="1">
      <c r="A2018" s="471">
        <v>46271.0</v>
      </c>
      <c r="B2018" s="472">
        <f t="shared" si="507"/>
        <v>46271</v>
      </c>
      <c r="C2018" s="473">
        <v>0.4583333333333333</v>
      </c>
      <c r="D2018" s="587" t="s">
        <v>1857</v>
      </c>
      <c r="E2018" s="587" t="s">
        <v>1758</v>
      </c>
      <c r="F2018" s="588">
        <v>200.0</v>
      </c>
      <c r="G2018" s="587"/>
      <c r="H2018" s="44" t="b">
        <v>1</v>
      </c>
      <c r="K2018" s="91" t="s">
        <v>1862</v>
      </c>
      <c r="L2018" s="90">
        <f t="shared" si="508"/>
        <v>3</v>
      </c>
      <c r="M2018" s="90">
        <f t="shared" si="509"/>
        <v>0</v>
      </c>
      <c r="N2018" s="90">
        <f t="shared" si="510"/>
        <v>3</v>
      </c>
      <c r="O2018" s="92">
        <f t="shared" si="511"/>
        <v>600</v>
      </c>
      <c r="P2018" s="92">
        <f t="shared" si="512"/>
        <v>600</v>
      </c>
      <c r="Q2018" s="92">
        <f t="shared" si="513"/>
        <v>0</v>
      </c>
    </row>
    <row r="2019" hidden="1" outlineLevel="1">
      <c r="A2019" s="465">
        <v>46271.0</v>
      </c>
      <c r="B2019" s="466">
        <f t="shared" si="507"/>
        <v>46271</v>
      </c>
      <c r="C2019" s="467">
        <v>0.7708333333333334</v>
      </c>
      <c r="D2019" s="585" t="s">
        <v>1838</v>
      </c>
      <c r="E2019" s="585" t="s">
        <v>1758</v>
      </c>
      <c r="F2019" s="586">
        <v>200.0</v>
      </c>
      <c r="G2019" s="585"/>
      <c r="H2019" s="44" t="b">
        <v>1</v>
      </c>
      <c r="K2019" s="91" t="s">
        <v>1845</v>
      </c>
      <c r="L2019" s="90">
        <f t="shared" si="508"/>
        <v>1</v>
      </c>
      <c r="M2019" s="90">
        <f t="shared" si="509"/>
        <v>0</v>
      </c>
      <c r="N2019" s="90">
        <f t="shared" si="510"/>
        <v>1</v>
      </c>
      <c r="O2019" s="92">
        <f t="shared" si="511"/>
        <v>200</v>
      </c>
      <c r="P2019" s="92">
        <f t="shared" si="512"/>
        <v>200</v>
      </c>
      <c r="Q2019" s="92">
        <f t="shared" si="513"/>
        <v>0</v>
      </c>
    </row>
    <row r="2020" hidden="1" outlineLevel="1">
      <c r="A2020" s="471">
        <v>46272.0</v>
      </c>
      <c r="B2020" s="472">
        <f t="shared" si="507"/>
        <v>46272</v>
      </c>
      <c r="C2020" s="473">
        <v>0.3333333333333333</v>
      </c>
      <c r="D2020" s="587" t="s">
        <v>1855</v>
      </c>
      <c r="E2020" s="587" t="s">
        <v>1758</v>
      </c>
      <c r="F2020" s="588">
        <v>150.0</v>
      </c>
      <c r="G2020" s="587"/>
      <c r="H2020" s="44" t="b">
        <v>1</v>
      </c>
      <c r="K2020" s="91" t="s">
        <v>1851</v>
      </c>
      <c r="L2020" s="90">
        <f t="shared" si="508"/>
        <v>0</v>
      </c>
      <c r="M2020" s="90">
        <f t="shared" si="509"/>
        <v>0</v>
      </c>
      <c r="N2020" s="90">
        <f t="shared" si="510"/>
        <v>0</v>
      </c>
      <c r="O2020" s="92">
        <f t="shared" si="511"/>
        <v>0</v>
      </c>
      <c r="P2020" s="92">
        <f t="shared" si="512"/>
        <v>0</v>
      </c>
      <c r="Q2020" s="92">
        <f t="shared" si="513"/>
        <v>0</v>
      </c>
    </row>
    <row r="2021" hidden="1" outlineLevel="1">
      <c r="A2021" s="465">
        <v>46273.0</v>
      </c>
      <c r="B2021" s="466">
        <f t="shared" si="507"/>
        <v>46273</v>
      </c>
      <c r="C2021" s="467">
        <v>0.2916666666666667</v>
      </c>
      <c r="D2021" s="591" t="s">
        <v>1756</v>
      </c>
      <c r="E2021" s="592" t="s">
        <v>469</v>
      </c>
      <c r="F2021" s="586">
        <v>150.0</v>
      </c>
      <c r="G2021" s="585"/>
      <c r="H2021" s="44" t="b">
        <v>1</v>
      </c>
      <c r="K2021" s="91" t="s">
        <v>1855</v>
      </c>
      <c r="L2021" s="90">
        <f t="shared" si="508"/>
        <v>4</v>
      </c>
      <c r="M2021" s="90">
        <f t="shared" si="509"/>
        <v>0</v>
      </c>
      <c r="N2021" s="90">
        <f t="shared" si="510"/>
        <v>4</v>
      </c>
      <c r="O2021" s="92">
        <f t="shared" si="511"/>
        <v>600</v>
      </c>
      <c r="P2021" s="92">
        <f t="shared" si="512"/>
        <v>600</v>
      </c>
      <c r="Q2021" s="92">
        <f t="shared" si="513"/>
        <v>0</v>
      </c>
    </row>
    <row r="2022" hidden="1" outlineLevel="1">
      <c r="A2022" s="471">
        <v>46273.0</v>
      </c>
      <c r="B2022" s="472">
        <f t="shared" si="507"/>
        <v>46273</v>
      </c>
      <c r="C2022" s="473">
        <v>0.2916666666666667</v>
      </c>
      <c r="D2022" s="587" t="s">
        <v>1761</v>
      </c>
      <c r="E2022" s="587" t="s">
        <v>1758</v>
      </c>
      <c r="F2022" s="588">
        <v>150.0</v>
      </c>
      <c r="G2022" s="587"/>
      <c r="H2022" s="44" t="b">
        <v>1</v>
      </c>
      <c r="K2022" s="91" t="s">
        <v>1761</v>
      </c>
      <c r="L2022" s="90">
        <f t="shared" si="508"/>
        <v>7</v>
      </c>
      <c r="M2022" s="90">
        <f t="shared" si="509"/>
        <v>0</v>
      </c>
      <c r="N2022" s="90">
        <f t="shared" si="510"/>
        <v>7</v>
      </c>
      <c r="O2022" s="92">
        <f t="shared" si="511"/>
        <v>1050</v>
      </c>
      <c r="P2022" s="92">
        <f t="shared" si="512"/>
        <v>1050</v>
      </c>
      <c r="Q2022" s="92">
        <f t="shared" si="513"/>
        <v>0</v>
      </c>
    </row>
    <row r="2023" hidden="1" outlineLevel="1">
      <c r="A2023" s="465">
        <v>46273.0</v>
      </c>
      <c r="B2023" s="466">
        <f t="shared" si="507"/>
        <v>46273</v>
      </c>
      <c r="C2023" s="467">
        <v>0.5069444444444444</v>
      </c>
      <c r="D2023" s="585" t="s">
        <v>1636</v>
      </c>
      <c r="E2023" s="585" t="s">
        <v>1758</v>
      </c>
      <c r="F2023" s="586">
        <v>150.0</v>
      </c>
      <c r="G2023" s="585"/>
      <c r="H2023" s="44" t="b">
        <v>1</v>
      </c>
      <c r="K2023" s="91" t="s">
        <v>1860</v>
      </c>
      <c r="L2023" s="90">
        <f t="shared" si="508"/>
        <v>1</v>
      </c>
      <c r="M2023" s="90">
        <f t="shared" si="509"/>
        <v>0</v>
      </c>
      <c r="N2023" s="90">
        <f t="shared" si="510"/>
        <v>1</v>
      </c>
      <c r="O2023" s="92">
        <f t="shared" si="511"/>
        <v>200</v>
      </c>
      <c r="P2023" s="92">
        <f t="shared" si="512"/>
        <v>200</v>
      </c>
      <c r="Q2023" s="92">
        <f t="shared" si="513"/>
        <v>0</v>
      </c>
    </row>
    <row r="2024" hidden="1" outlineLevel="1">
      <c r="A2024" s="471">
        <v>46274.0</v>
      </c>
      <c r="B2024" s="472">
        <f t="shared" si="507"/>
        <v>46274</v>
      </c>
      <c r="C2024" s="473">
        <v>0.2916666666666667</v>
      </c>
      <c r="D2024" s="587" t="s">
        <v>1756</v>
      </c>
      <c r="E2024" s="587" t="s">
        <v>1758</v>
      </c>
      <c r="F2024" s="588">
        <v>150.0</v>
      </c>
      <c r="G2024" s="587"/>
      <c r="H2024" s="44" t="b">
        <v>1</v>
      </c>
      <c r="K2024" s="91" t="s">
        <v>1843</v>
      </c>
      <c r="L2024" s="90">
        <f t="shared" si="508"/>
        <v>3</v>
      </c>
      <c r="M2024" s="90">
        <f t="shared" si="509"/>
        <v>0</v>
      </c>
      <c r="N2024" s="90">
        <f t="shared" si="510"/>
        <v>3</v>
      </c>
      <c r="O2024" s="92">
        <f t="shared" si="511"/>
        <v>450</v>
      </c>
      <c r="P2024" s="92">
        <f t="shared" si="512"/>
        <v>450</v>
      </c>
      <c r="Q2024" s="92">
        <f t="shared" si="513"/>
        <v>0</v>
      </c>
    </row>
    <row r="2025" hidden="1" outlineLevel="1">
      <c r="A2025" s="465">
        <v>46274.0</v>
      </c>
      <c r="B2025" s="466">
        <f t="shared" si="507"/>
        <v>46274</v>
      </c>
      <c r="C2025" s="467">
        <v>0.5069444444444444</v>
      </c>
      <c r="D2025" s="585" t="s">
        <v>1636</v>
      </c>
      <c r="E2025" s="585" t="s">
        <v>1758</v>
      </c>
      <c r="F2025" s="586">
        <v>150.0</v>
      </c>
      <c r="G2025" s="585"/>
      <c r="H2025" s="44" t="b">
        <v>1</v>
      </c>
      <c r="K2025" s="277" t="s">
        <v>1867</v>
      </c>
      <c r="L2025" s="90">
        <f t="shared" si="508"/>
        <v>5</v>
      </c>
      <c r="M2025" s="90">
        <f t="shared" si="509"/>
        <v>0</v>
      </c>
      <c r="N2025" s="90">
        <f t="shared" si="510"/>
        <v>5</v>
      </c>
      <c r="O2025" s="92">
        <f t="shared" si="511"/>
        <v>750</v>
      </c>
      <c r="P2025" s="92">
        <f t="shared" si="512"/>
        <v>750</v>
      </c>
      <c r="Q2025" s="92">
        <f t="shared" si="513"/>
        <v>0</v>
      </c>
    </row>
    <row r="2026" hidden="1" outlineLevel="1">
      <c r="A2026" s="471">
        <v>46274.0</v>
      </c>
      <c r="B2026" s="472">
        <f t="shared" si="507"/>
        <v>46274</v>
      </c>
      <c r="C2026" s="473">
        <v>0.7604166666666666</v>
      </c>
      <c r="D2026" s="587" t="s">
        <v>1867</v>
      </c>
      <c r="E2026" s="587" t="s">
        <v>1758</v>
      </c>
      <c r="F2026" s="588">
        <v>150.0</v>
      </c>
      <c r="G2026" s="587"/>
      <c r="H2026" s="44" t="b">
        <v>1</v>
      </c>
      <c r="K2026" s="277"/>
      <c r="L2026" s="90">
        <f t="shared" si="508"/>
        <v>0</v>
      </c>
      <c r="M2026" s="90">
        <f t="shared" si="509"/>
        <v>0</v>
      </c>
      <c r="N2026" s="90">
        <f t="shared" si="510"/>
        <v>0</v>
      </c>
      <c r="O2026" s="92">
        <f t="shared" si="511"/>
        <v>0</v>
      </c>
      <c r="P2026" s="92">
        <f t="shared" si="512"/>
        <v>0</v>
      </c>
      <c r="Q2026" s="92">
        <f t="shared" si="513"/>
        <v>0</v>
      </c>
    </row>
    <row r="2027" hidden="1" outlineLevel="1">
      <c r="A2027" s="465">
        <v>46275.0</v>
      </c>
      <c r="B2027" s="466">
        <f t="shared" si="507"/>
        <v>46275</v>
      </c>
      <c r="C2027" s="467">
        <v>0.2916666666666667</v>
      </c>
      <c r="D2027" s="585" t="s">
        <v>1756</v>
      </c>
      <c r="E2027" s="585" t="s">
        <v>1758</v>
      </c>
      <c r="F2027" s="586">
        <v>150.0</v>
      </c>
      <c r="G2027" s="585"/>
      <c r="H2027" s="44" t="b">
        <v>1</v>
      </c>
      <c r="K2027" s="276"/>
      <c r="L2027" s="90">
        <f t="shared" si="508"/>
        <v>0</v>
      </c>
      <c r="M2027" s="90">
        <f t="shared" si="509"/>
        <v>0</v>
      </c>
      <c r="N2027" s="90">
        <f t="shared" si="510"/>
        <v>0</v>
      </c>
      <c r="O2027" s="92">
        <f t="shared" si="511"/>
        <v>0</v>
      </c>
      <c r="P2027" s="92">
        <f t="shared" si="512"/>
        <v>0</v>
      </c>
      <c r="Q2027" s="92">
        <f t="shared" si="513"/>
        <v>0</v>
      </c>
    </row>
    <row r="2028" hidden="1" outlineLevel="1">
      <c r="A2028" s="471">
        <v>46275.0</v>
      </c>
      <c r="B2028" s="472">
        <f t="shared" si="507"/>
        <v>46275</v>
      </c>
      <c r="C2028" s="473">
        <v>0.5069444444444444</v>
      </c>
      <c r="D2028" s="587" t="s">
        <v>1761</v>
      </c>
      <c r="E2028" s="587" t="s">
        <v>1758</v>
      </c>
      <c r="F2028" s="588">
        <v>150.0</v>
      </c>
      <c r="G2028" s="587"/>
      <c r="H2028" s="44" t="b">
        <v>1</v>
      </c>
      <c r="K2028" s="91"/>
      <c r="L2028" s="90">
        <f t="shared" si="508"/>
        <v>0</v>
      </c>
      <c r="M2028" s="90">
        <f t="shared" si="509"/>
        <v>0</v>
      </c>
      <c r="N2028" s="90">
        <f t="shared" si="510"/>
        <v>0</v>
      </c>
      <c r="O2028" s="92">
        <f t="shared" si="511"/>
        <v>0</v>
      </c>
      <c r="P2028" s="92">
        <f t="shared" si="512"/>
        <v>0</v>
      </c>
      <c r="Q2028" s="92">
        <f t="shared" si="513"/>
        <v>0</v>
      </c>
    </row>
    <row r="2029" hidden="1" outlineLevel="1">
      <c r="A2029" s="465">
        <v>46276.0</v>
      </c>
      <c r="B2029" s="466">
        <f t="shared" si="507"/>
        <v>46276</v>
      </c>
      <c r="C2029" s="467">
        <v>0.2916666666666667</v>
      </c>
      <c r="D2029" s="585" t="s">
        <v>1756</v>
      </c>
      <c r="E2029" s="592" t="s">
        <v>469</v>
      </c>
      <c r="F2029" s="586">
        <v>150.0</v>
      </c>
      <c r="G2029" s="585"/>
      <c r="H2029" s="44" t="b">
        <v>1</v>
      </c>
      <c r="K2029" s="91"/>
      <c r="L2029" s="90">
        <f t="shared" si="508"/>
        <v>0</v>
      </c>
      <c r="M2029" s="90">
        <f t="shared" si="509"/>
        <v>0</v>
      </c>
      <c r="N2029" s="90">
        <f t="shared" si="510"/>
        <v>0</v>
      </c>
      <c r="O2029" s="92">
        <f t="shared" si="511"/>
        <v>0</v>
      </c>
      <c r="P2029" s="92">
        <f t="shared" si="512"/>
        <v>0</v>
      </c>
      <c r="Q2029" s="92">
        <f t="shared" si="513"/>
        <v>0</v>
      </c>
    </row>
    <row r="2030" hidden="1" outlineLevel="1">
      <c r="A2030" s="471">
        <v>46276.0</v>
      </c>
      <c r="B2030" s="472">
        <f t="shared" si="507"/>
        <v>46276</v>
      </c>
      <c r="C2030" s="473">
        <v>0.2916666666666667</v>
      </c>
      <c r="D2030" s="587" t="s">
        <v>1761</v>
      </c>
      <c r="E2030" s="587" t="s">
        <v>1758</v>
      </c>
      <c r="F2030" s="588">
        <v>150.0</v>
      </c>
      <c r="G2030" s="587"/>
      <c r="H2030" s="44" t="b">
        <v>1</v>
      </c>
      <c r="K2030" s="477" t="s">
        <v>195</v>
      </c>
      <c r="L2030" s="478">
        <f t="shared" ref="L2030:Q2030" si="514">SUM(L2006:L2029)</f>
        <v>67</v>
      </c>
      <c r="M2030" s="478">
        <f t="shared" si="514"/>
        <v>10</v>
      </c>
      <c r="N2030" s="478">
        <f t="shared" si="514"/>
        <v>77</v>
      </c>
      <c r="O2030" s="479">
        <f t="shared" si="514"/>
        <v>12150</v>
      </c>
      <c r="P2030" s="479">
        <f t="shared" si="514"/>
        <v>12150</v>
      </c>
      <c r="Q2030" s="479">
        <f t="shared" si="514"/>
        <v>0</v>
      </c>
    </row>
    <row r="2031" hidden="1" outlineLevel="1">
      <c r="A2031" s="465">
        <v>46276.0</v>
      </c>
      <c r="B2031" s="466">
        <f t="shared" si="507"/>
        <v>46276</v>
      </c>
      <c r="C2031" s="467">
        <v>0.5069444444444444</v>
      </c>
      <c r="D2031" s="585" t="s">
        <v>1636</v>
      </c>
      <c r="E2031" s="585" t="s">
        <v>1758</v>
      </c>
      <c r="F2031" s="586">
        <v>150.0</v>
      </c>
      <c r="G2031" s="585"/>
      <c r="H2031" s="44" t="b">
        <v>1</v>
      </c>
    </row>
    <row r="2032" hidden="1" outlineLevel="1">
      <c r="A2032" s="471">
        <v>46277.0</v>
      </c>
      <c r="B2032" s="472">
        <f t="shared" si="507"/>
        <v>46277</v>
      </c>
      <c r="C2032" s="473">
        <v>0.3333333333333333</v>
      </c>
      <c r="D2032" s="587" t="s">
        <v>1756</v>
      </c>
      <c r="E2032" s="587" t="s">
        <v>1758</v>
      </c>
      <c r="F2032" s="588">
        <v>150.0</v>
      </c>
      <c r="G2032" s="587"/>
      <c r="H2032" s="44" t="b">
        <v>1</v>
      </c>
    </row>
    <row r="2033" hidden="1" outlineLevel="1">
      <c r="A2033" s="465">
        <v>46278.0</v>
      </c>
      <c r="B2033" s="466">
        <f t="shared" si="507"/>
        <v>46278</v>
      </c>
      <c r="C2033" s="467">
        <v>0.3333333333333333</v>
      </c>
      <c r="D2033" s="585" t="s">
        <v>1860</v>
      </c>
      <c r="E2033" s="585" t="s">
        <v>1758</v>
      </c>
      <c r="F2033" s="586">
        <v>200.0</v>
      </c>
      <c r="G2033" s="585"/>
      <c r="H2033" s="44" t="b">
        <v>1</v>
      </c>
    </row>
    <row r="2034" hidden="1" outlineLevel="1">
      <c r="A2034" s="471">
        <v>46278.0</v>
      </c>
      <c r="B2034" s="472">
        <f t="shared" si="507"/>
        <v>46278</v>
      </c>
      <c r="C2034" s="473">
        <v>0.4583333333333333</v>
      </c>
      <c r="D2034" s="587" t="s">
        <v>1862</v>
      </c>
      <c r="E2034" s="587" t="s">
        <v>1758</v>
      </c>
      <c r="F2034" s="588">
        <v>200.0</v>
      </c>
      <c r="G2034" s="587"/>
      <c r="H2034" s="44" t="b">
        <v>1</v>
      </c>
    </row>
    <row r="2035" hidden="1" outlineLevel="1">
      <c r="A2035" s="465">
        <v>46278.0</v>
      </c>
      <c r="B2035" s="466">
        <f t="shared" si="507"/>
        <v>46278</v>
      </c>
      <c r="C2035" s="467">
        <v>0.7708333333333334</v>
      </c>
      <c r="D2035" s="585" t="s">
        <v>1845</v>
      </c>
      <c r="E2035" s="585" t="s">
        <v>1758</v>
      </c>
      <c r="F2035" s="586">
        <v>200.0</v>
      </c>
      <c r="G2035" s="585"/>
      <c r="H2035" s="44" t="b">
        <v>1</v>
      </c>
    </row>
    <row r="2036" hidden="1" outlineLevel="1">
      <c r="A2036" s="471">
        <v>46279.0</v>
      </c>
      <c r="B2036" s="472">
        <f t="shared" si="507"/>
        <v>46279</v>
      </c>
      <c r="C2036" s="473">
        <v>0.2916666666666667</v>
      </c>
      <c r="D2036" s="587" t="s">
        <v>1855</v>
      </c>
      <c r="E2036" s="587" t="s">
        <v>1758</v>
      </c>
      <c r="F2036" s="588">
        <v>150.0</v>
      </c>
      <c r="G2036" s="587"/>
      <c r="H2036" s="44" t="b">
        <v>1</v>
      </c>
    </row>
    <row r="2037" hidden="1" outlineLevel="1">
      <c r="A2037" s="465">
        <v>46279.0</v>
      </c>
      <c r="B2037" s="466">
        <f t="shared" si="507"/>
        <v>46279</v>
      </c>
      <c r="C2037" s="467">
        <v>0.5069444444444444</v>
      </c>
      <c r="D2037" s="585" t="s">
        <v>1636</v>
      </c>
      <c r="E2037" s="585" t="s">
        <v>1758</v>
      </c>
      <c r="F2037" s="586">
        <v>150.0</v>
      </c>
      <c r="G2037" s="585"/>
      <c r="H2037" s="44" t="b">
        <v>1</v>
      </c>
    </row>
    <row r="2038" hidden="1" outlineLevel="1">
      <c r="A2038" s="471">
        <v>46279.0</v>
      </c>
      <c r="B2038" s="472">
        <f t="shared" si="507"/>
        <v>46279</v>
      </c>
      <c r="C2038" s="473">
        <v>0.7604166666666666</v>
      </c>
      <c r="D2038" s="587" t="s">
        <v>1843</v>
      </c>
      <c r="E2038" s="587" t="s">
        <v>1758</v>
      </c>
      <c r="F2038" s="588">
        <v>150.0</v>
      </c>
      <c r="G2038" s="587"/>
      <c r="H2038" s="44" t="b">
        <v>1</v>
      </c>
    </row>
    <row r="2039" hidden="1" outlineLevel="1">
      <c r="A2039" s="465">
        <v>46280.0</v>
      </c>
      <c r="B2039" s="466">
        <f t="shared" si="507"/>
        <v>46280</v>
      </c>
      <c r="C2039" s="467">
        <v>0.2916666666666667</v>
      </c>
      <c r="D2039" s="585" t="s">
        <v>1756</v>
      </c>
      <c r="E2039" s="592" t="s">
        <v>469</v>
      </c>
      <c r="F2039" s="586">
        <v>150.0</v>
      </c>
      <c r="G2039" s="585"/>
      <c r="H2039" s="44" t="b">
        <v>1</v>
      </c>
    </row>
    <row r="2040" hidden="1" outlineLevel="1">
      <c r="A2040" s="471">
        <v>46280.0</v>
      </c>
      <c r="B2040" s="472">
        <f t="shared" si="507"/>
        <v>46280</v>
      </c>
      <c r="C2040" s="473">
        <v>0.2916666666666667</v>
      </c>
      <c r="D2040" s="587" t="s">
        <v>1761</v>
      </c>
      <c r="E2040" s="587" t="s">
        <v>1758</v>
      </c>
      <c r="F2040" s="588">
        <v>150.0</v>
      </c>
      <c r="G2040" s="587"/>
      <c r="H2040" s="44" t="b">
        <v>1</v>
      </c>
    </row>
    <row r="2041" hidden="1" outlineLevel="1">
      <c r="A2041" s="465">
        <v>46280.0</v>
      </c>
      <c r="B2041" s="466">
        <f t="shared" si="507"/>
        <v>46280</v>
      </c>
      <c r="C2041" s="467">
        <v>0.5069444444444444</v>
      </c>
      <c r="D2041" s="585" t="s">
        <v>1636</v>
      </c>
      <c r="E2041" s="585" t="s">
        <v>1758</v>
      </c>
      <c r="F2041" s="586">
        <v>150.0</v>
      </c>
      <c r="G2041" s="585"/>
      <c r="H2041" s="44" t="b">
        <v>1</v>
      </c>
    </row>
    <row r="2042" hidden="1" outlineLevel="1">
      <c r="A2042" s="471">
        <v>46281.0</v>
      </c>
      <c r="B2042" s="472">
        <f t="shared" si="507"/>
        <v>46281</v>
      </c>
      <c r="C2042" s="473">
        <v>0.2916666666666667</v>
      </c>
      <c r="D2042" s="587" t="s">
        <v>1756</v>
      </c>
      <c r="E2042" s="587" t="s">
        <v>1758</v>
      </c>
      <c r="F2042" s="588">
        <v>150.0</v>
      </c>
      <c r="G2042" s="587"/>
      <c r="H2042" s="44" t="b">
        <v>1</v>
      </c>
    </row>
    <row r="2043" hidden="1" outlineLevel="1">
      <c r="A2043" s="465">
        <v>46281.0</v>
      </c>
      <c r="B2043" s="466">
        <f t="shared" si="507"/>
        <v>46281</v>
      </c>
      <c r="C2043" s="467">
        <v>0.5069444444444444</v>
      </c>
      <c r="D2043" s="585" t="s">
        <v>1636</v>
      </c>
      <c r="E2043" s="585" t="s">
        <v>1758</v>
      </c>
      <c r="F2043" s="586">
        <v>150.0</v>
      </c>
      <c r="G2043" s="585"/>
      <c r="H2043" s="44" t="b">
        <v>1</v>
      </c>
    </row>
    <row r="2044" hidden="1" outlineLevel="1">
      <c r="A2044" s="471">
        <v>46281.0</v>
      </c>
      <c r="B2044" s="472">
        <f t="shared" si="507"/>
        <v>46281</v>
      </c>
      <c r="C2044" s="473">
        <v>0.7604166666666666</v>
      </c>
      <c r="D2044" s="587" t="s">
        <v>1867</v>
      </c>
      <c r="E2044" s="587" t="s">
        <v>1758</v>
      </c>
      <c r="F2044" s="588">
        <v>150.0</v>
      </c>
      <c r="G2044" s="587"/>
      <c r="H2044" s="44" t="b">
        <v>1</v>
      </c>
    </row>
    <row r="2045" hidden="1" outlineLevel="1">
      <c r="A2045" s="465">
        <v>46282.0</v>
      </c>
      <c r="B2045" s="466">
        <f t="shared" si="507"/>
        <v>46282</v>
      </c>
      <c r="C2045" s="467">
        <v>0.2916666666666667</v>
      </c>
      <c r="D2045" s="585" t="s">
        <v>1756</v>
      </c>
      <c r="E2045" s="585" t="s">
        <v>1758</v>
      </c>
      <c r="F2045" s="586">
        <v>150.0</v>
      </c>
      <c r="G2045" s="585"/>
      <c r="H2045" s="44" t="b">
        <v>1</v>
      </c>
    </row>
    <row r="2046" hidden="1" outlineLevel="1">
      <c r="A2046" s="471">
        <v>46282.0</v>
      </c>
      <c r="B2046" s="472">
        <f t="shared" si="507"/>
        <v>46282</v>
      </c>
      <c r="C2046" s="473">
        <v>0.5069444444444444</v>
      </c>
      <c r="D2046" s="587" t="s">
        <v>562</v>
      </c>
      <c r="E2046" s="587" t="s">
        <v>1758</v>
      </c>
      <c r="F2046" s="588">
        <v>150.0</v>
      </c>
      <c r="G2046" s="587"/>
      <c r="H2046" s="44" t="b">
        <v>1</v>
      </c>
    </row>
    <row r="2047" hidden="1" outlineLevel="1">
      <c r="A2047" s="465">
        <v>46283.0</v>
      </c>
      <c r="B2047" s="466">
        <f t="shared" si="507"/>
        <v>46283</v>
      </c>
      <c r="C2047" s="467">
        <v>0.2916666666666667</v>
      </c>
      <c r="D2047" s="585" t="s">
        <v>1756</v>
      </c>
      <c r="E2047" s="592" t="s">
        <v>469</v>
      </c>
      <c r="F2047" s="586">
        <v>150.0</v>
      </c>
      <c r="G2047" s="585"/>
      <c r="H2047" s="44" t="b">
        <v>1</v>
      </c>
    </row>
    <row r="2048" hidden="1" outlineLevel="1">
      <c r="A2048" s="471">
        <v>46283.0</v>
      </c>
      <c r="B2048" s="472">
        <f t="shared" si="507"/>
        <v>46283</v>
      </c>
      <c r="C2048" s="473">
        <v>0.2916666666666667</v>
      </c>
      <c r="D2048" s="587" t="s">
        <v>1761</v>
      </c>
      <c r="E2048" s="587" t="s">
        <v>1758</v>
      </c>
      <c r="F2048" s="588">
        <v>150.0</v>
      </c>
      <c r="G2048" s="587"/>
      <c r="H2048" s="44" t="b">
        <v>1</v>
      </c>
    </row>
    <row r="2049" hidden="1" outlineLevel="1">
      <c r="A2049" s="465">
        <v>46283.0</v>
      </c>
      <c r="B2049" s="466">
        <f t="shared" si="507"/>
        <v>46283</v>
      </c>
      <c r="C2049" s="467">
        <v>0.5069444444444444</v>
      </c>
      <c r="D2049" s="585" t="s">
        <v>1636</v>
      </c>
      <c r="E2049" s="585" t="s">
        <v>1758</v>
      </c>
      <c r="F2049" s="586">
        <v>150.0</v>
      </c>
      <c r="G2049" s="585"/>
      <c r="H2049" s="44" t="b">
        <v>1</v>
      </c>
    </row>
    <row r="2050" hidden="1" outlineLevel="1">
      <c r="A2050" s="471">
        <v>46284.0</v>
      </c>
      <c r="B2050" s="472">
        <f t="shared" si="507"/>
        <v>46284</v>
      </c>
      <c r="C2050" s="473">
        <v>0.3333333333333333</v>
      </c>
      <c r="D2050" s="587" t="s">
        <v>1756</v>
      </c>
      <c r="E2050" s="587" t="s">
        <v>1758</v>
      </c>
      <c r="F2050" s="588">
        <v>150.0</v>
      </c>
      <c r="G2050" s="587"/>
      <c r="H2050" s="44" t="b">
        <v>1</v>
      </c>
    </row>
    <row r="2051" hidden="1" outlineLevel="1">
      <c r="A2051" s="465">
        <v>46285.0</v>
      </c>
      <c r="B2051" s="466">
        <f t="shared" si="507"/>
        <v>46285</v>
      </c>
      <c r="C2051" s="467">
        <v>0.3333333333333333</v>
      </c>
      <c r="D2051" s="585" t="s">
        <v>1828</v>
      </c>
      <c r="E2051" s="585" t="s">
        <v>1758</v>
      </c>
      <c r="F2051" s="586">
        <v>200.0</v>
      </c>
      <c r="G2051" s="585"/>
      <c r="H2051" s="44" t="b">
        <v>1</v>
      </c>
    </row>
    <row r="2052" hidden="1" outlineLevel="1">
      <c r="A2052" s="471">
        <v>46285.0</v>
      </c>
      <c r="B2052" s="472">
        <f t="shared" si="507"/>
        <v>46285</v>
      </c>
      <c r="C2052" s="473">
        <v>0.4583333333333333</v>
      </c>
      <c r="D2052" s="587" t="s">
        <v>1857</v>
      </c>
      <c r="E2052" s="587" t="s">
        <v>1758</v>
      </c>
      <c r="F2052" s="588">
        <v>200.0</v>
      </c>
      <c r="G2052" s="587"/>
      <c r="H2052" s="44" t="b">
        <v>1</v>
      </c>
    </row>
    <row r="2053" hidden="1" outlineLevel="1">
      <c r="A2053" s="465">
        <v>46285.0</v>
      </c>
      <c r="B2053" s="466">
        <f t="shared" si="507"/>
        <v>46285</v>
      </c>
      <c r="C2053" s="467">
        <v>0.7708333333333334</v>
      </c>
      <c r="D2053" s="585" t="s">
        <v>1862</v>
      </c>
      <c r="E2053" s="585" t="s">
        <v>1758</v>
      </c>
      <c r="F2053" s="586">
        <v>200.0</v>
      </c>
      <c r="G2053" s="585"/>
      <c r="H2053" s="44" t="b">
        <v>1</v>
      </c>
    </row>
    <row r="2054" hidden="1" outlineLevel="1">
      <c r="A2054" s="471">
        <v>46286.0</v>
      </c>
      <c r="B2054" s="472">
        <f t="shared" si="507"/>
        <v>46286</v>
      </c>
      <c r="C2054" s="473">
        <v>0.2916666666666667</v>
      </c>
      <c r="D2054" s="587" t="s">
        <v>1855</v>
      </c>
      <c r="E2054" s="587" t="s">
        <v>1758</v>
      </c>
      <c r="F2054" s="588">
        <v>150.0</v>
      </c>
      <c r="G2054" s="587"/>
      <c r="H2054" s="44" t="b">
        <v>1</v>
      </c>
    </row>
    <row r="2055" hidden="1" outlineLevel="1">
      <c r="A2055" s="465">
        <v>46286.0</v>
      </c>
      <c r="B2055" s="466">
        <f t="shared" si="507"/>
        <v>46286</v>
      </c>
      <c r="C2055" s="467">
        <v>0.5069444444444444</v>
      </c>
      <c r="D2055" s="585" t="s">
        <v>1636</v>
      </c>
      <c r="E2055" s="585" t="s">
        <v>1758</v>
      </c>
      <c r="F2055" s="586">
        <v>150.0</v>
      </c>
      <c r="G2055" s="585"/>
      <c r="H2055" s="44" t="b">
        <v>1</v>
      </c>
    </row>
    <row r="2056" hidden="1" outlineLevel="1">
      <c r="A2056" s="471">
        <v>46286.0</v>
      </c>
      <c r="B2056" s="472">
        <f t="shared" si="507"/>
        <v>46286</v>
      </c>
      <c r="C2056" s="473">
        <v>0.7604166666666666</v>
      </c>
      <c r="D2056" s="587" t="s">
        <v>1843</v>
      </c>
      <c r="E2056" s="587" t="s">
        <v>1758</v>
      </c>
      <c r="F2056" s="588">
        <v>150.0</v>
      </c>
      <c r="G2056" s="587"/>
      <c r="H2056" s="44" t="b">
        <v>1</v>
      </c>
    </row>
    <row r="2057" hidden="1" outlineLevel="1">
      <c r="A2057" s="465">
        <v>46287.0</v>
      </c>
      <c r="B2057" s="466">
        <f t="shared" si="507"/>
        <v>46287</v>
      </c>
      <c r="C2057" s="467">
        <v>0.2916666666666667</v>
      </c>
      <c r="D2057" s="585" t="s">
        <v>1756</v>
      </c>
      <c r="E2057" s="592" t="s">
        <v>469</v>
      </c>
      <c r="F2057" s="586">
        <v>150.0</v>
      </c>
      <c r="G2057" s="585"/>
      <c r="H2057" s="44" t="b">
        <v>1</v>
      </c>
    </row>
    <row r="2058" hidden="1" outlineLevel="1">
      <c r="A2058" s="471">
        <v>46287.0</v>
      </c>
      <c r="B2058" s="472">
        <f t="shared" si="507"/>
        <v>46287</v>
      </c>
      <c r="C2058" s="473">
        <v>0.2916666666666667</v>
      </c>
      <c r="D2058" s="587" t="s">
        <v>183</v>
      </c>
      <c r="E2058" s="587" t="s">
        <v>1758</v>
      </c>
      <c r="F2058" s="588">
        <v>150.0</v>
      </c>
      <c r="G2058" s="587"/>
      <c r="H2058" s="44" t="b">
        <v>1</v>
      </c>
    </row>
    <row r="2059" hidden="1" outlineLevel="1">
      <c r="A2059" s="465">
        <v>46287.0</v>
      </c>
      <c r="B2059" s="466">
        <f t="shared" si="507"/>
        <v>46287</v>
      </c>
      <c r="C2059" s="467">
        <v>0.5069444444444444</v>
      </c>
      <c r="D2059" s="585" t="s">
        <v>1636</v>
      </c>
      <c r="E2059" s="585" t="s">
        <v>1758</v>
      </c>
      <c r="F2059" s="586">
        <v>150.0</v>
      </c>
      <c r="G2059" s="585"/>
      <c r="H2059" s="44" t="b">
        <v>1</v>
      </c>
    </row>
    <row r="2060" hidden="1" outlineLevel="1">
      <c r="A2060" s="471">
        <v>46288.0</v>
      </c>
      <c r="B2060" s="472">
        <f t="shared" si="507"/>
        <v>46288</v>
      </c>
      <c r="C2060" s="473">
        <v>0.2916666666666667</v>
      </c>
      <c r="D2060" s="587" t="s">
        <v>1756</v>
      </c>
      <c r="E2060" s="587" t="s">
        <v>1758</v>
      </c>
      <c r="F2060" s="588">
        <v>150.0</v>
      </c>
      <c r="G2060" s="587"/>
      <c r="H2060" s="44" t="b">
        <v>1</v>
      </c>
    </row>
    <row r="2061" hidden="1" outlineLevel="1">
      <c r="A2061" s="465">
        <v>46288.0</v>
      </c>
      <c r="B2061" s="466">
        <f t="shared" si="507"/>
        <v>46288</v>
      </c>
      <c r="C2061" s="467">
        <v>0.5069444444444444</v>
      </c>
      <c r="D2061" s="585" t="s">
        <v>1636</v>
      </c>
      <c r="E2061" s="585" t="s">
        <v>1758</v>
      </c>
      <c r="F2061" s="586">
        <v>150.0</v>
      </c>
      <c r="G2061" s="585"/>
      <c r="H2061" s="44" t="b">
        <v>1</v>
      </c>
    </row>
    <row r="2062" hidden="1" outlineLevel="1">
      <c r="A2062" s="471">
        <v>46288.0</v>
      </c>
      <c r="B2062" s="472">
        <f t="shared" si="507"/>
        <v>46288</v>
      </c>
      <c r="C2062" s="473">
        <v>0.7604166666666666</v>
      </c>
      <c r="D2062" s="587" t="s">
        <v>1867</v>
      </c>
      <c r="E2062" s="587" t="s">
        <v>1758</v>
      </c>
      <c r="F2062" s="588">
        <v>150.0</v>
      </c>
      <c r="G2062" s="587"/>
      <c r="H2062" s="44" t="b">
        <v>1</v>
      </c>
    </row>
    <row r="2063" hidden="1" outlineLevel="1">
      <c r="A2063" s="465">
        <v>46289.0</v>
      </c>
      <c r="B2063" s="466">
        <f t="shared" si="507"/>
        <v>46289</v>
      </c>
      <c r="C2063" s="467">
        <v>0.2916666666666667</v>
      </c>
      <c r="D2063" s="585" t="s">
        <v>1756</v>
      </c>
      <c r="E2063" s="585" t="s">
        <v>1758</v>
      </c>
      <c r="F2063" s="586">
        <v>150.0</v>
      </c>
      <c r="G2063" s="585"/>
      <c r="H2063" s="44" t="b">
        <v>1</v>
      </c>
    </row>
    <row r="2064" hidden="1" outlineLevel="1">
      <c r="A2064" s="471">
        <v>46289.0</v>
      </c>
      <c r="B2064" s="472">
        <f t="shared" si="507"/>
        <v>46289</v>
      </c>
      <c r="C2064" s="473">
        <v>0.5069444444444444</v>
      </c>
      <c r="D2064" s="587" t="s">
        <v>562</v>
      </c>
      <c r="E2064" s="587" t="s">
        <v>1758</v>
      </c>
      <c r="F2064" s="588">
        <v>150.0</v>
      </c>
      <c r="G2064" s="587"/>
      <c r="H2064" s="44" t="b">
        <v>1</v>
      </c>
    </row>
    <row r="2065" hidden="1" outlineLevel="1">
      <c r="A2065" s="465">
        <v>46290.0</v>
      </c>
      <c r="B2065" s="466">
        <f t="shared" si="507"/>
        <v>46290</v>
      </c>
      <c r="C2065" s="467">
        <v>0.2916666666666667</v>
      </c>
      <c r="D2065" s="585" t="s">
        <v>1756</v>
      </c>
      <c r="E2065" s="592" t="s">
        <v>469</v>
      </c>
      <c r="F2065" s="586">
        <v>150.0</v>
      </c>
      <c r="G2065" s="585"/>
      <c r="H2065" s="44" t="b">
        <v>1</v>
      </c>
    </row>
    <row r="2066" hidden="1" outlineLevel="1">
      <c r="A2066" s="471">
        <v>46290.0</v>
      </c>
      <c r="B2066" s="472">
        <f t="shared" si="507"/>
        <v>46290</v>
      </c>
      <c r="C2066" s="473">
        <v>0.2916666666666667</v>
      </c>
      <c r="D2066" s="587" t="s">
        <v>183</v>
      </c>
      <c r="E2066" s="587" t="s">
        <v>1758</v>
      </c>
      <c r="F2066" s="588">
        <v>150.0</v>
      </c>
      <c r="G2066" s="587"/>
      <c r="H2066" s="44" t="b">
        <v>1</v>
      </c>
    </row>
    <row r="2067" hidden="1" outlineLevel="1">
      <c r="A2067" s="465">
        <v>46290.0</v>
      </c>
      <c r="B2067" s="466">
        <f t="shared" si="507"/>
        <v>46290</v>
      </c>
      <c r="C2067" s="467">
        <v>0.5069444444444444</v>
      </c>
      <c r="D2067" s="585" t="s">
        <v>1636</v>
      </c>
      <c r="E2067" s="585" t="s">
        <v>1758</v>
      </c>
      <c r="F2067" s="586">
        <v>150.0</v>
      </c>
      <c r="G2067" s="585"/>
      <c r="H2067" s="44" t="b">
        <v>1</v>
      </c>
    </row>
    <row r="2068" hidden="1" outlineLevel="1">
      <c r="A2068" s="471">
        <v>46291.0</v>
      </c>
      <c r="B2068" s="472">
        <f t="shared" si="507"/>
        <v>46291</v>
      </c>
      <c r="C2068" s="473">
        <v>0.3333333333333333</v>
      </c>
      <c r="D2068" s="587" t="s">
        <v>1756</v>
      </c>
      <c r="E2068" s="587" t="s">
        <v>1758</v>
      </c>
      <c r="F2068" s="588">
        <v>150.0</v>
      </c>
      <c r="G2068" s="587"/>
      <c r="H2068" s="44" t="b">
        <v>1</v>
      </c>
    </row>
    <row r="2069" hidden="1" outlineLevel="1">
      <c r="A2069" s="465">
        <v>46292.0</v>
      </c>
      <c r="B2069" s="466">
        <f t="shared" si="507"/>
        <v>46292</v>
      </c>
      <c r="C2069" s="467">
        <v>0.3333333333333333</v>
      </c>
      <c r="D2069" s="585" t="s">
        <v>1828</v>
      </c>
      <c r="E2069" s="585" t="s">
        <v>1758</v>
      </c>
      <c r="F2069" s="586">
        <v>200.0</v>
      </c>
      <c r="G2069" s="585"/>
      <c r="H2069" s="44" t="b">
        <v>1</v>
      </c>
    </row>
    <row r="2070" hidden="1" outlineLevel="1">
      <c r="A2070" s="471">
        <v>46292.0</v>
      </c>
      <c r="B2070" s="472">
        <f t="shared" si="507"/>
        <v>46292</v>
      </c>
      <c r="C2070" s="473">
        <v>0.4583333333333333</v>
      </c>
      <c r="D2070" s="587" t="s">
        <v>562</v>
      </c>
      <c r="E2070" s="587" t="s">
        <v>1758</v>
      </c>
      <c r="F2070" s="588">
        <v>200.0</v>
      </c>
      <c r="G2070" s="587"/>
      <c r="H2070" s="44" t="b">
        <v>1</v>
      </c>
    </row>
    <row r="2071" hidden="1" outlineLevel="1">
      <c r="A2071" s="465">
        <v>46292.0</v>
      </c>
      <c r="B2071" s="466">
        <f t="shared" si="507"/>
        <v>46292</v>
      </c>
      <c r="C2071" s="467">
        <v>0.7708333333333334</v>
      </c>
      <c r="D2071" s="585" t="s">
        <v>1862</v>
      </c>
      <c r="E2071" s="585" t="s">
        <v>1758</v>
      </c>
      <c r="F2071" s="586">
        <v>200.0</v>
      </c>
      <c r="G2071" s="585"/>
      <c r="H2071" s="44" t="b">
        <v>1</v>
      </c>
    </row>
    <row r="2072" hidden="1" outlineLevel="1">
      <c r="A2072" s="471">
        <v>46293.0</v>
      </c>
      <c r="B2072" s="472">
        <f t="shared" si="507"/>
        <v>46293</v>
      </c>
      <c r="C2072" s="473">
        <v>0.2916666666666667</v>
      </c>
      <c r="D2072" s="587" t="s">
        <v>1855</v>
      </c>
      <c r="E2072" s="587" t="s">
        <v>1758</v>
      </c>
      <c r="F2072" s="588">
        <v>150.0</v>
      </c>
      <c r="G2072" s="587"/>
      <c r="H2072" s="44" t="b">
        <v>1</v>
      </c>
    </row>
    <row r="2073" hidden="1" outlineLevel="1">
      <c r="A2073" s="465">
        <v>46293.0</v>
      </c>
      <c r="B2073" s="466">
        <f t="shared" si="507"/>
        <v>46293</v>
      </c>
      <c r="C2073" s="467">
        <v>0.5069444444444444</v>
      </c>
      <c r="D2073" s="585" t="s">
        <v>1636</v>
      </c>
      <c r="E2073" s="585" t="s">
        <v>1758</v>
      </c>
      <c r="F2073" s="586">
        <v>150.0</v>
      </c>
      <c r="G2073" s="585"/>
      <c r="H2073" s="44" t="b">
        <v>1</v>
      </c>
    </row>
    <row r="2074" hidden="1" outlineLevel="1">
      <c r="A2074" s="471">
        <v>46293.0</v>
      </c>
      <c r="B2074" s="472">
        <f t="shared" si="507"/>
        <v>46293</v>
      </c>
      <c r="C2074" s="473">
        <v>0.7604166666666666</v>
      </c>
      <c r="D2074" s="587" t="s">
        <v>1843</v>
      </c>
      <c r="E2074" s="587" t="s">
        <v>1758</v>
      </c>
      <c r="F2074" s="588">
        <v>150.0</v>
      </c>
      <c r="G2074" s="587"/>
      <c r="H2074" s="44" t="b">
        <v>1</v>
      </c>
    </row>
    <row r="2075" hidden="1" outlineLevel="1">
      <c r="A2075" s="465">
        <v>46294.0</v>
      </c>
      <c r="B2075" s="466">
        <f t="shared" si="507"/>
        <v>46294</v>
      </c>
      <c r="C2075" s="467">
        <v>0.2916666666666667</v>
      </c>
      <c r="D2075" s="585" t="s">
        <v>1756</v>
      </c>
      <c r="E2075" s="592" t="s">
        <v>469</v>
      </c>
      <c r="F2075" s="586">
        <v>150.0</v>
      </c>
      <c r="G2075" s="585"/>
      <c r="H2075" s="44" t="b">
        <v>1</v>
      </c>
    </row>
    <row r="2076" hidden="1" outlineLevel="1">
      <c r="A2076" s="471">
        <v>46294.0</v>
      </c>
      <c r="B2076" s="472">
        <f t="shared" si="507"/>
        <v>46294</v>
      </c>
      <c r="C2076" s="473">
        <v>0.2916666666666667</v>
      </c>
      <c r="D2076" s="587" t="s">
        <v>183</v>
      </c>
      <c r="E2076" s="587" t="s">
        <v>1758</v>
      </c>
      <c r="F2076" s="588">
        <v>150.0</v>
      </c>
      <c r="G2076" s="587"/>
      <c r="H2076" s="44" t="b">
        <v>1</v>
      </c>
    </row>
    <row r="2077" hidden="1" outlineLevel="1">
      <c r="A2077" s="465">
        <v>46294.0</v>
      </c>
      <c r="B2077" s="466">
        <f t="shared" si="507"/>
        <v>46294</v>
      </c>
      <c r="C2077" s="467">
        <v>0.5069444444444444</v>
      </c>
      <c r="D2077" s="585" t="s">
        <v>1636</v>
      </c>
      <c r="E2077" s="585" t="s">
        <v>1758</v>
      </c>
      <c r="F2077" s="586">
        <v>150.0</v>
      </c>
      <c r="G2077" s="585"/>
      <c r="H2077" s="44" t="b">
        <v>1</v>
      </c>
    </row>
    <row r="2078" hidden="1" outlineLevel="1">
      <c r="A2078" s="471">
        <v>46295.0</v>
      </c>
      <c r="B2078" s="472">
        <f t="shared" si="507"/>
        <v>46295</v>
      </c>
      <c r="C2078" s="473">
        <v>0.2916666666666667</v>
      </c>
      <c r="D2078" s="587" t="s">
        <v>1756</v>
      </c>
      <c r="E2078" s="587" t="s">
        <v>1758</v>
      </c>
      <c r="F2078" s="588">
        <v>150.0</v>
      </c>
      <c r="G2078" s="587"/>
      <c r="H2078" s="44" t="b">
        <v>1</v>
      </c>
    </row>
    <row r="2079" hidden="1" outlineLevel="1">
      <c r="A2079" s="465">
        <v>46295.0</v>
      </c>
      <c r="B2079" s="466">
        <f t="shared" si="507"/>
        <v>46295</v>
      </c>
      <c r="C2079" s="467">
        <v>0.5069444444444444</v>
      </c>
      <c r="D2079" s="585" t="s">
        <v>1636</v>
      </c>
      <c r="E2079" s="585" t="s">
        <v>1758</v>
      </c>
      <c r="F2079" s="586">
        <v>150.0</v>
      </c>
      <c r="G2079" s="585"/>
      <c r="H2079" s="44" t="b">
        <v>1</v>
      </c>
    </row>
    <row r="2080" hidden="1" outlineLevel="1">
      <c r="A2080" s="471">
        <v>46295.0</v>
      </c>
      <c r="B2080" s="472">
        <f t="shared" si="507"/>
        <v>46295</v>
      </c>
      <c r="C2080" s="473">
        <v>0.7604166666666666</v>
      </c>
      <c r="D2080" s="587" t="s">
        <v>1867</v>
      </c>
      <c r="E2080" s="587" t="s">
        <v>1758</v>
      </c>
      <c r="F2080" s="588">
        <v>150.0</v>
      </c>
      <c r="G2080" s="587"/>
      <c r="H2080" s="44" t="b">
        <v>1</v>
      </c>
    </row>
    <row r="2081">
      <c r="A2081" s="484" t="s">
        <v>195</v>
      </c>
      <c r="B2081" s="494"/>
      <c r="C2081" s="494"/>
      <c r="D2081" s="494"/>
      <c r="E2081" s="495"/>
      <c r="F2081" s="485">
        <f>SUM(F2004:F2080)</f>
        <v>12150</v>
      </c>
      <c r="G2081" s="593"/>
      <c r="H2081" s="28"/>
    </row>
    <row r="2082">
      <c r="A2082" s="339" t="s">
        <v>1921</v>
      </c>
      <c r="B2082" s="594"/>
      <c r="C2082" s="594"/>
      <c r="D2082" s="594"/>
      <c r="E2082" s="594"/>
      <c r="F2082" s="594"/>
      <c r="G2082" s="594"/>
      <c r="H2082" s="247"/>
    </row>
    <row r="2083">
      <c r="A2083" s="595">
        <v>46296.0</v>
      </c>
      <c r="B2083" s="466">
        <f t="shared" ref="B2083:B2161" si="515">A2083</f>
        <v>46296</v>
      </c>
      <c r="C2083" s="467">
        <v>0.2916666666666667</v>
      </c>
      <c r="D2083" s="585" t="s">
        <v>1756</v>
      </c>
      <c r="E2083" s="585" t="s">
        <v>1758</v>
      </c>
      <c r="F2083" s="586">
        <v>150.0</v>
      </c>
      <c r="G2083" s="585"/>
      <c r="H2083" s="44" t="b">
        <v>0</v>
      </c>
      <c r="K2083" s="440" t="s">
        <v>2105</v>
      </c>
      <c r="L2083" s="27"/>
      <c r="M2083" s="27"/>
      <c r="N2083" s="27"/>
      <c r="O2083" s="27"/>
      <c r="P2083" s="572">
        <v>46296.0</v>
      </c>
      <c r="Q2083" s="572">
        <v>46326.0</v>
      </c>
    </row>
    <row r="2084">
      <c r="A2084" s="596">
        <v>46296.0</v>
      </c>
      <c r="B2084" s="472">
        <f t="shared" si="515"/>
        <v>46296</v>
      </c>
      <c r="C2084" s="473">
        <v>0.5069444444444444</v>
      </c>
      <c r="D2084" s="587" t="s">
        <v>562</v>
      </c>
      <c r="E2084" s="587" t="s">
        <v>1758</v>
      </c>
      <c r="F2084" s="588">
        <v>150.0</v>
      </c>
      <c r="G2084" s="587"/>
      <c r="H2084" s="44" t="b">
        <v>1</v>
      </c>
      <c r="K2084" s="441" t="s">
        <v>1749</v>
      </c>
      <c r="L2084" s="441" t="s">
        <v>1758</v>
      </c>
      <c r="M2084" s="441" t="s">
        <v>469</v>
      </c>
      <c r="N2084" s="441" t="s">
        <v>195</v>
      </c>
      <c r="O2084" s="441" t="s">
        <v>1764</v>
      </c>
      <c r="P2084" s="441" t="s">
        <v>1765</v>
      </c>
      <c r="Q2084" s="441" t="s">
        <v>1766</v>
      </c>
    </row>
    <row r="2085">
      <c r="A2085" s="595">
        <v>46296.0</v>
      </c>
      <c r="B2085" s="466">
        <f t="shared" si="515"/>
        <v>46296</v>
      </c>
      <c r="C2085" s="467">
        <v>0.7916666666666666</v>
      </c>
      <c r="D2085" s="591" t="s">
        <v>1107</v>
      </c>
      <c r="E2085" s="585" t="s">
        <v>1758</v>
      </c>
      <c r="F2085" s="586">
        <v>150.0</v>
      </c>
      <c r="G2085" s="585" t="s">
        <v>2075</v>
      </c>
      <c r="H2085" s="44" t="b">
        <v>1</v>
      </c>
      <c r="K2085" s="91" t="s">
        <v>1756</v>
      </c>
      <c r="L2085" s="90">
        <f t="shared" ref="L2085:L2109" si="516">COUNTIFS($D$2083:$D$2162, $K2085,$E$2083:$E$2162,$L$2084)</f>
        <v>10</v>
      </c>
      <c r="M2085" s="90">
        <f t="shared" ref="M2085:M2109" si="517">COUNTIFS($D$2083:$D$2162, $K2085,$E$2083:$E$2162,$M$2084)</f>
        <v>7</v>
      </c>
      <c r="N2085" s="90">
        <f t="shared" ref="N2085:N2109" si="518">L2085+M2085</f>
        <v>17</v>
      </c>
      <c r="O2085" s="92">
        <f t="shared" ref="O2085:O2109" si="519">SUMIFS($F$2083:$F$2162,$D$2083:$D$2162,$K2085)</f>
        <v>2550</v>
      </c>
      <c r="P2085" s="92">
        <f t="shared" ref="P2085:P2109" si="520">SUMIFS($F$2083:$F$2162,$D$2083:$D$2162,$K2085,$H$2083:$H$2162,TRUE())</f>
        <v>0</v>
      </c>
      <c r="Q2085" s="92">
        <f t="shared" ref="Q2085:Q2109" si="521">O2085-P2085</f>
        <v>2550</v>
      </c>
    </row>
    <row r="2086">
      <c r="A2086" s="596">
        <v>46297.0</v>
      </c>
      <c r="B2086" s="472">
        <f t="shared" si="515"/>
        <v>46297</v>
      </c>
      <c r="C2086" s="473">
        <v>0.2916666666666667</v>
      </c>
      <c r="D2086" s="589" t="s">
        <v>1756</v>
      </c>
      <c r="E2086" s="590" t="s">
        <v>469</v>
      </c>
      <c r="F2086" s="588">
        <v>150.0</v>
      </c>
      <c r="G2086" s="587"/>
      <c r="H2086" s="44" t="b">
        <v>0</v>
      </c>
      <c r="K2086" s="91" t="s">
        <v>1636</v>
      </c>
      <c r="L2086" s="90">
        <f t="shared" si="516"/>
        <v>16</v>
      </c>
      <c r="M2086" s="90">
        <f t="shared" si="517"/>
        <v>0</v>
      </c>
      <c r="N2086" s="90">
        <f t="shared" si="518"/>
        <v>16</v>
      </c>
      <c r="O2086" s="92">
        <f t="shared" si="519"/>
        <v>2400</v>
      </c>
      <c r="P2086" s="92">
        <f t="shared" si="520"/>
        <v>0</v>
      </c>
      <c r="Q2086" s="92">
        <f t="shared" si="521"/>
        <v>2400</v>
      </c>
    </row>
    <row r="2087">
      <c r="A2087" s="595">
        <v>46297.0</v>
      </c>
      <c r="B2087" s="466">
        <f t="shared" si="515"/>
        <v>46297</v>
      </c>
      <c r="C2087" s="467">
        <v>0.2916666666666667</v>
      </c>
      <c r="D2087" s="585" t="s">
        <v>183</v>
      </c>
      <c r="E2087" s="585" t="s">
        <v>1758</v>
      </c>
      <c r="F2087" s="586">
        <v>150.0</v>
      </c>
      <c r="G2087" s="585"/>
      <c r="H2087" s="44" t="b">
        <v>1</v>
      </c>
      <c r="K2087" s="91" t="s">
        <v>1841</v>
      </c>
      <c r="L2087" s="90">
        <f t="shared" si="516"/>
        <v>0</v>
      </c>
      <c r="M2087" s="90">
        <f t="shared" si="517"/>
        <v>0</v>
      </c>
      <c r="N2087" s="90">
        <f t="shared" si="518"/>
        <v>0</v>
      </c>
      <c r="O2087" s="92">
        <f t="shared" si="519"/>
        <v>0</v>
      </c>
      <c r="P2087" s="92">
        <f t="shared" si="520"/>
        <v>0</v>
      </c>
      <c r="Q2087" s="92">
        <f t="shared" si="521"/>
        <v>0</v>
      </c>
    </row>
    <row r="2088">
      <c r="A2088" s="596">
        <v>46297.0</v>
      </c>
      <c r="B2088" s="472">
        <f t="shared" si="515"/>
        <v>46297</v>
      </c>
      <c r="C2088" s="473">
        <v>0.5069444444444444</v>
      </c>
      <c r="D2088" s="587" t="s">
        <v>1636</v>
      </c>
      <c r="E2088" s="587" t="s">
        <v>1758</v>
      </c>
      <c r="F2088" s="588">
        <v>150.0</v>
      </c>
      <c r="G2088" s="587"/>
      <c r="H2088" s="44" t="b">
        <v>0</v>
      </c>
      <c r="K2088" s="91" t="s">
        <v>1871</v>
      </c>
      <c r="L2088" s="90">
        <f t="shared" si="516"/>
        <v>0</v>
      </c>
      <c r="M2088" s="90">
        <f t="shared" si="517"/>
        <v>1</v>
      </c>
      <c r="N2088" s="90">
        <f t="shared" si="518"/>
        <v>1</v>
      </c>
      <c r="O2088" s="92">
        <f t="shared" si="519"/>
        <v>150</v>
      </c>
      <c r="P2088" s="92">
        <f t="shared" si="520"/>
        <v>0</v>
      </c>
      <c r="Q2088" s="92">
        <f t="shared" si="521"/>
        <v>150</v>
      </c>
    </row>
    <row r="2089">
      <c r="A2089" s="595">
        <v>46298.0</v>
      </c>
      <c r="B2089" s="466">
        <f t="shared" si="515"/>
        <v>46298</v>
      </c>
      <c r="C2089" s="467">
        <v>0.2916666666666667</v>
      </c>
      <c r="D2089" s="591" t="s">
        <v>1756</v>
      </c>
      <c r="E2089" s="592" t="s">
        <v>469</v>
      </c>
      <c r="F2089" s="586">
        <v>150.0</v>
      </c>
      <c r="G2089" s="585" t="s">
        <v>1396</v>
      </c>
      <c r="H2089" s="44" t="b">
        <v>0</v>
      </c>
      <c r="K2089" s="91" t="s">
        <v>183</v>
      </c>
      <c r="L2089" s="90">
        <f t="shared" si="516"/>
        <v>9</v>
      </c>
      <c r="M2089" s="90">
        <f t="shared" si="517"/>
        <v>0</v>
      </c>
      <c r="N2089" s="90">
        <f t="shared" si="518"/>
        <v>9</v>
      </c>
      <c r="O2089" s="92">
        <f t="shared" si="519"/>
        <v>1350</v>
      </c>
      <c r="P2089" s="92">
        <f t="shared" si="520"/>
        <v>150</v>
      </c>
      <c r="Q2089" s="92">
        <f t="shared" si="521"/>
        <v>1200</v>
      </c>
    </row>
    <row r="2090">
      <c r="A2090" s="596">
        <v>46298.0</v>
      </c>
      <c r="B2090" s="472">
        <f t="shared" si="515"/>
        <v>46298</v>
      </c>
      <c r="C2090" s="473">
        <v>0.3333333333333333</v>
      </c>
      <c r="D2090" s="587" t="s">
        <v>1862</v>
      </c>
      <c r="E2090" s="587" t="s">
        <v>1758</v>
      </c>
      <c r="F2090" s="588">
        <v>250.0</v>
      </c>
      <c r="G2090" s="587" t="s">
        <v>1396</v>
      </c>
      <c r="H2090" s="44" t="b">
        <v>1</v>
      </c>
      <c r="K2090" s="91" t="s">
        <v>1869</v>
      </c>
      <c r="L2090" s="90">
        <f t="shared" si="516"/>
        <v>2</v>
      </c>
      <c r="M2090" s="90">
        <f t="shared" si="517"/>
        <v>2</v>
      </c>
      <c r="N2090" s="90">
        <f t="shared" si="518"/>
        <v>4</v>
      </c>
      <c r="O2090" s="92">
        <f t="shared" si="519"/>
        <v>600</v>
      </c>
      <c r="P2090" s="92">
        <f t="shared" si="520"/>
        <v>0</v>
      </c>
      <c r="Q2090" s="92">
        <f t="shared" si="521"/>
        <v>600</v>
      </c>
    </row>
    <row r="2091">
      <c r="A2091" s="595">
        <v>46299.0</v>
      </c>
      <c r="B2091" s="466">
        <f t="shared" si="515"/>
        <v>46299</v>
      </c>
      <c r="C2091" s="467">
        <v>0.3333333333333333</v>
      </c>
      <c r="D2091" s="585" t="s">
        <v>1868</v>
      </c>
      <c r="E2091" s="585" t="s">
        <v>1758</v>
      </c>
      <c r="F2091" s="586">
        <v>0.0</v>
      </c>
      <c r="G2091" s="585" t="s">
        <v>2106</v>
      </c>
      <c r="H2091" s="44" t="b">
        <v>1</v>
      </c>
      <c r="K2091" s="91" t="s">
        <v>1866</v>
      </c>
      <c r="L2091" s="90">
        <f t="shared" si="516"/>
        <v>1</v>
      </c>
      <c r="M2091" s="90">
        <f t="shared" si="517"/>
        <v>0</v>
      </c>
      <c r="N2091" s="90">
        <f t="shared" si="518"/>
        <v>1</v>
      </c>
      <c r="O2091" s="92">
        <f t="shared" si="519"/>
        <v>200</v>
      </c>
      <c r="P2091" s="92">
        <f t="shared" si="520"/>
        <v>0</v>
      </c>
      <c r="Q2091" s="92">
        <f t="shared" si="521"/>
        <v>200</v>
      </c>
    </row>
    <row r="2092">
      <c r="A2092" s="596">
        <v>46299.0</v>
      </c>
      <c r="B2092" s="472">
        <f t="shared" si="515"/>
        <v>46299</v>
      </c>
      <c r="C2092" s="473">
        <v>0.4583333333333333</v>
      </c>
      <c r="D2092" s="587" t="s">
        <v>1857</v>
      </c>
      <c r="E2092" s="587" t="s">
        <v>1758</v>
      </c>
      <c r="F2092" s="588">
        <v>200.0</v>
      </c>
      <c r="G2092" s="587"/>
      <c r="H2092" s="44" t="b">
        <v>1</v>
      </c>
      <c r="K2092" s="91" t="s">
        <v>1865</v>
      </c>
      <c r="L2092" s="90">
        <f t="shared" si="516"/>
        <v>0</v>
      </c>
      <c r="M2092" s="90">
        <f t="shared" si="517"/>
        <v>0</v>
      </c>
      <c r="N2092" s="90">
        <f t="shared" si="518"/>
        <v>0</v>
      </c>
      <c r="O2092" s="92">
        <f t="shared" si="519"/>
        <v>0</v>
      </c>
      <c r="P2092" s="92">
        <f t="shared" si="520"/>
        <v>0</v>
      </c>
      <c r="Q2092" s="92">
        <f t="shared" si="521"/>
        <v>0</v>
      </c>
    </row>
    <row r="2093">
      <c r="A2093" s="595">
        <v>46299.0</v>
      </c>
      <c r="B2093" s="466">
        <f t="shared" si="515"/>
        <v>46299</v>
      </c>
      <c r="C2093" s="467">
        <v>0.7708333333333334</v>
      </c>
      <c r="D2093" s="585" t="s">
        <v>1860</v>
      </c>
      <c r="E2093" s="585" t="s">
        <v>1758</v>
      </c>
      <c r="F2093" s="586">
        <v>200.0</v>
      </c>
      <c r="G2093" s="585"/>
      <c r="H2093" s="44" t="b">
        <v>1</v>
      </c>
      <c r="K2093" s="91" t="s">
        <v>1857</v>
      </c>
      <c r="L2093" s="90">
        <f t="shared" si="516"/>
        <v>1</v>
      </c>
      <c r="M2093" s="90">
        <f t="shared" si="517"/>
        <v>0</v>
      </c>
      <c r="N2093" s="90">
        <f t="shared" si="518"/>
        <v>1</v>
      </c>
      <c r="O2093" s="92">
        <f t="shared" si="519"/>
        <v>200</v>
      </c>
      <c r="P2093" s="92">
        <f t="shared" si="520"/>
        <v>200</v>
      </c>
      <c r="Q2093" s="92">
        <f t="shared" si="521"/>
        <v>0</v>
      </c>
    </row>
    <row r="2094">
      <c r="A2094" s="596">
        <v>46300.0</v>
      </c>
      <c r="B2094" s="472">
        <f t="shared" si="515"/>
        <v>46300</v>
      </c>
      <c r="C2094" s="473">
        <v>0.3333333333333333</v>
      </c>
      <c r="D2094" s="587" t="s">
        <v>1867</v>
      </c>
      <c r="E2094" s="587" t="s">
        <v>1758</v>
      </c>
      <c r="F2094" s="588">
        <v>150.0</v>
      </c>
      <c r="G2094" s="587"/>
      <c r="H2094" s="44" t="b">
        <v>1</v>
      </c>
      <c r="K2094" s="91" t="s">
        <v>1842</v>
      </c>
      <c r="L2094" s="90">
        <f t="shared" si="516"/>
        <v>0</v>
      </c>
      <c r="M2094" s="90">
        <f t="shared" si="517"/>
        <v>0</v>
      </c>
      <c r="N2094" s="90">
        <f t="shared" si="518"/>
        <v>0</v>
      </c>
      <c r="O2094" s="92">
        <f t="shared" si="519"/>
        <v>0</v>
      </c>
      <c r="P2094" s="92">
        <f t="shared" si="520"/>
        <v>0</v>
      </c>
      <c r="Q2094" s="92">
        <f t="shared" si="521"/>
        <v>0</v>
      </c>
    </row>
    <row r="2095">
      <c r="A2095" s="595">
        <v>46300.0</v>
      </c>
      <c r="B2095" s="466">
        <f t="shared" si="515"/>
        <v>46300</v>
      </c>
      <c r="C2095" s="467">
        <v>0.2916666666666667</v>
      </c>
      <c r="D2095" s="585" t="s">
        <v>1636</v>
      </c>
      <c r="E2095" s="585" t="s">
        <v>1758</v>
      </c>
      <c r="F2095" s="586">
        <v>150.0</v>
      </c>
      <c r="G2095" s="585"/>
      <c r="H2095" s="44" t="b">
        <v>0</v>
      </c>
      <c r="K2095" s="91" t="s">
        <v>562</v>
      </c>
      <c r="L2095" s="90">
        <f t="shared" si="516"/>
        <v>7</v>
      </c>
      <c r="M2095" s="90">
        <f t="shared" si="517"/>
        <v>0</v>
      </c>
      <c r="N2095" s="90">
        <f t="shared" si="518"/>
        <v>7</v>
      </c>
      <c r="O2095" s="92">
        <f t="shared" si="519"/>
        <v>1150</v>
      </c>
      <c r="P2095" s="92">
        <f t="shared" si="520"/>
        <v>150</v>
      </c>
      <c r="Q2095" s="92">
        <f t="shared" si="521"/>
        <v>1000</v>
      </c>
    </row>
    <row r="2096">
      <c r="A2096" s="596">
        <v>46300.0</v>
      </c>
      <c r="B2096" s="472">
        <f t="shared" si="515"/>
        <v>46300</v>
      </c>
      <c r="C2096" s="473">
        <v>0.7604166666666666</v>
      </c>
      <c r="D2096" s="587" t="s">
        <v>1855</v>
      </c>
      <c r="E2096" s="587" t="s">
        <v>1758</v>
      </c>
      <c r="F2096" s="588">
        <v>150.0</v>
      </c>
      <c r="G2096" s="587"/>
      <c r="H2096" s="44" t="b">
        <v>1</v>
      </c>
      <c r="K2096" s="91" t="s">
        <v>1828</v>
      </c>
      <c r="L2096" s="90">
        <f t="shared" si="516"/>
        <v>4</v>
      </c>
      <c r="M2096" s="90">
        <f t="shared" si="517"/>
        <v>0</v>
      </c>
      <c r="N2096" s="90">
        <f t="shared" si="518"/>
        <v>4</v>
      </c>
      <c r="O2096" s="92">
        <f t="shared" si="519"/>
        <v>700</v>
      </c>
      <c r="P2096" s="92">
        <f t="shared" si="520"/>
        <v>0</v>
      </c>
      <c r="Q2096" s="92">
        <f t="shared" si="521"/>
        <v>700</v>
      </c>
    </row>
    <row r="2097">
      <c r="A2097" s="595">
        <v>46301.0</v>
      </c>
      <c r="B2097" s="466">
        <f t="shared" si="515"/>
        <v>46301</v>
      </c>
      <c r="C2097" s="467">
        <v>0.2916666666666667</v>
      </c>
      <c r="D2097" s="585" t="s">
        <v>1756</v>
      </c>
      <c r="E2097" s="585" t="s">
        <v>469</v>
      </c>
      <c r="F2097" s="597">
        <v>150.0</v>
      </c>
      <c r="G2097" s="598" t="s">
        <v>2107</v>
      </c>
      <c r="H2097" s="44" t="b">
        <v>0</v>
      </c>
      <c r="K2097" s="91" t="s">
        <v>1862</v>
      </c>
      <c r="L2097" s="90">
        <f t="shared" si="516"/>
        <v>3</v>
      </c>
      <c r="M2097" s="90">
        <f t="shared" si="517"/>
        <v>0</v>
      </c>
      <c r="N2097" s="90">
        <f t="shared" si="518"/>
        <v>3</v>
      </c>
      <c r="O2097" s="92">
        <f t="shared" si="519"/>
        <v>650</v>
      </c>
      <c r="P2097" s="92">
        <f t="shared" si="520"/>
        <v>250</v>
      </c>
      <c r="Q2097" s="92">
        <f t="shared" si="521"/>
        <v>400</v>
      </c>
    </row>
    <row r="2098">
      <c r="A2098" s="596">
        <v>46301.0</v>
      </c>
      <c r="B2098" s="472">
        <f t="shared" si="515"/>
        <v>46301</v>
      </c>
      <c r="C2098" s="473">
        <v>0.2916666666666667</v>
      </c>
      <c r="D2098" s="587" t="s">
        <v>183</v>
      </c>
      <c r="E2098" s="587" t="s">
        <v>1758</v>
      </c>
      <c r="F2098" s="588">
        <v>150.0</v>
      </c>
      <c r="G2098" s="587"/>
      <c r="H2098" s="44" t="b">
        <v>0</v>
      </c>
      <c r="K2098" s="91" t="s">
        <v>1845</v>
      </c>
      <c r="L2098" s="90">
        <f t="shared" si="516"/>
        <v>1</v>
      </c>
      <c r="M2098" s="90">
        <f t="shared" si="517"/>
        <v>0</v>
      </c>
      <c r="N2098" s="90">
        <f t="shared" si="518"/>
        <v>1</v>
      </c>
      <c r="O2098" s="92">
        <f t="shared" si="519"/>
        <v>200</v>
      </c>
      <c r="P2098" s="92">
        <f t="shared" si="520"/>
        <v>0</v>
      </c>
      <c r="Q2098" s="92">
        <f t="shared" si="521"/>
        <v>200</v>
      </c>
    </row>
    <row r="2099">
      <c r="A2099" s="595">
        <v>46301.0</v>
      </c>
      <c r="B2099" s="466">
        <f t="shared" si="515"/>
        <v>46301</v>
      </c>
      <c r="C2099" s="467">
        <v>0.5069444444444444</v>
      </c>
      <c r="D2099" s="585" t="s">
        <v>1636</v>
      </c>
      <c r="E2099" s="585" t="s">
        <v>1758</v>
      </c>
      <c r="F2099" s="586">
        <v>150.0</v>
      </c>
      <c r="G2099" s="585"/>
      <c r="H2099" s="44" t="b">
        <v>0</v>
      </c>
      <c r="K2099" s="91" t="s">
        <v>1869</v>
      </c>
      <c r="L2099" s="90">
        <f t="shared" si="516"/>
        <v>2</v>
      </c>
      <c r="M2099" s="90">
        <f t="shared" si="517"/>
        <v>2</v>
      </c>
      <c r="N2099" s="90">
        <f t="shared" si="518"/>
        <v>4</v>
      </c>
      <c r="O2099" s="92">
        <f t="shared" si="519"/>
        <v>600</v>
      </c>
      <c r="P2099" s="92">
        <f t="shared" si="520"/>
        <v>0</v>
      </c>
      <c r="Q2099" s="92">
        <f t="shared" si="521"/>
        <v>600</v>
      </c>
    </row>
    <row r="2100">
      <c r="A2100" s="596">
        <v>46302.0</v>
      </c>
      <c r="B2100" s="472">
        <f t="shared" si="515"/>
        <v>46302</v>
      </c>
      <c r="C2100" s="473">
        <v>0.2916666666666667</v>
      </c>
      <c r="D2100" s="587" t="s">
        <v>1756</v>
      </c>
      <c r="E2100" s="587" t="s">
        <v>1758</v>
      </c>
      <c r="F2100" s="588">
        <v>150.0</v>
      </c>
      <c r="G2100" s="587"/>
      <c r="H2100" s="44" t="b">
        <v>0</v>
      </c>
      <c r="K2100" s="91" t="s">
        <v>1855</v>
      </c>
      <c r="L2100" s="90">
        <f t="shared" si="516"/>
        <v>2</v>
      </c>
      <c r="M2100" s="90">
        <f t="shared" si="517"/>
        <v>0</v>
      </c>
      <c r="N2100" s="90">
        <f t="shared" si="518"/>
        <v>2</v>
      </c>
      <c r="O2100" s="92">
        <f t="shared" si="519"/>
        <v>300</v>
      </c>
      <c r="P2100" s="92">
        <f t="shared" si="520"/>
        <v>150</v>
      </c>
      <c r="Q2100" s="92">
        <f t="shared" si="521"/>
        <v>150</v>
      </c>
    </row>
    <row r="2101">
      <c r="A2101" s="595">
        <v>46302.0</v>
      </c>
      <c r="B2101" s="466">
        <f t="shared" si="515"/>
        <v>46302</v>
      </c>
      <c r="C2101" s="467">
        <v>0.5069444444444444</v>
      </c>
      <c r="D2101" s="585" t="s">
        <v>1636</v>
      </c>
      <c r="E2101" s="585" t="s">
        <v>1758</v>
      </c>
      <c r="F2101" s="586">
        <v>150.0</v>
      </c>
      <c r="G2101" s="585"/>
      <c r="H2101" s="44" t="b">
        <v>0</v>
      </c>
      <c r="K2101" s="91" t="s">
        <v>1761</v>
      </c>
      <c r="L2101" s="90">
        <f t="shared" si="516"/>
        <v>2</v>
      </c>
      <c r="M2101" s="90">
        <f t="shared" si="517"/>
        <v>0</v>
      </c>
      <c r="N2101" s="90">
        <f t="shared" si="518"/>
        <v>2</v>
      </c>
      <c r="O2101" s="92">
        <f t="shared" si="519"/>
        <v>350</v>
      </c>
      <c r="P2101" s="92">
        <f t="shared" si="520"/>
        <v>0</v>
      </c>
      <c r="Q2101" s="92">
        <f t="shared" si="521"/>
        <v>350</v>
      </c>
    </row>
    <row r="2102">
      <c r="A2102" s="596">
        <v>46302.0</v>
      </c>
      <c r="B2102" s="472">
        <f t="shared" si="515"/>
        <v>46302</v>
      </c>
      <c r="C2102" s="473">
        <v>0.7604166666666666</v>
      </c>
      <c r="D2102" s="587" t="s">
        <v>1867</v>
      </c>
      <c r="E2102" s="587" t="s">
        <v>1758</v>
      </c>
      <c r="F2102" s="588">
        <v>150.0</v>
      </c>
      <c r="G2102" s="587"/>
      <c r="H2102" s="44" t="b">
        <v>0</v>
      </c>
      <c r="K2102" s="91" t="s">
        <v>1860</v>
      </c>
      <c r="L2102" s="90">
        <f t="shared" si="516"/>
        <v>1</v>
      </c>
      <c r="M2102" s="90">
        <f t="shared" si="517"/>
        <v>0</v>
      </c>
      <c r="N2102" s="90">
        <f t="shared" si="518"/>
        <v>1</v>
      </c>
      <c r="O2102" s="92">
        <f t="shared" si="519"/>
        <v>200</v>
      </c>
      <c r="P2102" s="92">
        <f t="shared" si="520"/>
        <v>200</v>
      </c>
      <c r="Q2102" s="92">
        <f t="shared" si="521"/>
        <v>0</v>
      </c>
    </row>
    <row r="2103">
      <c r="A2103" s="595">
        <v>46303.0</v>
      </c>
      <c r="B2103" s="466">
        <f t="shared" si="515"/>
        <v>46303</v>
      </c>
      <c r="C2103" s="467">
        <v>0.2916666666666667</v>
      </c>
      <c r="D2103" s="585" t="s">
        <v>1756</v>
      </c>
      <c r="E2103" s="585" t="s">
        <v>1758</v>
      </c>
      <c r="F2103" s="586">
        <v>150.0</v>
      </c>
      <c r="G2103" s="585"/>
      <c r="H2103" s="44" t="b">
        <v>0</v>
      </c>
      <c r="K2103" s="91" t="s">
        <v>1843</v>
      </c>
      <c r="L2103" s="90">
        <f t="shared" si="516"/>
        <v>0</v>
      </c>
      <c r="M2103" s="90">
        <f t="shared" si="517"/>
        <v>0</v>
      </c>
      <c r="N2103" s="90">
        <f t="shared" si="518"/>
        <v>0</v>
      </c>
      <c r="O2103" s="92">
        <f t="shared" si="519"/>
        <v>0</v>
      </c>
      <c r="P2103" s="92">
        <f t="shared" si="520"/>
        <v>0</v>
      </c>
      <c r="Q2103" s="92">
        <f t="shared" si="521"/>
        <v>0</v>
      </c>
    </row>
    <row r="2104">
      <c r="A2104" s="596">
        <v>46303.0</v>
      </c>
      <c r="B2104" s="472">
        <f t="shared" si="515"/>
        <v>46303</v>
      </c>
      <c r="C2104" s="473">
        <v>0.5069444444444444</v>
      </c>
      <c r="D2104" s="587" t="s">
        <v>562</v>
      </c>
      <c r="E2104" s="587" t="s">
        <v>1758</v>
      </c>
      <c r="F2104" s="588">
        <v>150.0</v>
      </c>
      <c r="G2104" s="587"/>
      <c r="H2104" s="44" t="b">
        <v>0</v>
      </c>
      <c r="K2104" s="277" t="s">
        <v>1867</v>
      </c>
      <c r="L2104" s="90">
        <f t="shared" si="516"/>
        <v>8</v>
      </c>
      <c r="M2104" s="90">
        <f t="shared" si="517"/>
        <v>0</v>
      </c>
      <c r="N2104" s="90">
        <f t="shared" si="518"/>
        <v>8</v>
      </c>
      <c r="O2104" s="92">
        <f t="shared" si="519"/>
        <v>1200</v>
      </c>
      <c r="P2104" s="92">
        <f t="shared" si="520"/>
        <v>150</v>
      </c>
      <c r="Q2104" s="92">
        <f t="shared" si="521"/>
        <v>1050</v>
      </c>
    </row>
    <row r="2105">
      <c r="A2105" s="595">
        <v>46304.0</v>
      </c>
      <c r="B2105" s="466">
        <f t="shared" si="515"/>
        <v>46304</v>
      </c>
      <c r="C2105" s="467">
        <v>0.2916666666666667</v>
      </c>
      <c r="D2105" s="585" t="s">
        <v>1756</v>
      </c>
      <c r="E2105" s="592" t="s">
        <v>469</v>
      </c>
      <c r="F2105" s="586">
        <v>150.0</v>
      </c>
      <c r="G2105" s="585"/>
      <c r="H2105" s="44" t="b">
        <v>0</v>
      </c>
      <c r="K2105" s="277" t="s">
        <v>1107</v>
      </c>
      <c r="L2105" s="90">
        <f t="shared" si="516"/>
        <v>1</v>
      </c>
      <c r="M2105" s="90">
        <f t="shared" si="517"/>
        <v>0</v>
      </c>
      <c r="N2105" s="90">
        <f t="shared" si="518"/>
        <v>1</v>
      </c>
      <c r="O2105" s="92">
        <f t="shared" si="519"/>
        <v>150</v>
      </c>
      <c r="P2105" s="92">
        <f t="shared" si="520"/>
        <v>150</v>
      </c>
      <c r="Q2105" s="92">
        <f t="shared" si="521"/>
        <v>0</v>
      </c>
    </row>
    <row r="2106">
      <c r="A2106" s="596">
        <v>46304.0</v>
      </c>
      <c r="B2106" s="472">
        <f t="shared" si="515"/>
        <v>46304</v>
      </c>
      <c r="C2106" s="473">
        <v>0.2916666666666667</v>
      </c>
      <c r="D2106" s="587" t="s">
        <v>183</v>
      </c>
      <c r="E2106" s="587" t="s">
        <v>1758</v>
      </c>
      <c r="F2106" s="588">
        <v>150.0</v>
      </c>
      <c r="G2106" s="587"/>
      <c r="H2106" s="44" t="b">
        <v>0</v>
      </c>
      <c r="K2106" s="277" t="s">
        <v>1868</v>
      </c>
      <c r="L2106" s="90">
        <f t="shared" si="516"/>
        <v>1</v>
      </c>
      <c r="M2106" s="90">
        <f t="shared" si="517"/>
        <v>0</v>
      </c>
      <c r="N2106" s="90">
        <f t="shared" si="518"/>
        <v>1</v>
      </c>
      <c r="O2106" s="92">
        <f t="shared" si="519"/>
        <v>0</v>
      </c>
      <c r="P2106" s="92">
        <f t="shared" si="520"/>
        <v>0</v>
      </c>
      <c r="Q2106" s="92">
        <f t="shared" si="521"/>
        <v>0</v>
      </c>
    </row>
    <row r="2107">
      <c r="A2107" s="595">
        <v>46304.0</v>
      </c>
      <c r="B2107" s="466">
        <f t="shared" si="515"/>
        <v>46304</v>
      </c>
      <c r="C2107" s="467">
        <v>0.5069444444444444</v>
      </c>
      <c r="D2107" s="585" t="s">
        <v>1636</v>
      </c>
      <c r="E2107" s="585" t="s">
        <v>1758</v>
      </c>
      <c r="F2107" s="586">
        <v>150.0</v>
      </c>
      <c r="G2107" s="585"/>
      <c r="H2107" s="44" t="b">
        <v>0</v>
      </c>
      <c r="K2107" s="91"/>
      <c r="L2107" s="90">
        <f t="shared" si="516"/>
        <v>0</v>
      </c>
      <c r="M2107" s="90">
        <f t="shared" si="517"/>
        <v>0</v>
      </c>
      <c r="N2107" s="90">
        <f t="shared" si="518"/>
        <v>0</v>
      </c>
      <c r="O2107" s="92">
        <f t="shared" si="519"/>
        <v>0</v>
      </c>
      <c r="P2107" s="92">
        <f t="shared" si="520"/>
        <v>0</v>
      </c>
      <c r="Q2107" s="92">
        <f t="shared" si="521"/>
        <v>0</v>
      </c>
    </row>
    <row r="2108">
      <c r="A2108" s="596">
        <v>46305.0</v>
      </c>
      <c r="B2108" s="472">
        <f t="shared" si="515"/>
        <v>46305</v>
      </c>
      <c r="C2108" s="473">
        <v>0.3333333333333333</v>
      </c>
      <c r="D2108" s="587" t="s">
        <v>1756</v>
      </c>
      <c r="E2108" s="587" t="s">
        <v>1758</v>
      </c>
      <c r="F2108" s="588">
        <v>150.0</v>
      </c>
      <c r="G2108" s="587"/>
      <c r="H2108" s="44" t="b">
        <v>0</v>
      </c>
      <c r="K2108" s="91"/>
      <c r="L2108" s="90">
        <f t="shared" si="516"/>
        <v>0</v>
      </c>
      <c r="M2108" s="90">
        <f t="shared" si="517"/>
        <v>0</v>
      </c>
      <c r="N2108" s="90">
        <f t="shared" si="518"/>
        <v>0</v>
      </c>
      <c r="O2108" s="92">
        <f t="shared" si="519"/>
        <v>0</v>
      </c>
      <c r="P2108" s="92">
        <f t="shared" si="520"/>
        <v>0</v>
      </c>
      <c r="Q2108" s="92">
        <f t="shared" si="521"/>
        <v>0</v>
      </c>
    </row>
    <row r="2109">
      <c r="A2109" s="595">
        <v>46306.0</v>
      </c>
      <c r="B2109" s="466">
        <f t="shared" si="515"/>
        <v>46306</v>
      </c>
      <c r="C2109" s="467">
        <v>0.3333333333333333</v>
      </c>
      <c r="D2109" s="585" t="s">
        <v>1828</v>
      </c>
      <c r="E2109" s="585" t="s">
        <v>1758</v>
      </c>
      <c r="F2109" s="586">
        <v>200.0</v>
      </c>
      <c r="G2109" s="585"/>
      <c r="H2109" s="44" t="b">
        <v>0</v>
      </c>
      <c r="K2109" s="91"/>
      <c r="L2109" s="90">
        <f t="shared" si="516"/>
        <v>0</v>
      </c>
      <c r="M2109" s="90">
        <f t="shared" si="517"/>
        <v>0</v>
      </c>
      <c r="N2109" s="90">
        <f t="shared" si="518"/>
        <v>0</v>
      </c>
      <c r="O2109" s="92">
        <f t="shared" si="519"/>
        <v>0</v>
      </c>
      <c r="P2109" s="92">
        <f t="shared" si="520"/>
        <v>0</v>
      </c>
      <c r="Q2109" s="92">
        <f t="shared" si="521"/>
        <v>0</v>
      </c>
    </row>
    <row r="2110">
      <c r="A2110" s="596">
        <v>46306.0</v>
      </c>
      <c r="B2110" s="472">
        <f t="shared" si="515"/>
        <v>46306</v>
      </c>
      <c r="C2110" s="473">
        <v>0.4583333333333333</v>
      </c>
      <c r="D2110" s="587" t="s">
        <v>562</v>
      </c>
      <c r="E2110" s="587" t="s">
        <v>1758</v>
      </c>
      <c r="F2110" s="588">
        <v>200.0</v>
      </c>
      <c r="G2110" s="587"/>
      <c r="H2110" s="44" t="b">
        <v>0</v>
      </c>
      <c r="K2110" s="477" t="s">
        <v>195</v>
      </c>
      <c r="L2110" s="478">
        <f t="shared" ref="L2110:Q2110" si="522">SUM(L2085:L2109)</f>
        <v>71</v>
      </c>
      <c r="M2110" s="478">
        <f t="shared" si="522"/>
        <v>12</v>
      </c>
      <c r="N2110" s="478">
        <f t="shared" si="522"/>
        <v>83</v>
      </c>
      <c r="O2110" s="479">
        <f t="shared" si="522"/>
        <v>12950</v>
      </c>
      <c r="P2110" s="479">
        <f t="shared" si="522"/>
        <v>1400</v>
      </c>
      <c r="Q2110" s="479">
        <f t="shared" si="522"/>
        <v>11550</v>
      </c>
    </row>
    <row r="2111">
      <c r="A2111" s="595">
        <v>46306.0</v>
      </c>
      <c r="B2111" s="466">
        <f t="shared" si="515"/>
        <v>46306</v>
      </c>
      <c r="C2111" s="467">
        <v>0.7708333333333334</v>
      </c>
      <c r="D2111" s="585" t="s">
        <v>1845</v>
      </c>
      <c r="E2111" s="585" t="s">
        <v>1758</v>
      </c>
      <c r="F2111" s="586">
        <v>200.0</v>
      </c>
      <c r="G2111" s="585"/>
      <c r="H2111" s="44" t="b">
        <v>0</v>
      </c>
    </row>
    <row r="2112">
      <c r="A2112" s="596">
        <v>46307.0</v>
      </c>
      <c r="B2112" s="472">
        <f t="shared" si="515"/>
        <v>46307</v>
      </c>
      <c r="C2112" s="473">
        <v>0.3333333333333333</v>
      </c>
      <c r="D2112" s="587" t="s">
        <v>1867</v>
      </c>
      <c r="E2112" s="587" t="s">
        <v>1758</v>
      </c>
      <c r="F2112" s="588">
        <v>150.0</v>
      </c>
      <c r="G2112" s="587"/>
      <c r="H2112" s="44" t="b">
        <v>0</v>
      </c>
    </row>
    <row r="2113">
      <c r="A2113" s="595">
        <v>46308.0</v>
      </c>
      <c r="B2113" s="466">
        <f t="shared" si="515"/>
        <v>46308</v>
      </c>
      <c r="C2113" s="467">
        <v>0.2916666666666667</v>
      </c>
      <c r="D2113" s="585" t="s">
        <v>1756</v>
      </c>
      <c r="E2113" s="592" t="s">
        <v>469</v>
      </c>
      <c r="F2113" s="586">
        <v>150.0</v>
      </c>
      <c r="G2113" s="585"/>
      <c r="H2113" s="44" t="b">
        <v>0</v>
      </c>
    </row>
    <row r="2114">
      <c r="A2114" s="596">
        <v>46308.0</v>
      </c>
      <c r="B2114" s="472">
        <f t="shared" si="515"/>
        <v>46308</v>
      </c>
      <c r="C2114" s="473">
        <v>0.2916666666666667</v>
      </c>
      <c r="D2114" s="587" t="s">
        <v>183</v>
      </c>
      <c r="E2114" s="587" t="s">
        <v>1758</v>
      </c>
      <c r="F2114" s="588">
        <v>150.0</v>
      </c>
      <c r="G2114" s="587"/>
      <c r="H2114" s="44" t="b">
        <v>0</v>
      </c>
    </row>
    <row r="2115">
      <c r="A2115" s="595">
        <v>46308.0</v>
      </c>
      <c r="B2115" s="466">
        <f t="shared" si="515"/>
        <v>46308</v>
      </c>
      <c r="C2115" s="467">
        <v>0.5069444444444444</v>
      </c>
      <c r="D2115" s="585" t="s">
        <v>1636</v>
      </c>
      <c r="E2115" s="585" t="s">
        <v>1758</v>
      </c>
      <c r="F2115" s="586">
        <v>150.0</v>
      </c>
      <c r="G2115" s="585"/>
      <c r="H2115" s="44" t="b">
        <v>0</v>
      </c>
    </row>
    <row r="2116">
      <c r="A2116" s="596">
        <v>46309.0</v>
      </c>
      <c r="B2116" s="472">
        <f t="shared" si="515"/>
        <v>46309</v>
      </c>
      <c r="C2116" s="473">
        <v>0.2916666666666667</v>
      </c>
      <c r="D2116" s="587" t="s">
        <v>1756</v>
      </c>
      <c r="E2116" s="587" t="s">
        <v>1758</v>
      </c>
      <c r="F2116" s="597">
        <v>150.0</v>
      </c>
      <c r="G2116" s="599" t="s">
        <v>2107</v>
      </c>
      <c r="H2116" s="44" t="b">
        <v>0</v>
      </c>
    </row>
    <row r="2117">
      <c r="A2117" s="595">
        <v>46309.0</v>
      </c>
      <c r="B2117" s="466">
        <f t="shared" si="515"/>
        <v>46309</v>
      </c>
      <c r="C2117" s="467">
        <v>0.5069444444444444</v>
      </c>
      <c r="D2117" s="585" t="s">
        <v>1636</v>
      </c>
      <c r="E2117" s="585" t="s">
        <v>1758</v>
      </c>
      <c r="F2117" s="586">
        <v>150.0</v>
      </c>
      <c r="G2117" s="585"/>
      <c r="H2117" s="44" t="b">
        <v>0</v>
      </c>
    </row>
    <row r="2118">
      <c r="A2118" s="596">
        <v>46309.0</v>
      </c>
      <c r="B2118" s="472">
        <f t="shared" si="515"/>
        <v>46309</v>
      </c>
      <c r="C2118" s="473">
        <v>0.7604166666666666</v>
      </c>
      <c r="D2118" s="587" t="s">
        <v>1867</v>
      </c>
      <c r="E2118" s="587" t="s">
        <v>1758</v>
      </c>
      <c r="F2118" s="588">
        <v>150.0</v>
      </c>
      <c r="G2118" s="587"/>
      <c r="H2118" s="44" t="b">
        <v>0</v>
      </c>
    </row>
    <row r="2119">
      <c r="A2119" s="595">
        <v>46310.0</v>
      </c>
      <c r="B2119" s="466">
        <f t="shared" si="515"/>
        <v>46310</v>
      </c>
      <c r="C2119" s="467">
        <v>0.2916666666666667</v>
      </c>
      <c r="D2119" s="585" t="s">
        <v>1756</v>
      </c>
      <c r="E2119" s="585" t="s">
        <v>1758</v>
      </c>
      <c r="F2119" s="586">
        <v>150.0</v>
      </c>
      <c r="G2119" s="585"/>
      <c r="H2119" s="44" t="b">
        <v>0</v>
      </c>
    </row>
    <row r="2120">
      <c r="A2120" s="596">
        <v>46310.0</v>
      </c>
      <c r="B2120" s="472">
        <f t="shared" si="515"/>
        <v>46310</v>
      </c>
      <c r="C2120" s="473">
        <v>0.5069444444444444</v>
      </c>
      <c r="D2120" s="587" t="s">
        <v>562</v>
      </c>
      <c r="E2120" s="587" t="s">
        <v>1758</v>
      </c>
      <c r="F2120" s="588">
        <v>150.0</v>
      </c>
      <c r="G2120" s="587"/>
      <c r="H2120" s="44" t="b">
        <v>0</v>
      </c>
    </row>
    <row r="2121">
      <c r="A2121" s="595">
        <v>46311.0</v>
      </c>
      <c r="B2121" s="466">
        <f t="shared" si="515"/>
        <v>46311</v>
      </c>
      <c r="C2121" s="467">
        <v>0.2916666666666667</v>
      </c>
      <c r="D2121" s="585" t="s">
        <v>1869</v>
      </c>
      <c r="E2121" s="592" t="s">
        <v>469</v>
      </c>
      <c r="F2121" s="600">
        <v>150.0</v>
      </c>
      <c r="G2121" s="598" t="s">
        <v>2107</v>
      </c>
      <c r="H2121" s="44" t="b">
        <v>0</v>
      </c>
    </row>
    <row r="2122">
      <c r="A2122" s="596">
        <v>46311.0</v>
      </c>
      <c r="B2122" s="472">
        <f t="shared" si="515"/>
        <v>46311</v>
      </c>
      <c r="C2122" s="473">
        <v>0.2916666666666667</v>
      </c>
      <c r="D2122" s="587" t="s">
        <v>183</v>
      </c>
      <c r="E2122" s="587" t="s">
        <v>1758</v>
      </c>
      <c r="F2122" s="588">
        <v>150.0</v>
      </c>
      <c r="G2122" s="587"/>
      <c r="H2122" s="44" t="b">
        <v>0</v>
      </c>
    </row>
    <row r="2123">
      <c r="A2123" s="595">
        <v>46311.0</v>
      </c>
      <c r="B2123" s="466">
        <f t="shared" si="515"/>
        <v>46311</v>
      </c>
      <c r="C2123" s="467">
        <v>0.5069444444444444</v>
      </c>
      <c r="D2123" s="585" t="s">
        <v>1636</v>
      </c>
      <c r="E2123" s="585" t="s">
        <v>1758</v>
      </c>
      <c r="F2123" s="586">
        <v>150.0</v>
      </c>
      <c r="G2123" s="585"/>
      <c r="H2123" s="44" t="b">
        <v>0</v>
      </c>
    </row>
    <row r="2124">
      <c r="A2124" s="596">
        <v>46312.0</v>
      </c>
      <c r="B2124" s="472">
        <f t="shared" si="515"/>
        <v>46312</v>
      </c>
      <c r="C2124" s="473">
        <v>0.3333333333333333</v>
      </c>
      <c r="D2124" s="587" t="s">
        <v>1756</v>
      </c>
      <c r="E2124" s="587" t="s">
        <v>1758</v>
      </c>
      <c r="F2124" s="588">
        <v>150.0</v>
      </c>
      <c r="G2124" s="587" t="s">
        <v>2108</v>
      </c>
      <c r="H2124" s="44" t="b">
        <v>0</v>
      </c>
    </row>
    <row r="2125">
      <c r="A2125" s="595">
        <v>46313.0</v>
      </c>
      <c r="B2125" s="466">
        <f t="shared" si="515"/>
        <v>46313</v>
      </c>
      <c r="C2125" s="467">
        <v>0.3333333333333333</v>
      </c>
      <c r="D2125" s="585" t="s">
        <v>1761</v>
      </c>
      <c r="E2125" s="585" t="s">
        <v>1758</v>
      </c>
      <c r="F2125" s="586">
        <v>200.0</v>
      </c>
      <c r="G2125" s="585"/>
      <c r="H2125" s="44" t="b">
        <v>0</v>
      </c>
    </row>
    <row r="2126">
      <c r="A2126" s="596">
        <v>46313.0</v>
      </c>
      <c r="B2126" s="472">
        <f t="shared" si="515"/>
        <v>46313</v>
      </c>
      <c r="C2126" s="473">
        <v>0.4583333333333333</v>
      </c>
      <c r="D2126" s="587" t="s">
        <v>1866</v>
      </c>
      <c r="E2126" s="587" t="s">
        <v>1758</v>
      </c>
      <c r="F2126" s="588">
        <v>200.0</v>
      </c>
      <c r="G2126" s="587"/>
      <c r="H2126" s="44" t="b">
        <v>0</v>
      </c>
    </row>
    <row r="2127">
      <c r="A2127" s="595">
        <v>46313.0</v>
      </c>
      <c r="B2127" s="466">
        <f t="shared" si="515"/>
        <v>46313</v>
      </c>
      <c r="C2127" s="467">
        <v>0.7708333333333334</v>
      </c>
      <c r="D2127" s="585" t="s">
        <v>1862</v>
      </c>
      <c r="E2127" s="585" t="s">
        <v>1758</v>
      </c>
      <c r="F2127" s="586">
        <v>200.0</v>
      </c>
      <c r="G2127" s="585"/>
      <c r="H2127" s="44" t="b">
        <v>0</v>
      </c>
    </row>
    <row r="2128">
      <c r="A2128" s="596">
        <v>46314.0</v>
      </c>
      <c r="B2128" s="472">
        <f t="shared" si="515"/>
        <v>46314</v>
      </c>
      <c r="C2128" s="473">
        <v>0.2916666666666667</v>
      </c>
      <c r="D2128" s="587" t="s">
        <v>1867</v>
      </c>
      <c r="E2128" s="587" t="s">
        <v>1758</v>
      </c>
      <c r="F2128" s="588">
        <v>150.0</v>
      </c>
      <c r="G2128" s="587"/>
      <c r="H2128" s="44" t="b">
        <v>0</v>
      </c>
    </row>
    <row r="2129">
      <c r="A2129" s="595">
        <v>46314.0</v>
      </c>
      <c r="B2129" s="466">
        <f t="shared" si="515"/>
        <v>46314</v>
      </c>
      <c r="C2129" s="467">
        <v>0.5069444444444444</v>
      </c>
      <c r="D2129" s="585" t="s">
        <v>1636</v>
      </c>
      <c r="E2129" s="585" t="s">
        <v>1758</v>
      </c>
      <c r="F2129" s="586">
        <v>150.0</v>
      </c>
      <c r="G2129" s="585"/>
      <c r="H2129" s="44" t="b">
        <v>0</v>
      </c>
    </row>
    <row r="2130">
      <c r="A2130" s="596">
        <v>46314.0</v>
      </c>
      <c r="B2130" s="472">
        <f t="shared" si="515"/>
        <v>46314</v>
      </c>
      <c r="C2130" s="473">
        <v>0.7916666666666666</v>
      </c>
      <c r="D2130" s="587" t="s">
        <v>1828</v>
      </c>
      <c r="E2130" s="587" t="s">
        <v>1758</v>
      </c>
      <c r="F2130" s="588">
        <v>150.0</v>
      </c>
      <c r="G2130" s="587" t="s">
        <v>2109</v>
      </c>
      <c r="H2130" s="44" t="b">
        <v>0</v>
      </c>
    </row>
    <row r="2131">
      <c r="A2131" s="595">
        <v>46315.0</v>
      </c>
      <c r="B2131" s="466">
        <f t="shared" si="515"/>
        <v>46315</v>
      </c>
      <c r="C2131" s="467">
        <v>0.2916666666666667</v>
      </c>
      <c r="D2131" s="585" t="s">
        <v>1869</v>
      </c>
      <c r="E2131" s="592" t="s">
        <v>469</v>
      </c>
      <c r="F2131" s="601">
        <v>150.0</v>
      </c>
      <c r="G2131" s="598" t="s">
        <v>2107</v>
      </c>
      <c r="H2131" s="44" t="b">
        <v>0</v>
      </c>
    </row>
    <row r="2132">
      <c r="A2132" s="596">
        <v>46315.0</v>
      </c>
      <c r="B2132" s="472">
        <f t="shared" si="515"/>
        <v>46315</v>
      </c>
      <c r="C2132" s="473">
        <v>0.2916666666666667</v>
      </c>
      <c r="D2132" s="587" t="s">
        <v>183</v>
      </c>
      <c r="E2132" s="587" t="s">
        <v>1758</v>
      </c>
      <c r="F2132" s="588">
        <v>150.0</v>
      </c>
      <c r="G2132" s="587"/>
      <c r="H2132" s="44" t="b">
        <v>0</v>
      </c>
    </row>
    <row r="2133">
      <c r="A2133" s="595">
        <v>46315.0</v>
      </c>
      <c r="B2133" s="466">
        <f t="shared" si="515"/>
        <v>46315</v>
      </c>
      <c r="C2133" s="467">
        <v>0.5069444444444444</v>
      </c>
      <c r="D2133" s="585" t="s">
        <v>1636</v>
      </c>
      <c r="E2133" s="585" t="s">
        <v>1758</v>
      </c>
      <c r="F2133" s="586">
        <v>150.0</v>
      </c>
      <c r="G2133" s="585"/>
      <c r="H2133" s="44" t="b">
        <v>0</v>
      </c>
    </row>
    <row r="2134">
      <c r="A2134" s="596">
        <v>46316.0</v>
      </c>
      <c r="B2134" s="472">
        <f t="shared" si="515"/>
        <v>46316</v>
      </c>
      <c r="C2134" s="473">
        <v>0.2916666666666667</v>
      </c>
      <c r="D2134" s="587" t="s">
        <v>1761</v>
      </c>
      <c r="E2134" s="587" t="s">
        <v>1758</v>
      </c>
      <c r="F2134" s="588">
        <v>150.0</v>
      </c>
      <c r="G2134" s="587"/>
      <c r="H2134" s="44" t="b">
        <v>0</v>
      </c>
    </row>
    <row r="2135">
      <c r="A2135" s="595">
        <v>46316.0</v>
      </c>
      <c r="B2135" s="466">
        <f t="shared" si="515"/>
        <v>46316</v>
      </c>
      <c r="C2135" s="467">
        <v>0.5069444444444444</v>
      </c>
      <c r="D2135" s="585" t="s">
        <v>1636</v>
      </c>
      <c r="E2135" s="585" t="s">
        <v>1758</v>
      </c>
      <c r="F2135" s="586">
        <v>150.0</v>
      </c>
      <c r="G2135" s="585"/>
      <c r="H2135" s="44" t="b">
        <v>0</v>
      </c>
    </row>
    <row r="2136">
      <c r="A2136" s="596">
        <v>46316.0</v>
      </c>
      <c r="B2136" s="472">
        <f t="shared" si="515"/>
        <v>46316</v>
      </c>
      <c r="C2136" s="473">
        <v>0.7604166666666666</v>
      </c>
      <c r="D2136" s="587" t="s">
        <v>1867</v>
      </c>
      <c r="E2136" s="587" t="s">
        <v>1758</v>
      </c>
      <c r="F2136" s="588">
        <v>150.0</v>
      </c>
      <c r="G2136" s="587"/>
      <c r="H2136" s="44" t="b">
        <v>0</v>
      </c>
    </row>
    <row r="2137">
      <c r="A2137" s="595">
        <v>46317.0</v>
      </c>
      <c r="B2137" s="466">
        <f t="shared" si="515"/>
        <v>46317</v>
      </c>
      <c r="C2137" s="467">
        <v>0.2916666666666667</v>
      </c>
      <c r="D2137" s="585" t="s">
        <v>1869</v>
      </c>
      <c r="E2137" s="585" t="s">
        <v>1758</v>
      </c>
      <c r="F2137" s="586">
        <v>150.0</v>
      </c>
      <c r="G2137" s="585"/>
      <c r="H2137" s="44" t="b">
        <v>0</v>
      </c>
    </row>
    <row r="2138">
      <c r="A2138" s="596">
        <v>46317.0</v>
      </c>
      <c r="B2138" s="472">
        <f t="shared" si="515"/>
        <v>46317</v>
      </c>
      <c r="C2138" s="473">
        <v>0.5069444444444444</v>
      </c>
      <c r="D2138" s="587" t="s">
        <v>562</v>
      </c>
      <c r="E2138" s="587" t="s">
        <v>1758</v>
      </c>
      <c r="F2138" s="588">
        <v>150.0</v>
      </c>
      <c r="G2138" s="587"/>
      <c r="H2138" s="44" t="b">
        <v>0</v>
      </c>
    </row>
    <row r="2139">
      <c r="A2139" s="595">
        <v>46317.0</v>
      </c>
      <c r="B2139" s="466">
        <f t="shared" si="515"/>
        <v>46317</v>
      </c>
      <c r="C2139" s="467">
        <v>0.7916666666666666</v>
      </c>
      <c r="D2139" s="585" t="s">
        <v>1828</v>
      </c>
      <c r="E2139" s="585" t="s">
        <v>1758</v>
      </c>
      <c r="F2139" s="586">
        <v>150.0</v>
      </c>
      <c r="G2139" s="585" t="s">
        <v>2110</v>
      </c>
      <c r="H2139" s="44" t="b">
        <v>0</v>
      </c>
    </row>
    <row r="2140">
      <c r="A2140" s="596">
        <v>46318.0</v>
      </c>
      <c r="B2140" s="472">
        <f t="shared" si="515"/>
        <v>46318</v>
      </c>
      <c r="C2140" s="473">
        <v>0.2916666666666667</v>
      </c>
      <c r="D2140" s="587" t="s">
        <v>1871</v>
      </c>
      <c r="E2140" s="590" t="s">
        <v>469</v>
      </c>
      <c r="F2140" s="588">
        <v>150.0</v>
      </c>
      <c r="G2140" s="587"/>
      <c r="H2140" s="44" t="b">
        <v>0</v>
      </c>
    </row>
    <row r="2141">
      <c r="A2141" s="595">
        <v>46318.0</v>
      </c>
      <c r="B2141" s="466">
        <f t="shared" si="515"/>
        <v>46318</v>
      </c>
      <c r="C2141" s="467">
        <v>0.2916666666666667</v>
      </c>
      <c r="D2141" s="585" t="s">
        <v>183</v>
      </c>
      <c r="E2141" s="585" t="s">
        <v>1758</v>
      </c>
      <c r="F2141" s="586">
        <v>150.0</v>
      </c>
      <c r="G2141" s="585"/>
      <c r="H2141" s="44" t="b">
        <v>0</v>
      </c>
    </row>
    <row r="2142">
      <c r="A2142" s="596">
        <v>46318.0</v>
      </c>
      <c r="B2142" s="472">
        <f t="shared" si="515"/>
        <v>46318</v>
      </c>
      <c r="C2142" s="473">
        <v>0.5069444444444444</v>
      </c>
      <c r="D2142" s="587" t="s">
        <v>1636</v>
      </c>
      <c r="E2142" s="587" t="s">
        <v>1758</v>
      </c>
      <c r="F2142" s="588">
        <v>150.0</v>
      </c>
      <c r="G2142" s="587"/>
      <c r="H2142" s="44" t="b">
        <v>0</v>
      </c>
    </row>
    <row r="2143">
      <c r="A2143" s="595">
        <v>46319.0</v>
      </c>
      <c r="B2143" s="466">
        <f t="shared" si="515"/>
        <v>46319</v>
      </c>
      <c r="C2143" s="467">
        <v>0.3333333333333333</v>
      </c>
      <c r="D2143" s="585" t="s">
        <v>1869</v>
      </c>
      <c r="E2143" s="585" t="s">
        <v>1758</v>
      </c>
      <c r="F2143" s="586">
        <v>150.0</v>
      </c>
      <c r="G2143" s="585"/>
      <c r="H2143" s="44" t="b">
        <v>0</v>
      </c>
    </row>
    <row r="2144">
      <c r="A2144" s="596">
        <v>46320.0</v>
      </c>
      <c r="B2144" s="472">
        <f t="shared" si="515"/>
        <v>46320</v>
      </c>
      <c r="C2144" s="473">
        <v>0.3333333333333333</v>
      </c>
      <c r="D2144" s="587" t="s">
        <v>1828</v>
      </c>
      <c r="E2144" s="587" t="s">
        <v>1758</v>
      </c>
      <c r="F2144" s="588">
        <v>200.0</v>
      </c>
      <c r="G2144" s="587"/>
      <c r="H2144" s="44" t="b">
        <v>0</v>
      </c>
    </row>
    <row r="2145">
      <c r="A2145" s="595">
        <v>46320.0</v>
      </c>
      <c r="B2145" s="466">
        <f t="shared" si="515"/>
        <v>46320</v>
      </c>
      <c r="C2145" s="467">
        <v>0.4583333333333333</v>
      </c>
      <c r="D2145" s="585" t="s">
        <v>562</v>
      </c>
      <c r="E2145" s="585" t="s">
        <v>1758</v>
      </c>
      <c r="F2145" s="586">
        <v>200.0</v>
      </c>
      <c r="G2145" s="585"/>
      <c r="H2145" s="44" t="b">
        <v>0</v>
      </c>
    </row>
    <row r="2146">
      <c r="A2146" s="596">
        <v>46320.0</v>
      </c>
      <c r="B2146" s="472">
        <f t="shared" si="515"/>
        <v>46320</v>
      </c>
      <c r="C2146" s="473">
        <v>0.7708333333333334</v>
      </c>
      <c r="D2146" s="587" t="s">
        <v>1862</v>
      </c>
      <c r="E2146" s="587" t="s">
        <v>1758</v>
      </c>
      <c r="F2146" s="588">
        <v>200.0</v>
      </c>
      <c r="G2146" s="587"/>
      <c r="H2146" s="44" t="b">
        <v>0</v>
      </c>
    </row>
    <row r="2147">
      <c r="A2147" s="595">
        <v>46321.0</v>
      </c>
      <c r="B2147" s="466">
        <f t="shared" si="515"/>
        <v>46321</v>
      </c>
      <c r="C2147" s="467">
        <v>0.2916666666666667</v>
      </c>
      <c r="D2147" s="585" t="s">
        <v>1867</v>
      </c>
      <c r="E2147" s="585" t="s">
        <v>1758</v>
      </c>
      <c r="F2147" s="586">
        <v>150.0</v>
      </c>
      <c r="G2147" s="585"/>
      <c r="H2147" s="44" t="b">
        <v>0</v>
      </c>
    </row>
    <row r="2148">
      <c r="A2148" s="596">
        <v>46321.0</v>
      </c>
      <c r="B2148" s="472">
        <f t="shared" si="515"/>
        <v>46321</v>
      </c>
      <c r="C2148" s="473">
        <v>0.5069444444444444</v>
      </c>
      <c r="D2148" s="587" t="s">
        <v>1636</v>
      </c>
      <c r="E2148" s="587" t="s">
        <v>1758</v>
      </c>
      <c r="F2148" s="588">
        <v>150.0</v>
      </c>
      <c r="G2148" s="587"/>
      <c r="H2148" s="44" t="b">
        <v>0</v>
      </c>
    </row>
    <row r="2149">
      <c r="A2149" s="595">
        <v>46321.0</v>
      </c>
      <c r="B2149" s="466">
        <f t="shared" si="515"/>
        <v>46321</v>
      </c>
      <c r="C2149" s="467">
        <v>0.7604166666666666</v>
      </c>
      <c r="D2149" s="585" t="s">
        <v>1855</v>
      </c>
      <c r="E2149" s="585" t="s">
        <v>1758</v>
      </c>
      <c r="F2149" s="586">
        <v>150.0</v>
      </c>
      <c r="G2149" s="585"/>
      <c r="H2149" s="44" t="b">
        <v>0</v>
      </c>
    </row>
    <row r="2150">
      <c r="A2150" s="596">
        <v>46322.0</v>
      </c>
      <c r="B2150" s="472">
        <f t="shared" si="515"/>
        <v>46322</v>
      </c>
      <c r="C2150" s="473">
        <v>0.2916666666666667</v>
      </c>
      <c r="D2150" s="587" t="s">
        <v>1756</v>
      </c>
      <c r="E2150" s="590" t="s">
        <v>469</v>
      </c>
      <c r="F2150" s="588">
        <v>150.0</v>
      </c>
      <c r="G2150" s="587"/>
      <c r="H2150" s="44" t="b">
        <v>0</v>
      </c>
    </row>
    <row r="2151">
      <c r="A2151" s="595">
        <v>46322.0</v>
      </c>
      <c r="B2151" s="466">
        <f t="shared" si="515"/>
        <v>46322</v>
      </c>
      <c r="C2151" s="467">
        <v>0.2916666666666667</v>
      </c>
      <c r="D2151" s="585" t="s">
        <v>183</v>
      </c>
      <c r="E2151" s="585" t="s">
        <v>1758</v>
      </c>
      <c r="F2151" s="586">
        <v>150.0</v>
      </c>
      <c r="G2151" s="585"/>
      <c r="H2151" s="44" t="b">
        <v>0</v>
      </c>
    </row>
    <row r="2152">
      <c r="A2152" s="596">
        <v>46322.0</v>
      </c>
      <c r="B2152" s="472">
        <f t="shared" si="515"/>
        <v>46322</v>
      </c>
      <c r="C2152" s="473">
        <v>0.5069444444444444</v>
      </c>
      <c r="D2152" s="587" t="s">
        <v>1636</v>
      </c>
      <c r="E2152" s="587" t="s">
        <v>1758</v>
      </c>
      <c r="F2152" s="588">
        <v>150.0</v>
      </c>
      <c r="G2152" s="587"/>
      <c r="H2152" s="44" t="b">
        <v>0</v>
      </c>
    </row>
    <row r="2153">
      <c r="A2153" s="595">
        <v>46323.0</v>
      </c>
      <c r="B2153" s="466">
        <f t="shared" si="515"/>
        <v>46323</v>
      </c>
      <c r="C2153" s="467">
        <v>0.2916666666666667</v>
      </c>
      <c r="D2153" s="585" t="s">
        <v>1756</v>
      </c>
      <c r="E2153" s="585" t="s">
        <v>1758</v>
      </c>
      <c r="F2153" s="586">
        <v>150.0</v>
      </c>
      <c r="G2153" s="585"/>
      <c r="H2153" s="44" t="b">
        <v>0</v>
      </c>
    </row>
    <row r="2154">
      <c r="A2154" s="596">
        <v>46323.0</v>
      </c>
      <c r="B2154" s="472">
        <f t="shared" si="515"/>
        <v>46323</v>
      </c>
      <c r="C2154" s="473">
        <v>0.5069444444444444</v>
      </c>
      <c r="D2154" s="587" t="s">
        <v>1636</v>
      </c>
      <c r="E2154" s="587" t="s">
        <v>1758</v>
      </c>
      <c r="F2154" s="588">
        <v>150.0</v>
      </c>
      <c r="G2154" s="587"/>
      <c r="H2154" s="44" t="b">
        <v>0</v>
      </c>
    </row>
    <row r="2155">
      <c r="A2155" s="595">
        <v>46323.0</v>
      </c>
      <c r="B2155" s="466">
        <f t="shared" si="515"/>
        <v>46323</v>
      </c>
      <c r="C2155" s="467">
        <v>0.7604166666666666</v>
      </c>
      <c r="D2155" s="585" t="s">
        <v>1867</v>
      </c>
      <c r="E2155" s="585" t="s">
        <v>1758</v>
      </c>
      <c r="F2155" s="586">
        <v>150.0</v>
      </c>
      <c r="G2155" s="585"/>
      <c r="H2155" s="44" t="b">
        <v>0</v>
      </c>
    </row>
    <row r="2156">
      <c r="A2156" s="596">
        <v>46324.0</v>
      </c>
      <c r="B2156" s="472">
        <f t="shared" si="515"/>
        <v>46324</v>
      </c>
      <c r="C2156" s="473">
        <v>0.2916666666666667</v>
      </c>
      <c r="D2156" s="587" t="s">
        <v>1756</v>
      </c>
      <c r="E2156" s="587" t="s">
        <v>1758</v>
      </c>
      <c r="F2156" s="588">
        <v>150.0</v>
      </c>
      <c r="G2156" s="587"/>
      <c r="H2156" s="44" t="b">
        <v>0</v>
      </c>
    </row>
    <row r="2157">
      <c r="A2157" s="595">
        <v>46324.0</v>
      </c>
      <c r="B2157" s="466">
        <f t="shared" si="515"/>
        <v>46324</v>
      </c>
      <c r="C2157" s="467">
        <v>0.5069444444444444</v>
      </c>
      <c r="D2157" s="585" t="s">
        <v>562</v>
      </c>
      <c r="E2157" s="585" t="s">
        <v>1758</v>
      </c>
      <c r="F2157" s="586">
        <v>150.0</v>
      </c>
      <c r="G2157" s="585"/>
      <c r="H2157" s="44" t="b">
        <v>0</v>
      </c>
    </row>
    <row r="2158">
      <c r="A2158" s="596">
        <v>46325.0</v>
      </c>
      <c r="B2158" s="472">
        <f t="shared" si="515"/>
        <v>46325</v>
      </c>
      <c r="C2158" s="473">
        <v>0.2916666666666667</v>
      </c>
      <c r="D2158" s="587" t="s">
        <v>1756</v>
      </c>
      <c r="E2158" s="590" t="s">
        <v>469</v>
      </c>
      <c r="F2158" s="588">
        <v>150.0</v>
      </c>
      <c r="G2158" s="587"/>
      <c r="H2158" s="44" t="b">
        <v>0</v>
      </c>
    </row>
    <row r="2159">
      <c r="A2159" s="595">
        <v>46325.0</v>
      </c>
      <c r="B2159" s="466">
        <f t="shared" si="515"/>
        <v>46325</v>
      </c>
      <c r="C2159" s="467">
        <v>0.2916666666666667</v>
      </c>
      <c r="D2159" s="585" t="s">
        <v>183</v>
      </c>
      <c r="E2159" s="585" t="s">
        <v>1758</v>
      </c>
      <c r="F2159" s="586">
        <v>150.0</v>
      </c>
      <c r="G2159" s="585"/>
      <c r="H2159" s="44" t="b">
        <v>0</v>
      </c>
    </row>
    <row r="2160">
      <c r="A2160" s="596">
        <v>46325.0</v>
      </c>
      <c r="B2160" s="472">
        <f t="shared" si="515"/>
        <v>46325</v>
      </c>
      <c r="C2160" s="473">
        <v>0.5069444444444444</v>
      </c>
      <c r="D2160" s="587" t="s">
        <v>1636</v>
      </c>
      <c r="E2160" s="587" t="s">
        <v>1758</v>
      </c>
      <c r="F2160" s="588">
        <v>150.0</v>
      </c>
      <c r="G2160" s="587"/>
      <c r="H2160" s="44" t="b">
        <v>0</v>
      </c>
    </row>
    <row r="2161">
      <c r="A2161" s="595">
        <v>46326.0</v>
      </c>
      <c r="B2161" s="466">
        <f t="shared" si="515"/>
        <v>46326</v>
      </c>
      <c r="C2161" s="467">
        <v>0.3333333333333333</v>
      </c>
      <c r="D2161" s="585" t="s">
        <v>1756</v>
      </c>
      <c r="E2161" s="585" t="s">
        <v>1758</v>
      </c>
      <c r="F2161" s="586">
        <v>150.0</v>
      </c>
      <c r="G2161" s="585"/>
      <c r="H2161" s="44" t="b">
        <v>0</v>
      </c>
    </row>
    <row r="2162">
      <c r="A2162" s="484" t="s">
        <v>195</v>
      </c>
      <c r="B2162" s="602"/>
      <c r="C2162" s="602"/>
      <c r="D2162" s="602"/>
      <c r="E2162" s="603"/>
      <c r="F2162" s="485">
        <f>SUM(F2083:F2161)</f>
        <v>12350</v>
      </c>
      <c r="G2162" s="604"/>
      <c r="H2162" s="28"/>
    </row>
    <row r="2163">
      <c r="A2163" s="605"/>
      <c r="B2163" s="606"/>
      <c r="C2163" s="607"/>
      <c r="D2163" s="608"/>
      <c r="E2163" s="609"/>
      <c r="F2163" s="610"/>
      <c r="G2163" s="609"/>
      <c r="H2163" s="611"/>
    </row>
    <row r="2164">
      <c r="A2164" s="612"/>
      <c r="B2164" s="613"/>
      <c r="C2164" s="614"/>
      <c r="D2164" s="615"/>
      <c r="E2164" s="616"/>
      <c r="F2164" s="617"/>
      <c r="G2164" s="616"/>
      <c r="H2164" s="611"/>
    </row>
    <row r="2165">
      <c r="A2165" s="605"/>
      <c r="B2165" s="606"/>
      <c r="C2165" s="607"/>
      <c r="D2165" s="608"/>
      <c r="E2165" s="609"/>
      <c r="F2165" s="610"/>
      <c r="G2165" s="609"/>
      <c r="H2165" s="611"/>
    </row>
    <row r="2166">
      <c r="A2166" s="612"/>
      <c r="B2166" s="613"/>
      <c r="C2166" s="614"/>
      <c r="D2166" s="615"/>
      <c r="E2166" s="616"/>
      <c r="F2166" s="617"/>
      <c r="G2166" s="616"/>
      <c r="H2166" s="611"/>
    </row>
    <row r="2167">
      <c r="A2167" s="605"/>
      <c r="B2167" s="606"/>
      <c r="C2167" s="607"/>
      <c r="D2167" s="608"/>
      <c r="E2167" s="609"/>
      <c r="F2167" s="610"/>
      <c r="G2167" s="609"/>
      <c r="H2167" s="611"/>
    </row>
    <row r="2168">
      <c r="A2168" s="612"/>
      <c r="B2168" s="613"/>
      <c r="C2168" s="614"/>
      <c r="D2168" s="615"/>
      <c r="E2168" s="616"/>
      <c r="F2168" s="617"/>
      <c r="G2168" s="616"/>
      <c r="H2168" s="611"/>
    </row>
    <row r="2169">
      <c r="A2169" s="605"/>
      <c r="B2169" s="606"/>
      <c r="C2169" s="607"/>
      <c r="D2169" s="608"/>
      <c r="E2169" s="609"/>
      <c r="F2169" s="610"/>
      <c r="G2169" s="609"/>
      <c r="H2169" s="611"/>
    </row>
    <row r="2170">
      <c r="A2170" s="612"/>
      <c r="B2170" s="613"/>
      <c r="C2170" s="614"/>
      <c r="D2170" s="615"/>
      <c r="E2170" s="616"/>
      <c r="F2170" s="617"/>
      <c r="G2170" s="616"/>
      <c r="H2170" s="611"/>
    </row>
    <row r="2171">
      <c r="A2171" s="605"/>
      <c r="B2171" s="606"/>
      <c r="C2171" s="607"/>
      <c r="D2171" s="608"/>
      <c r="E2171" s="609"/>
      <c r="F2171" s="610"/>
      <c r="G2171" s="609"/>
      <c r="H2171" s="611"/>
    </row>
    <row r="2172">
      <c r="A2172" s="612"/>
      <c r="B2172" s="613"/>
      <c r="C2172" s="614"/>
      <c r="D2172" s="615"/>
      <c r="E2172" s="616"/>
      <c r="F2172" s="617"/>
      <c r="G2172" s="616"/>
      <c r="H2172" s="611"/>
    </row>
    <row r="2173">
      <c r="A2173" s="605"/>
      <c r="B2173" s="606"/>
      <c r="C2173" s="607"/>
      <c r="D2173" s="608"/>
      <c r="E2173" s="609"/>
      <c r="F2173" s="610"/>
      <c r="G2173" s="609"/>
      <c r="H2173" s="611"/>
    </row>
    <row r="2174">
      <c r="A2174" s="612"/>
      <c r="B2174" s="613"/>
      <c r="C2174" s="614"/>
      <c r="D2174" s="615"/>
      <c r="E2174" s="616"/>
      <c r="F2174" s="617"/>
      <c r="G2174" s="616"/>
      <c r="H2174" s="611"/>
    </row>
    <row r="2175">
      <c r="A2175" s="605"/>
      <c r="B2175" s="606"/>
      <c r="C2175" s="607"/>
      <c r="D2175" s="608"/>
      <c r="E2175" s="609"/>
      <c r="F2175" s="610"/>
      <c r="G2175" s="609"/>
      <c r="H2175" s="611"/>
    </row>
    <row r="2176">
      <c r="A2176" s="612"/>
      <c r="B2176" s="613"/>
      <c r="C2176" s="614"/>
      <c r="D2176" s="615"/>
      <c r="E2176" s="616"/>
      <c r="F2176" s="617"/>
      <c r="G2176" s="616"/>
      <c r="H2176" s="611"/>
    </row>
    <row r="2177">
      <c r="A2177" s="605"/>
      <c r="B2177" s="606"/>
      <c r="C2177" s="607"/>
      <c r="D2177" s="608"/>
      <c r="E2177" s="609"/>
      <c r="F2177" s="610"/>
      <c r="G2177" s="609"/>
      <c r="H2177" s="611"/>
    </row>
    <row r="2178">
      <c r="A2178" s="612"/>
      <c r="B2178" s="613"/>
      <c r="C2178" s="614"/>
      <c r="D2178" s="615"/>
      <c r="E2178" s="616"/>
      <c r="F2178" s="617"/>
      <c r="G2178" s="616"/>
      <c r="H2178" s="611"/>
    </row>
    <row r="2179">
      <c r="A2179" s="605"/>
      <c r="B2179" s="606"/>
      <c r="C2179" s="607"/>
      <c r="D2179" s="608"/>
      <c r="E2179" s="609"/>
      <c r="F2179" s="610"/>
      <c r="G2179" s="609"/>
      <c r="H2179" s="611"/>
    </row>
    <row r="2180">
      <c r="A2180" s="612"/>
      <c r="B2180" s="613"/>
      <c r="C2180" s="614"/>
      <c r="D2180" s="615"/>
      <c r="E2180" s="616"/>
      <c r="F2180" s="617"/>
      <c r="G2180" s="616"/>
      <c r="H2180" s="611"/>
    </row>
    <row r="2181">
      <c r="A2181" s="605"/>
      <c r="B2181" s="606"/>
      <c r="C2181" s="607"/>
      <c r="D2181" s="608"/>
      <c r="E2181" s="609"/>
      <c r="F2181" s="610"/>
      <c r="G2181" s="609"/>
      <c r="H2181" s="611"/>
    </row>
    <row r="2182">
      <c r="A2182" s="612"/>
      <c r="B2182" s="613"/>
      <c r="C2182" s="614"/>
      <c r="D2182" s="615"/>
      <c r="E2182" s="616"/>
      <c r="F2182" s="617"/>
      <c r="G2182" s="616"/>
      <c r="H2182" s="611"/>
    </row>
    <row r="2183">
      <c r="A2183" s="605"/>
      <c r="B2183" s="606"/>
      <c r="C2183" s="607"/>
      <c r="D2183" s="608"/>
      <c r="E2183" s="609"/>
      <c r="F2183" s="610"/>
      <c r="G2183" s="609"/>
      <c r="H2183" s="611"/>
    </row>
    <row r="2184">
      <c r="A2184" s="612"/>
      <c r="B2184" s="613"/>
      <c r="C2184" s="614"/>
      <c r="D2184" s="615"/>
      <c r="E2184" s="616"/>
      <c r="F2184" s="617"/>
      <c r="G2184" s="616"/>
      <c r="H2184" s="611"/>
    </row>
    <row r="2185">
      <c r="A2185" s="605"/>
      <c r="B2185" s="606"/>
      <c r="C2185" s="607"/>
      <c r="D2185" s="608"/>
      <c r="E2185" s="609"/>
      <c r="F2185" s="610"/>
      <c r="G2185" s="609"/>
      <c r="H2185" s="611"/>
    </row>
    <row r="2186">
      <c r="A2186" s="612"/>
      <c r="B2186" s="613"/>
      <c r="C2186" s="614"/>
      <c r="D2186" s="615"/>
      <c r="E2186" s="616"/>
      <c r="F2186" s="617"/>
      <c r="G2186" s="616"/>
      <c r="H2186" s="611"/>
    </row>
    <row r="2187">
      <c r="A2187" s="605"/>
      <c r="B2187" s="606"/>
      <c r="C2187" s="607"/>
      <c r="D2187" s="608"/>
      <c r="E2187" s="609"/>
      <c r="F2187" s="610"/>
      <c r="G2187" s="609"/>
      <c r="H2187" s="611"/>
    </row>
    <row r="2188">
      <c r="A2188" s="612"/>
      <c r="B2188" s="613"/>
      <c r="C2188" s="614"/>
      <c r="D2188" s="615"/>
      <c r="E2188" s="616"/>
      <c r="F2188" s="617"/>
      <c r="G2188" s="616"/>
      <c r="H2188" s="611"/>
    </row>
    <row r="2189">
      <c r="A2189" s="605"/>
      <c r="B2189" s="606"/>
      <c r="C2189" s="607"/>
      <c r="D2189" s="608"/>
      <c r="E2189" s="609"/>
      <c r="F2189" s="610"/>
      <c r="G2189" s="609"/>
      <c r="H2189" s="611"/>
    </row>
    <row r="2190">
      <c r="A2190" s="612"/>
      <c r="B2190" s="613"/>
      <c r="C2190" s="614"/>
      <c r="D2190" s="615"/>
      <c r="E2190" s="616"/>
      <c r="F2190" s="617"/>
      <c r="G2190" s="616"/>
      <c r="H2190" s="611"/>
    </row>
    <row r="2191">
      <c r="A2191" s="605"/>
      <c r="B2191" s="606"/>
      <c r="C2191" s="607"/>
      <c r="D2191" s="608"/>
      <c r="E2191" s="609"/>
      <c r="F2191" s="610"/>
      <c r="G2191" s="609"/>
      <c r="H2191" s="611"/>
    </row>
    <row r="2192">
      <c r="A2192" s="612"/>
      <c r="B2192" s="613"/>
      <c r="C2192" s="614"/>
      <c r="D2192" s="615"/>
      <c r="E2192" s="616"/>
      <c r="F2192" s="617"/>
      <c r="G2192" s="616"/>
      <c r="H2192" s="611"/>
    </row>
    <row r="2193">
      <c r="A2193" s="605"/>
      <c r="B2193" s="606"/>
      <c r="C2193" s="607"/>
      <c r="D2193" s="608"/>
      <c r="E2193" s="609"/>
      <c r="F2193" s="610"/>
      <c r="G2193" s="609"/>
      <c r="H2193" s="611"/>
    </row>
    <row r="2194">
      <c r="A2194" s="612"/>
      <c r="B2194" s="613"/>
      <c r="C2194" s="614"/>
      <c r="D2194" s="615"/>
      <c r="E2194" s="616"/>
      <c r="F2194" s="617"/>
      <c r="G2194" s="616"/>
      <c r="H2194" s="611"/>
    </row>
    <row r="2195">
      <c r="A2195" s="605"/>
      <c r="B2195" s="606"/>
      <c r="C2195" s="607"/>
      <c r="D2195" s="608"/>
      <c r="E2195" s="609"/>
      <c r="F2195" s="610"/>
      <c r="G2195" s="609"/>
      <c r="H2195" s="611"/>
    </row>
    <row r="2196">
      <c r="A2196" s="612"/>
      <c r="B2196" s="613"/>
      <c r="C2196" s="614"/>
      <c r="D2196" s="615"/>
      <c r="E2196" s="616"/>
      <c r="F2196" s="617"/>
      <c r="G2196" s="616"/>
      <c r="H2196" s="611"/>
    </row>
    <row r="2197">
      <c r="A2197" s="605"/>
      <c r="B2197" s="606"/>
      <c r="C2197" s="607"/>
      <c r="D2197" s="608"/>
      <c r="E2197" s="609"/>
      <c r="F2197" s="610"/>
      <c r="G2197" s="609"/>
      <c r="H2197" s="611"/>
    </row>
    <row r="2198">
      <c r="A2198" s="612"/>
      <c r="B2198" s="613"/>
      <c r="C2198" s="614"/>
      <c r="D2198" s="615"/>
      <c r="E2198" s="616"/>
      <c r="F2198" s="617"/>
      <c r="G2198" s="616"/>
      <c r="H2198" s="611"/>
    </row>
    <row r="2199">
      <c r="A2199" s="605"/>
      <c r="B2199" s="606"/>
      <c r="C2199" s="607"/>
      <c r="D2199" s="608"/>
      <c r="E2199" s="609"/>
      <c r="F2199" s="610"/>
      <c r="G2199" s="609"/>
      <c r="H2199" s="611"/>
    </row>
    <row r="2200">
      <c r="A2200" s="612"/>
      <c r="B2200" s="613"/>
      <c r="C2200" s="614"/>
      <c r="D2200" s="615"/>
      <c r="E2200" s="616"/>
      <c r="F2200" s="617"/>
      <c r="G2200" s="616"/>
      <c r="H2200" s="611"/>
    </row>
    <row r="2201">
      <c r="A2201" s="605"/>
      <c r="B2201" s="606"/>
      <c r="C2201" s="607"/>
      <c r="D2201" s="608"/>
      <c r="E2201" s="609"/>
      <c r="F2201" s="610"/>
      <c r="G2201" s="609"/>
      <c r="H2201" s="611"/>
    </row>
    <row r="2202">
      <c r="A2202" s="612"/>
      <c r="B2202" s="613"/>
      <c r="C2202" s="614"/>
      <c r="D2202" s="615"/>
      <c r="E2202" s="616"/>
      <c r="F2202" s="617"/>
      <c r="G2202" s="616"/>
      <c r="H2202" s="611"/>
    </row>
    <row r="2203">
      <c r="A2203" s="605"/>
      <c r="B2203" s="606"/>
      <c r="C2203" s="607"/>
      <c r="D2203" s="608"/>
      <c r="E2203" s="609"/>
      <c r="F2203" s="610"/>
      <c r="G2203" s="609"/>
      <c r="H2203" s="611"/>
    </row>
    <row r="2204">
      <c r="A2204" s="612"/>
      <c r="B2204" s="613"/>
      <c r="C2204" s="614"/>
      <c r="D2204" s="615"/>
      <c r="E2204" s="616"/>
      <c r="F2204" s="617"/>
      <c r="G2204" s="616"/>
      <c r="H2204" s="611"/>
    </row>
    <row r="2205">
      <c r="A2205" s="605"/>
      <c r="B2205" s="606"/>
      <c r="C2205" s="607"/>
      <c r="D2205" s="608"/>
      <c r="E2205" s="609"/>
      <c r="F2205" s="610"/>
      <c r="G2205" s="609"/>
      <c r="H2205" s="611"/>
    </row>
    <row r="2206">
      <c r="A2206" s="612"/>
      <c r="B2206" s="613"/>
      <c r="C2206" s="614"/>
      <c r="D2206" s="615"/>
      <c r="E2206" s="616"/>
      <c r="F2206" s="617"/>
      <c r="G2206" s="616"/>
      <c r="H2206" s="611"/>
    </row>
    <row r="2207">
      <c r="A2207" s="605"/>
      <c r="B2207" s="606"/>
      <c r="C2207" s="607"/>
      <c r="D2207" s="608"/>
      <c r="E2207" s="609"/>
      <c r="F2207" s="610"/>
      <c r="G2207" s="609"/>
      <c r="H2207" s="611"/>
    </row>
    <row r="2208">
      <c r="A2208" s="612"/>
      <c r="B2208" s="613"/>
      <c r="C2208" s="614"/>
      <c r="D2208" s="615"/>
      <c r="E2208" s="616"/>
      <c r="F2208" s="617"/>
      <c r="G2208" s="616"/>
      <c r="H2208" s="611"/>
    </row>
    <row r="2209">
      <c r="A2209" s="605"/>
      <c r="B2209" s="606"/>
      <c r="C2209" s="607"/>
      <c r="D2209" s="608"/>
      <c r="E2209" s="609"/>
      <c r="F2209" s="610"/>
      <c r="G2209" s="609"/>
      <c r="H2209" s="611"/>
    </row>
    <row r="2210">
      <c r="A2210" s="612"/>
      <c r="B2210" s="613"/>
      <c r="C2210" s="614"/>
      <c r="D2210" s="615"/>
      <c r="E2210" s="616"/>
      <c r="F2210" s="617"/>
      <c r="G2210" s="616"/>
      <c r="H2210" s="611"/>
    </row>
    <row r="2211">
      <c r="A2211" s="605"/>
      <c r="B2211" s="606"/>
      <c r="C2211" s="607"/>
      <c r="D2211" s="608"/>
      <c r="E2211" s="609"/>
      <c r="F2211" s="610"/>
      <c r="G2211" s="609"/>
      <c r="H2211" s="611"/>
    </row>
    <row r="2212">
      <c r="A2212" s="612"/>
      <c r="B2212" s="613"/>
      <c r="C2212" s="614"/>
      <c r="D2212" s="615"/>
      <c r="E2212" s="616"/>
      <c r="F2212" s="617"/>
      <c r="G2212" s="616"/>
      <c r="H2212" s="611"/>
    </row>
    <row r="2213">
      <c r="A2213" s="605"/>
      <c r="B2213" s="606"/>
      <c r="C2213" s="607"/>
      <c r="D2213" s="608"/>
      <c r="E2213" s="609"/>
      <c r="F2213" s="610"/>
      <c r="G2213" s="609"/>
      <c r="H2213" s="611"/>
    </row>
    <row r="2214">
      <c r="A2214" s="612"/>
      <c r="B2214" s="613"/>
      <c r="C2214" s="614"/>
      <c r="D2214" s="615"/>
      <c r="E2214" s="616"/>
      <c r="F2214" s="617"/>
      <c r="G2214" s="616"/>
      <c r="H2214" s="611"/>
    </row>
    <row r="2215">
      <c r="A2215" s="605"/>
      <c r="B2215" s="606"/>
      <c r="C2215" s="607"/>
      <c r="D2215" s="608"/>
      <c r="E2215" s="609"/>
      <c r="F2215" s="610"/>
      <c r="G2215" s="609"/>
      <c r="H2215" s="611"/>
    </row>
    <row r="2216">
      <c r="A2216" s="612"/>
      <c r="B2216" s="613"/>
      <c r="C2216" s="614"/>
      <c r="D2216" s="615"/>
      <c r="E2216" s="616"/>
      <c r="F2216" s="617"/>
      <c r="G2216" s="616"/>
      <c r="H2216" s="611"/>
    </row>
    <row r="2217">
      <c r="A2217" s="605"/>
      <c r="B2217" s="606"/>
      <c r="C2217" s="607"/>
      <c r="D2217" s="608"/>
      <c r="E2217" s="609"/>
      <c r="F2217" s="610"/>
      <c r="G2217" s="609"/>
      <c r="H2217" s="611"/>
    </row>
    <row r="2218">
      <c r="A2218" s="612"/>
      <c r="B2218" s="613"/>
      <c r="C2218" s="614"/>
      <c r="D2218" s="615"/>
      <c r="E2218" s="616"/>
      <c r="F2218" s="617"/>
      <c r="G2218" s="616"/>
      <c r="H2218" s="611"/>
    </row>
    <row r="2219">
      <c r="A2219" s="605"/>
      <c r="B2219" s="606"/>
      <c r="C2219" s="607"/>
      <c r="D2219" s="608"/>
      <c r="E2219" s="609"/>
      <c r="F2219" s="610"/>
      <c r="G2219" s="609"/>
      <c r="H2219" s="611"/>
    </row>
    <row r="2220">
      <c r="A2220" s="612"/>
      <c r="B2220" s="613"/>
      <c r="C2220" s="614"/>
      <c r="D2220" s="615"/>
      <c r="E2220" s="616"/>
      <c r="F2220" s="617"/>
      <c r="G2220" s="616"/>
      <c r="H2220" s="611"/>
    </row>
    <row r="2221">
      <c r="A2221" s="605"/>
      <c r="B2221" s="606"/>
      <c r="C2221" s="607"/>
      <c r="D2221" s="608"/>
      <c r="E2221" s="609"/>
      <c r="F2221" s="610"/>
      <c r="G2221" s="609"/>
      <c r="H2221" s="611"/>
    </row>
    <row r="2222">
      <c r="A2222" s="612"/>
      <c r="B2222" s="613"/>
      <c r="C2222" s="614"/>
      <c r="D2222" s="615"/>
      <c r="E2222" s="616"/>
      <c r="F2222" s="617"/>
      <c r="G2222" s="616"/>
      <c r="H2222" s="611"/>
    </row>
    <row r="2223">
      <c r="A2223" s="605"/>
      <c r="B2223" s="606"/>
      <c r="C2223" s="607"/>
      <c r="D2223" s="608"/>
      <c r="E2223" s="609"/>
      <c r="F2223" s="610"/>
      <c r="G2223" s="609"/>
      <c r="H2223" s="611"/>
    </row>
    <row r="2224">
      <c r="A2224" s="612"/>
      <c r="B2224" s="613"/>
      <c r="C2224" s="614"/>
      <c r="D2224" s="615"/>
      <c r="E2224" s="616"/>
      <c r="F2224" s="617"/>
      <c r="G2224" s="616"/>
      <c r="H2224" s="611"/>
    </row>
    <row r="2225">
      <c r="A2225" s="605"/>
      <c r="B2225" s="606"/>
      <c r="C2225" s="607"/>
      <c r="D2225" s="608"/>
      <c r="E2225" s="609"/>
      <c r="F2225" s="610"/>
      <c r="G2225" s="609"/>
      <c r="H2225" s="611"/>
    </row>
    <row r="2226">
      <c r="A2226" s="612"/>
      <c r="B2226" s="613"/>
      <c r="C2226" s="614"/>
      <c r="D2226" s="615"/>
      <c r="E2226" s="616"/>
      <c r="F2226" s="617"/>
      <c r="G2226" s="616"/>
      <c r="H2226" s="611"/>
    </row>
    <row r="2227">
      <c r="A2227" s="605"/>
      <c r="B2227" s="606"/>
      <c r="C2227" s="607"/>
      <c r="D2227" s="608"/>
      <c r="E2227" s="609"/>
      <c r="F2227" s="610"/>
      <c r="G2227" s="609"/>
      <c r="H2227" s="611"/>
    </row>
    <row r="2228">
      <c r="A2228" s="612"/>
      <c r="B2228" s="613"/>
      <c r="C2228" s="614"/>
      <c r="D2228" s="615"/>
      <c r="E2228" s="616"/>
      <c r="F2228" s="617"/>
      <c r="G2228" s="616"/>
      <c r="H2228" s="611"/>
    </row>
    <row r="2229">
      <c r="A2229" s="605"/>
      <c r="B2229" s="606"/>
      <c r="C2229" s="607"/>
      <c r="D2229" s="608"/>
      <c r="E2229" s="609"/>
      <c r="F2229" s="610"/>
      <c r="G2229" s="609"/>
      <c r="H2229" s="611"/>
    </row>
    <row r="2230">
      <c r="A2230" s="612"/>
      <c r="B2230" s="613"/>
      <c r="C2230" s="614"/>
      <c r="D2230" s="615"/>
      <c r="E2230" s="616"/>
      <c r="F2230" s="617"/>
      <c r="G2230" s="616"/>
      <c r="H2230" s="611"/>
    </row>
    <row r="2231">
      <c r="A2231" s="605"/>
      <c r="B2231" s="606"/>
      <c r="C2231" s="607"/>
      <c r="D2231" s="608"/>
      <c r="E2231" s="609"/>
      <c r="F2231" s="610"/>
      <c r="G2231" s="609"/>
      <c r="H2231" s="611"/>
    </row>
    <row r="2232">
      <c r="A2232" s="612"/>
      <c r="B2232" s="613"/>
      <c r="C2232" s="614"/>
      <c r="D2232" s="615"/>
      <c r="E2232" s="616"/>
      <c r="F2232" s="617"/>
      <c r="G2232" s="616"/>
      <c r="H2232" s="611"/>
    </row>
    <row r="2233">
      <c r="A2233" s="605"/>
      <c r="B2233" s="606"/>
      <c r="C2233" s="607"/>
      <c r="D2233" s="608"/>
      <c r="E2233" s="609"/>
      <c r="F2233" s="610"/>
      <c r="G2233" s="609"/>
      <c r="H2233" s="611"/>
    </row>
    <row r="2234">
      <c r="A2234" s="612"/>
      <c r="B2234" s="613"/>
      <c r="C2234" s="614"/>
      <c r="D2234" s="615"/>
      <c r="E2234" s="616"/>
      <c r="F2234" s="617"/>
      <c r="G2234" s="616"/>
      <c r="H2234" s="611"/>
    </row>
    <row r="2235">
      <c r="A2235" s="605"/>
      <c r="B2235" s="606"/>
      <c r="C2235" s="607"/>
      <c r="D2235" s="608"/>
      <c r="E2235" s="609"/>
      <c r="F2235" s="610"/>
      <c r="G2235" s="609"/>
      <c r="H2235" s="611"/>
    </row>
    <row r="2236">
      <c r="A2236" s="612"/>
      <c r="B2236" s="613"/>
      <c r="C2236" s="614"/>
      <c r="D2236" s="615"/>
      <c r="E2236" s="616"/>
      <c r="F2236" s="617"/>
      <c r="G2236" s="616"/>
      <c r="H2236" s="611"/>
    </row>
    <row r="2237">
      <c r="A2237" s="605"/>
      <c r="B2237" s="606"/>
      <c r="C2237" s="607"/>
      <c r="D2237" s="608"/>
      <c r="E2237" s="609"/>
      <c r="F2237" s="610"/>
      <c r="G2237" s="609"/>
      <c r="H2237" s="611"/>
    </row>
    <row r="2238">
      <c r="A2238" s="612"/>
      <c r="B2238" s="613"/>
      <c r="C2238" s="614"/>
      <c r="D2238" s="615"/>
      <c r="E2238" s="616"/>
      <c r="F2238" s="617"/>
      <c r="G2238" s="616"/>
      <c r="H2238" s="611"/>
    </row>
    <row r="2239">
      <c r="A2239" s="605"/>
      <c r="B2239" s="606"/>
      <c r="C2239" s="607"/>
      <c r="D2239" s="608"/>
      <c r="E2239" s="609"/>
      <c r="F2239" s="610"/>
      <c r="G2239" s="609"/>
      <c r="H2239" s="611"/>
    </row>
    <row r="2240">
      <c r="A2240" s="612"/>
      <c r="B2240" s="613"/>
      <c r="C2240" s="614"/>
      <c r="D2240" s="615"/>
      <c r="E2240" s="616"/>
      <c r="F2240" s="617"/>
      <c r="G2240" s="616"/>
      <c r="H2240" s="611"/>
    </row>
    <row r="2241">
      <c r="A2241" s="605"/>
      <c r="B2241" s="606"/>
      <c r="C2241" s="607"/>
      <c r="D2241" s="608"/>
      <c r="E2241" s="609"/>
      <c r="F2241" s="610"/>
      <c r="G2241" s="609"/>
      <c r="H2241" s="611"/>
    </row>
    <row r="2242">
      <c r="A2242" s="612"/>
      <c r="B2242" s="613"/>
      <c r="C2242" s="614"/>
      <c r="D2242" s="615"/>
      <c r="E2242" s="616"/>
      <c r="F2242" s="617"/>
      <c r="G2242" s="616"/>
      <c r="H2242" s="611"/>
    </row>
    <row r="2243">
      <c r="A2243" s="605"/>
      <c r="B2243" s="606"/>
      <c r="C2243" s="607"/>
      <c r="D2243" s="608"/>
      <c r="E2243" s="609"/>
      <c r="F2243" s="610"/>
      <c r="G2243" s="609"/>
      <c r="H2243" s="611"/>
    </row>
    <row r="2244">
      <c r="A2244" s="612"/>
      <c r="B2244" s="613"/>
      <c r="C2244" s="614"/>
      <c r="D2244" s="615"/>
      <c r="E2244" s="616"/>
      <c r="F2244" s="617"/>
      <c r="G2244" s="616"/>
      <c r="H2244" s="611"/>
    </row>
    <row r="2245">
      <c r="A2245" s="605"/>
      <c r="B2245" s="606"/>
      <c r="C2245" s="607"/>
      <c r="D2245" s="608"/>
      <c r="E2245" s="609"/>
      <c r="F2245" s="610"/>
      <c r="G2245" s="609"/>
      <c r="H2245" s="611"/>
    </row>
    <row r="2246">
      <c r="A2246" s="612"/>
      <c r="B2246" s="613"/>
      <c r="C2246" s="614"/>
      <c r="D2246" s="615"/>
      <c r="E2246" s="616"/>
      <c r="F2246" s="617"/>
      <c r="G2246" s="616"/>
      <c r="H2246" s="611"/>
    </row>
    <row r="2247">
      <c r="A2247" s="605"/>
      <c r="B2247" s="606"/>
      <c r="C2247" s="607"/>
      <c r="D2247" s="608"/>
      <c r="E2247" s="609"/>
      <c r="F2247" s="610"/>
      <c r="G2247" s="609"/>
      <c r="H2247" s="611"/>
    </row>
    <row r="2248">
      <c r="A2248" s="612"/>
      <c r="B2248" s="613"/>
      <c r="C2248" s="614"/>
      <c r="D2248" s="615"/>
      <c r="E2248" s="616"/>
      <c r="F2248" s="617"/>
      <c r="G2248" s="616"/>
      <c r="H2248" s="611"/>
    </row>
    <row r="2249">
      <c r="A2249" s="605"/>
      <c r="B2249" s="606"/>
      <c r="C2249" s="607"/>
      <c r="D2249" s="608"/>
      <c r="E2249" s="609"/>
      <c r="F2249" s="610"/>
      <c r="G2249" s="609"/>
      <c r="H2249" s="611"/>
    </row>
    <row r="2250">
      <c r="A2250" s="612"/>
      <c r="B2250" s="613"/>
      <c r="C2250" s="614"/>
      <c r="D2250" s="615"/>
      <c r="E2250" s="616"/>
      <c r="F2250" s="617"/>
      <c r="G2250" s="616"/>
      <c r="H2250" s="611"/>
    </row>
    <row r="2251">
      <c r="A2251" s="605"/>
      <c r="B2251" s="606"/>
      <c r="C2251" s="607"/>
      <c r="D2251" s="608"/>
      <c r="E2251" s="609"/>
      <c r="F2251" s="610"/>
      <c r="G2251" s="609"/>
      <c r="H2251" s="611"/>
    </row>
    <row r="2252">
      <c r="A2252" s="612"/>
      <c r="B2252" s="613"/>
      <c r="C2252" s="614"/>
      <c r="D2252" s="615"/>
      <c r="E2252" s="616"/>
      <c r="F2252" s="617"/>
      <c r="G2252" s="616"/>
      <c r="H2252" s="611"/>
    </row>
    <row r="2253">
      <c r="A2253" s="605"/>
      <c r="B2253" s="606"/>
      <c r="C2253" s="607"/>
      <c r="D2253" s="608"/>
      <c r="E2253" s="609"/>
      <c r="F2253" s="610"/>
      <c r="G2253" s="609"/>
      <c r="H2253" s="611"/>
    </row>
    <row r="2254">
      <c r="A2254" s="612"/>
      <c r="B2254" s="613"/>
      <c r="C2254" s="614"/>
      <c r="D2254" s="615"/>
      <c r="E2254" s="616"/>
      <c r="F2254" s="617"/>
      <c r="G2254" s="616"/>
      <c r="H2254" s="611"/>
    </row>
    <row r="2255">
      <c r="A2255" s="605"/>
      <c r="B2255" s="606"/>
      <c r="C2255" s="607"/>
      <c r="D2255" s="608"/>
      <c r="E2255" s="609"/>
      <c r="F2255" s="610"/>
      <c r="G2255" s="609"/>
      <c r="H2255" s="611"/>
    </row>
    <row r="2256">
      <c r="A2256" s="612"/>
      <c r="B2256" s="613"/>
      <c r="C2256" s="614"/>
      <c r="D2256" s="615"/>
      <c r="E2256" s="616"/>
      <c r="F2256" s="617"/>
      <c r="G2256" s="616"/>
      <c r="H2256" s="611"/>
    </row>
    <row r="2257">
      <c r="A2257" s="605"/>
      <c r="B2257" s="606"/>
      <c r="C2257" s="607"/>
      <c r="D2257" s="608"/>
      <c r="E2257" s="609"/>
      <c r="F2257" s="610"/>
      <c r="G2257" s="609"/>
      <c r="H2257" s="611"/>
    </row>
    <row r="2258">
      <c r="A2258" s="612"/>
      <c r="B2258" s="613"/>
      <c r="C2258" s="614"/>
      <c r="D2258" s="615"/>
      <c r="E2258" s="616"/>
      <c r="F2258" s="617"/>
      <c r="G2258" s="616"/>
      <c r="H2258" s="611"/>
    </row>
    <row r="2259">
      <c r="A2259" s="605"/>
      <c r="B2259" s="606"/>
      <c r="C2259" s="607"/>
      <c r="D2259" s="608"/>
      <c r="E2259" s="609"/>
      <c r="F2259" s="610"/>
      <c r="G2259" s="609"/>
      <c r="H2259" s="611"/>
    </row>
    <row r="2260">
      <c r="A2260" s="612"/>
      <c r="B2260" s="613"/>
      <c r="C2260" s="614"/>
      <c r="D2260" s="615"/>
      <c r="E2260" s="616"/>
      <c r="F2260" s="617"/>
      <c r="G2260" s="616"/>
      <c r="H2260" s="611"/>
    </row>
    <row r="2261">
      <c r="A2261" s="605"/>
      <c r="B2261" s="606"/>
      <c r="C2261" s="607"/>
      <c r="D2261" s="608"/>
      <c r="E2261" s="609"/>
      <c r="F2261" s="610"/>
      <c r="G2261" s="609"/>
      <c r="H2261" s="611"/>
    </row>
    <row r="2262">
      <c r="A2262" s="612"/>
      <c r="B2262" s="613"/>
      <c r="C2262" s="614"/>
      <c r="D2262" s="615"/>
      <c r="E2262" s="616"/>
      <c r="F2262" s="617"/>
      <c r="G2262" s="616"/>
      <c r="H2262" s="611"/>
    </row>
    <row r="2263">
      <c r="A2263" s="605"/>
      <c r="B2263" s="606"/>
      <c r="C2263" s="607"/>
      <c r="D2263" s="608"/>
      <c r="E2263" s="609"/>
      <c r="F2263" s="610"/>
      <c r="G2263" s="609"/>
      <c r="H2263" s="611"/>
    </row>
    <row r="2264">
      <c r="A2264" s="612"/>
      <c r="B2264" s="613"/>
      <c r="C2264" s="614"/>
      <c r="D2264" s="615"/>
      <c r="E2264" s="616"/>
      <c r="F2264" s="617"/>
      <c r="G2264" s="616"/>
      <c r="H2264" s="611"/>
    </row>
    <row r="2265">
      <c r="A2265" s="605"/>
      <c r="B2265" s="606"/>
      <c r="C2265" s="607"/>
      <c r="D2265" s="608"/>
      <c r="E2265" s="609"/>
      <c r="F2265" s="610"/>
      <c r="G2265" s="609"/>
      <c r="H2265" s="611"/>
    </row>
    <row r="2266">
      <c r="A2266" s="612"/>
      <c r="B2266" s="613"/>
      <c r="C2266" s="614"/>
      <c r="D2266" s="615"/>
      <c r="E2266" s="616"/>
      <c r="F2266" s="617"/>
      <c r="G2266" s="616"/>
      <c r="H2266" s="611"/>
    </row>
    <row r="2267">
      <c r="A2267" s="605"/>
      <c r="B2267" s="606"/>
      <c r="C2267" s="607"/>
      <c r="D2267" s="608"/>
      <c r="E2267" s="609"/>
      <c r="F2267" s="610"/>
      <c r="G2267" s="609"/>
      <c r="H2267" s="611"/>
    </row>
    <row r="2268">
      <c r="A2268" s="612"/>
      <c r="B2268" s="613"/>
      <c r="C2268" s="614"/>
      <c r="D2268" s="615"/>
      <c r="E2268" s="616"/>
      <c r="F2268" s="617"/>
      <c r="G2268" s="616"/>
      <c r="H2268" s="611"/>
    </row>
    <row r="2269">
      <c r="A2269" s="605"/>
      <c r="B2269" s="606"/>
      <c r="C2269" s="607"/>
      <c r="D2269" s="608"/>
      <c r="E2269" s="609"/>
      <c r="F2269" s="610"/>
      <c r="G2269" s="609"/>
      <c r="H2269" s="611"/>
    </row>
    <row r="2270">
      <c r="A2270" s="612"/>
      <c r="B2270" s="613"/>
      <c r="C2270" s="614"/>
      <c r="D2270" s="615"/>
      <c r="E2270" s="616"/>
      <c r="F2270" s="617"/>
      <c r="G2270" s="616"/>
      <c r="H2270" s="611"/>
    </row>
    <row r="2271">
      <c r="A2271" s="605"/>
      <c r="B2271" s="606"/>
      <c r="C2271" s="607"/>
      <c r="D2271" s="608"/>
      <c r="E2271" s="609"/>
      <c r="F2271" s="610"/>
      <c r="G2271" s="609"/>
      <c r="H2271" s="611"/>
    </row>
    <row r="2272">
      <c r="A2272" s="612"/>
      <c r="B2272" s="613"/>
      <c r="C2272" s="614"/>
      <c r="D2272" s="615"/>
      <c r="E2272" s="616"/>
      <c r="F2272" s="617"/>
      <c r="G2272" s="616"/>
      <c r="H2272" s="611"/>
    </row>
    <row r="2273">
      <c r="A2273" s="605"/>
      <c r="B2273" s="606"/>
      <c r="C2273" s="607"/>
      <c r="D2273" s="608"/>
      <c r="E2273" s="609"/>
      <c r="F2273" s="610"/>
      <c r="G2273" s="609"/>
      <c r="H2273" s="611"/>
    </row>
    <row r="2274">
      <c r="A2274" s="612"/>
      <c r="B2274" s="613"/>
      <c r="C2274" s="614"/>
      <c r="D2274" s="615"/>
      <c r="E2274" s="616"/>
      <c r="F2274" s="617"/>
      <c r="G2274" s="616"/>
      <c r="H2274" s="611"/>
    </row>
    <row r="2275">
      <c r="A2275" s="605"/>
      <c r="B2275" s="606"/>
      <c r="C2275" s="607"/>
      <c r="D2275" s="608"/>
      <c r="E2275" s="609"/>
      <c r="F2275" s="610"/>
      <c r="G2275" s="609"/>
      <c r="H2275" s="611"/>
    </row>
    <row r="2276">
      <c r="A2276" s="612"/>
      <c r="B2276" s="613"/>
      <c r="C2276" s="614"/>
      <c r="D2276" s="615"/>
      <c r="E2276" s="616"/>
      <c r="F2276" s="617"/>
      <c r="G2276" s="616"/>
      <c r="H2276" s="611"/>
    </row>
    <row r="2277">
      <c r="A2277" s="605"/>
      <c r="B2277" s="606"/>
      <c r="C2277" s="607"/>
      <c r="D2277" s="608"/>
      <c r="E2277" s="609"/>
      <c r="F2277" s="610"/>
      <c r="G2277" s="609"/>
      <c r="H2277" s="611"/>
    </row>
    <row r="2278">
      <c r="A2278" s="612"/>
      <c r="B2278" s="613"/>
      <c r="C2278" s="614"/>
      <c r="D2278" s="615"/>
      <c r="E2278" s="616"/>
      <c r="F2278" s="617"/>
      <c r="G2278" s="616"/>
      <c r="H2278" s="611"/>
    </row>
    <row r="2279">
      <c r="A2279" s="605"/>
      <c r="B2279" s="606"/>
      <c r="C2279" s="607"/>
      <c r="D2279" s="608"/>
      <c r="E2279" s="609"/>
      <c r="F2279" s="610"/>
      <c r="G2279" s="609"/>
      <c r="H2279" s="611"/>
    </row>
    <row r="2280">
      <c r="A2280" s="612"/>
      <c r="B2280" s="613"/>
      <c r="C2280" s="614"/>
      <c r="D2280" s="615"/>
      <c r="E2280" s="616"/>
      <c r="F2280" s="617"/>
      <c r="G2280" s="616"/>
      <c r="H2280" s="611"/>
    </row>
    <row r="2281">
      <c r="A2281" s="605"/>
      <c r="B2281" s="606"/>
      <c r="C2281" s="607"/>
      <c r="D2281" s="608"/>
      <c r="E2281" s="609"/>
      <c r="F2281" s="610"/>
      <c r="G2281" s="609"/>
      <c r="H2281" s="611"/>
    </row>
    <row r="2282">
      <c r="A2282" s="612"/>
      <c r="B2282" s="613"/>
      <c r="C2282" s="614"/>
      <c r="D2282" s="615"/>
      <c r="E2282" s="616"/>
      <c r="F2282" s="617"/>
      <c r="G2282" s="616"/>
      <c r="H2282" s="611"/>
    </row>
    <row r="2283">
      <c r="A2283" s="605"/>
      <c r="B2283" s="606"/>
      <c r="C2283" s="607"/>
      <c r="D2283" s="608"/>
      <c r="E2283" s="609"/>
      <c r="F2283" s="610"/>
      <c r="G2283" s="609"/>
      <c r="H2283" s="611"/>
    </row>
    <row r="2284">
      <c r="A2284" s="612"/>
      <c r="B2284" s="613"/>
      <c r="C2284" s="614"/>
      <c r="D2284" s="615"/>
      <c r="E2284" s="616"/>
      <c r="F2284" s="617"/>
      <c r="G2284" s="616"/>
      <c r="H2284" s="611"/>
    </row>
    <row r="2285">
      <c r="A2285" s="605"/>
      <c r="B2285" s="606"/>
      <c r="C2285" s="607"/>
      <c r="D2285" s="608"/>
      <c r="E2285" s="609"/>
      <c r="F2285" s="610"/>
      <c r="G2285" s="609"/>
      <c r="H2285" s="611"/>
    </row>
    <row r="2286">
      <c r="A2286" s="612"/>
      <c r="B2286" s="613"/>
      <c r="C2286" s="614"/>
      <c r="D2286" s="615"/>
      <c r="E2286" s="616"/>
      <c r="F2286" s="617"/>
      <c r="G2286" s="616"/>
      <c r="H2286" s="611"/>
    </row>
    <row r="2287">
      <c r="A2287" s="605"/>
      <c r="B2287" s="606"/>
      <c r="C2287" s="607"/>
      <c r="D2287" s="608"/>
      <c r="E2287" s="609"/>
      <c r="F2287" s="610"/>
      <c r="G2287" s="609"/>
      <c r="H2287" s="611"/>
    </row>
    <row r="2288">
      <c r="A2288" s="612"/>
      <c r="B2288" s="613"/>
      <c r="C2288" s="614"/>
      <c r="D2288" s="615"/>
      <c r="E2288" s="616"/>
      <c r="F2288" s="617"/>
      <c r="G2288" s="616"/>
      <c r="H2288" s="611"/>
    </row>
    <row r="2289">
      <c r="A2289" s="605"/>
      <c r="B2289" s="606"/>
      <c r="C2289" s="607"/>
      <c r="D2289" s="608"/>
      <c r="E2289" s="609"/>
      <c r="F2289" s="610"/>
      <c r="G2289" s="609"/>
      <c r="H2289" s="611"/>
    </row>
    <row r="2290">
      <c r="A2290" s="612"/>
      <c r="B2290" s="613"/>
      <c r="C2290" s="614"/>
      <c r="D2290" s="615"/>
      <c r="E2290" s="616"/>
      <c r="F2290" s="617"/>
      <c r="G2290" s="616"/>
      <c r="H2290" s="611"/>
    </row>
    <row r="2291">
      <c r="A2291" s="605"/>
      <c r="B2291" s="606"/>
      <c r="C2291" s="607"/>
      <c r="D2291" s="608"/>
      <c r="E2291" s="609"/>
      <c r="F2291" s="610"/>
      <c r="G2291" s="609"/>
      <c r="H2291" s="611"/>
    </row>
    <row r="2292">
      <c r="A2292" s="612"/>
      <c r="B2292" s="613"/>
      <c r="C2292" s="614"/>
      <c r="D2292" s="615"/>
      <c r="E2292" s="616"/>
      <c r="F2292" s="617"/>
      <c r="G2292" s="616"/>
      <c r="H2292" s="611"/>
    </row>
    <row r="2293">
      <c r="A2293" s="605"/>
      <c r="B2293" s="606"/>
      <c r="C2293" s="607"/>
      <c r="D2293" s="608"/>
      <c r="E2293" s="609"/>
      <c r="F2293" s="610"/>
      <c r="G2293" s="609"/>
      <c r="H2293" s="611"/>
    </row>
    <row r="2294">
      <c r="A2294" s="612"/>
      <c r="B2294" s="613"/>
      <c r="C2294" s="614"/>
      <c r="D2294" s="615"/>
      <c r="E2294" s="616"/>
      <c r="F2294" s="617"/>
      <c r="G2294" s="616"/>
      <c r="H2294" s="611"/>
    </row>
    <row r="2295">
      <c r="A2295" s="605"/>
      <c r="B2295" s="606"/>
      <c r="C2295" s="607"/>
      <c r="D2295" s="608"/>
      <c r="E2295" s="609"/>
      <c r="F2295" s="610"/>
      <c r="G2295" s="609"/>
      <c r="H2295" s="611"/>
    </row>
    <row r="2296">
      <c r="A2296" s="612"/>
      <c r="B2296" s="613"/>
      <c r="C2296" s="614"/>
      <c r="D2296" s="615"/>
      <c r="E2296" s="616"/>
      <c r="F2296" s="617"/>
      <c r="G2296" s="616"/>
      <c r="H2296" s="611"/>
    </row>
    <row r="2297">
      <c r="A2297" s="605"/>
      <c r="B2297" s="606"/>
      <c r="C2297" s="607"/>
      <c r="D2297" s="608"/>
      <c r="E2297" s="609"/>
      <c r="F2297" s="610"/>
      <c r="G2297" s="609"/>
      <c r="H2297" s="611"/>
    </row>
    <row r="2298">
      <c r="A2298" s="612"/>
      <c r="B2298" s="613"/>
      <c r="C2298" s="614"/>
      <c r="D2298" s="615"/>
      <c r="E2298" s="616"/>
      <c r="F2298" s="617"/>
      <c r="G2298" s="616"/>
      <c r="H2298" s="611"/>
    </row>
    <row r="2299">
      <c r="A2299" s="605"/>
      <c r="B2299" s="606"/>
      <c r="C2299" s="607"/>
      <c r="D2299" s="608"/>
      <c r="E2299" s="609"/>
      <c r="F2299" s="610"/>
      <c r="G2299" s="609"/>
      <c r="H2299" s="611"/>
    </row>
    <row r="2300">
      <c r="A2300" s="612"/>
      <c r="B2300" s="613"/>
      <c r="C2300" s="614"/>
      <c r="D2300" s="615"/>
      <c r="E2300" s="616"/>
      <c r="F2300" s="617"/>
      <c r="G2300" s="616"/>
      <c r="H2300" s="611"/>
    </row>
    <row r="2301">
      <c r="A2301" s="605"/>
      <c r="B2301" s="606"/>
      <c r="C2301" s="607"/>
      <c r="D2301" s="608"/>
      <c r="E2301" s="609"/>
      <c r="F2301" s="610"/>
      <c r="G2301" s="609"/>
      <c r="H2301" s="611"/>
    </row>
    <row r="2302">
      <c r="A2302" s="612"/>
      <c r="B2302" s="613"/>
      <c r="C2302" s="614"/>
      <c r="D2302" s="615"/>
      <c r="E2302" s="616"/>
      <c r="F2302" s="617"/>
      <c r="G2302" s="616"/>
      <c r="H2302" s="611"/>
    </row>
    <row r="2303">
      <c r="A2303" s="605"/>
      <c r="B2303" s="606"/>
      <c r="C2303" s="607"/>
      <c r="D2303" s="608"/>
      <c r="E2303" s="609"/>
      <c r="F2303" s="610"/>
      <c r="G2303" s="609"/>
      <c r="H2303" s="611"/>
    </row>
    <row r="2304">
      <c r="A2304" s="612"/>
      <c r="B2304" s="613"/>
      <c r="C2304" s="614"/>
      <c r="D2304" s="615"/>
      <c r="E2304" s="616"/>
      <c r="F2304" s="617"/>
      <c r="G2304" s="616"/>
      <c r="H2304" s="611"/>
    </row>
    <row r="2305">
      <c r="A2305" s="605"/>
      <c r="B2305" s="606"/>
      <c r="C2305" s="607"/>
      <c r="D2305" s="608"/>
      <c r="E2305" s="609"/>
      <c r="F2305" s="610"/>
      <c r="G2305" s="609"/>
      <c r="H2305" s="611"/>
    </row>
    <row r="2306">
      <c r="A2306" s="612"/>
      <c r="B2306" s="613"/>
      <c r="C2306" s="614"/>
      <c r="D2306" s="615"/>
      <c r="E2306" s="616"/>
      <c r="F2306" s="617"/>
      <c r="G2306" s="616"/>
      <c r="H2306" s="611"/>
    </row>
    <row r="2307">
      <c r="A2307" s="605"/>
      <c r="B2307" s="606"/>
      <c r="C2307" s="607"/>
      <c r="D2307" s="608"/>
      <c r="E2307" s="609"/>
      <c r="F2307" s="610"/>
      <c r="G2307" s="609"/>
      <c r="H2307" s="611"/>
    </row>
    <row r="2308">
      <c r="A2308" s="612"/>
      <c r="B2308" s="613"/>
      <c r="C2308" s="614"/>
      <c r="D2308" s="615"/>
      <c r="E2308" s="616"/>
      <c r="F2308" s="617"/>
      <c r="G2308" s="616"/>
      <c r="H2308" s="611"/>
    </row>
    <row r="2309">
      <c r="A2309" s="605"/>
      <c r="B2309" s="606"/>
      <c r="C2309" s="607"/>
      <c r="D2309" s="608"/>
      <c r="E2309" s="609"/>
      <c r="F2309" s="610"/>
      <c r="G2309" s="609"/>
      <c r="H2309" s="611"/>
    </row>
    <row r="2310">
      <c r="A2310" s="612"/>
      <c r="B2310" s="613"/>
      <c r="C2310" s="614"/>
      <c r="D2310" s="615"/>
      <c r="E2310" s="616"/>
      <c r="F2310" s="617"/>
      <c r="G2310" s="616"/>
      <c r="H2310" s="611"/>
    </row>
    <row r="2311">
      <c r="A2311" s="605"/>
      <c r="B2311" s="606"/>
      <c r="C2311" s="607"/>
      <c r="D2311" s="608"/>
      <c r="E2311" s="609"/>
      <c r="F2311" s="610"/>
      <c r="G2311" s="609"/>
      <c r="H2311" s="611"/>
    </row>
    <row r="2312">
      <c r="A2312" s="612"/>
      <c r="B2312" s="613"/>
      <c r="C2312" s="614"/>
      <c r="D2312" s="615"/>
      <c r="E2312" s="616"/>
      <c r="F2312" s="617"/>
      <c r="G2312" s="616"/>
      <c r="H2312" s="611"/>
    </row>
    <row r="2313">
      <c r="A2313" s="605"/>
      <c r="B2313" s="606"/>
      <c r="C2313" s="607"/>
      <c r="D2313" s="608"/>
      <c r="E2313" s="609"/>
      <c r="F2313" s="610"/>
      <c r="G2313" s="609"/>
      <c r="H2313" s="611"/>
    </row>
    <row r="2314">
      <c r="A2314" s="612"/>
      <c r="B2314" s="613"/>
      <c r="C2314" s="614"/>
      <c r="D2314" s="615"/>
      <c r="E2314" s="616"/>
      <c r="F2314" s="617"/>
      <c r="G2314" s="616"/>
      <c r="H2314" s="611"/>
    </row>
    <row r="2315">
      <c r="A2315" s="605"/>
      <c r="B2315" s="606"/>
      <c r="C2315" s="607"/>
      <c r="D2315" s="608"/>
      <c r="E2315" s="609"/>
      <c r="F2315" s="610"/>
      <c r="G2315" s="609"/>
      <c r="H2315" s="611"/>
    </row>
    <row r="2316">
      <c r="A2316" s="612"/>
      <c r="B2316" s="613"/>
      <c r="C2316" s="614"/>
      <c r="D2316" s="615"/>
      <c r="E2316" s="616"/>
      <c r="F2316" s="617"/>
      <c r="G2316" s="616"/>
      <c r="H2316" s="611"/>
    </row>
    <row r="2317">
      <c r="A2317" s="605"/>
      <c r="B2317" s="606"/>
      <c r="C2317" s="607"/>
      <c r="D2317" s="608"/>
      <c r="E2317" s="609"/>
      <c r="F2317" s="610"/>
      <c r="G2317" s="609"/>
      <c r="H2317" s="611"/>
    </row>
    <row r="2318">
      <c r="A2318" s="612"/>
      <c r="B2318" s="613"/>
      <c r="C2318" s="614"/>
      <c r="D2318" s="615"/>
      <c r="E2318" s="616"/>
      <c r="F2318" s="617"/>
      <c r="G2318" s="616"/>
      <c r="H2318" s="611"/>
    </row>
    <row r="2319">
      <c r="A2319" s="605"/>
      <c r="B2319" s="606"/>
      <c r="C2319" s="607"/>
      <c r="D2319" s="608"/>
      <c r="E2319" s="609"/>
      <c r="F2319" s="610"/>
      <c r="G2319" s="609"/>
      <c r="H2319" s="611"/>
    </row>
    <row r="2320">
      <c r="A2320" s="612"/>
      <c r="B2320" s="613"/>
      <c r="C2320" s="614"/>
      <c r="D2320" s="615"/>
      <c r="E2320" s="616"/>
      <c r="F2320" s="617"/>
      <c r="G2320" s="616"/>
      <c r="H2320" s="611"/>
    </row>
    <row r="2321">
      <c r="A2321" s="605"/>
      <c r="B2321" s="606"/>
      <c r="C2321" s="607"/>
      <c r="D2321" s="608"/>
      <c r="E2321" s="609"/>
      <c r="F2321" s="610"/>
      <c r="G2321" s="609"/>
      <c r="H2321" s="611"/>
    </row>
    <row r="2322">
      <c r="A2322" s="612"/>
      <c r="B2322" s="613"/>
      <c r="C2322" s="614"/>
      <c r="D2322" s="615"/>
      <c r="E2322" s="616"/>
      <c r="F2322" s="617"/>
      <c r="G2322" s="616"/>
      <c r="H2322" s="611"/>
    </row>
    <row r="2323">
      <c r="A2323" s="605"/>
      <c r="B2323" s="606"/>
      <c r="C2323" s="607"/>
      <c r="D2323" s="608"/>
      <c r="E2323" s="609"/>
      <c r="F2323" s="610"/>
      <c r="G2323" s="609"/>
      <c r="H2323" s="611"/>
    </row>
    <row r="2324">
      <c r="A2324" s="612"/>
      <c r="B2324" s="613"/>
      <c r="C2324" s="614"/>
      <c r="D2324" s="615"/>
      <c r="E2324" s="616"/>
      <c r="F2324" s="617"/>
      <c r="G2324" s="616"/>
      <c r="H2324" s="611"/>
    </row>
    <row r="2325">
      <c r="A2325" s="605"/>
      <c r="B2325" s="606"/>
      <c r="C2325" s="607"/>
      <c r="D2325" s="608"/>
      <c r="E2325" s="609"/>
      <c r="F2325" s="610"/>
      <c r="G2325" s="609"/>
      <c r="H2325" s="611"/>
    </row>
    <row r="2326">
      <c r="A2326" s="612"/>
      <c r="B2326" s="613"/>
      <c r="C2326" s="614"/>
      <c r="D2326" s="615"/>
      <c r="E2326" s="616"/>
      <c r="F2326" s="617"/>
      <c r="G2326" s="616"/>
      <c r="H2326" s="611"/>
    </row>
    <row r="2327">
      <c r="A2327" s="605"/>
      <c r="B2327" s="606"/>
      <c r="C2327" s="607"/>
      <c r="D2327" s="608"/>
      <c r="E2327" s="609"/>
      <c r="F2327" s="610"/>
      <c r="G2327" s="609"/>
      <c r="H2327" s="611"/>
    </row>
    <row r="2328">
      <c r="A2328" s="612"/>
      <c r="B2328" s="613"/>
      <c r="C2328" s="614"/>
      <c r="D2328" s="615"/>
      <c r="E2328" s="616"/>
      <c r="F2328" s="617"/>
      <c r="G2328" s="616"/>
      <c r="H2328" s="611"/>
    </row>
    <row r="2329">
      <c r="A2329" s="605"/>
      <c r="B2329" s="606"/>
      <c r="C2329" s="607"/>
      <c r="D2329" s="608"/>
      <c r="E2329" s="609"/>
      <c r="F2329" s="610"/>
      <c r="G2329" s="609"/>
      <c r="H2329" s="611"/>
    </row>
    <row r="2330">
      <c r="A2330" s="612"/>
      <c r="B2330" s="613"/>
      <c r="C2330" s="614"/>
      <c r="D2330" s="615"/>
      <c r="E2330" s="616"/>
      <c r="F2330" s="617"/>
      <c r="G2330" s="616"/>
      <c r="H2330" s="611"/>
    </row>
    <row r="2331">
      <c r="A2331" s="605"/>
      <c r="B2331" s="606"/>
      <c r="C2331" s="607"/>
      <c r="D2331" s="608"/>
      <c r="E2331" s="609"/>
      <c r="F2331" s="610"/>
      <c r="G2331" s="609"/>
      <c r="H2331" s="611"/>
    </row>
    <row r="2332">
      <c r="A2332" s="612"/>
      <c r="B2332" s="613"/>
      <c r="C2332" s="614"/>
      <c r="D2332" s="615"/>
      <c r="E2332" s="616"/>
      <c r="F2332" s="617"/>
      <c r="G2332" s="616"/>
      <c r="H2332" s="611"/>
    </row>
    <row r="2333">
      <c r="A2333" s="605"/>
      <c r="B2333" s="606"/>
      <c r="C2333" s="607"/>
      <c r="D2333" s="608"/>
      <c r="E2333" s="609"/>
      <c r="F2333" s="610"/>
      <c r="G2333" s="609"/>
      <c r="H2333" s="611"/>
    </row>
    <row r="2334">
      <c r="A2334" s="612"/>
      <c r="B2334" s="613"/>
      <c r="C2334" s="614"/>
      <c r="D2334" s="615"/>
      <c r="E2334" s="616"/>
      <c r="F2334" s="617"/>
      <c r="G2334" s="616"/>
      <c r="H2334" s="611"/>
    </row>
    <row r="2335">
      <c r="A2335" s="605"/>
      <c r="B2335" s="606"/>
      <c r="C2335" s="607"/>
      <c r="D2335" s="608"/>
      <c r="E2335" s="609"/>
      <c r="F2335" s="610"/>
      <c r="G2335" s="609"/>
      <c r="H2335" s="611"/>
    </row>
    <row r="2336">
      <c r="A2336" s="612"/>
      <c r="B2336" s="613"/>
      <c r="C2336" s="614"/>
      <c r="D2336" s="615"/>
      <c r="E2336" s="616"/>
      <c r="F2336" s="617"/>
      <c r="G2336" s="616"/>
      <c r="H2336" s="611"/>
    </row>
    <row r="2337">
      <c r="A2337" s="605"/>
      <c r="B2337" s="606"/>
      <c r="C2337" s="607"/>
      <c r="D2337" s="608"/>
      <c r="E2337" s="609"/>
      <c r="F2337" s="610"/>
      <c r="G2337" s="609"/>
      <c r="H2337" s="611"/>
    </row>
    <row r="2338">
      <c r="A2338" s="612"/>
      <c r="B2338" s="613"/>
      <c r="C2338" s="614"/>
      <c r="D2338" s="615"/>
      <c r="E2338" s="616"/>
      <c r="F2338" s="617"/>
      <c r="G2338" s="616"/>
      <c r="H2338" s="611"/>
    </row>
    <row r="2339">
      <c r="A2339" s="605"/>
      <c r="B2339" s="606"/>
      <c r="C2339" s="607"/>
      <c r="D2339" s="608"/>
      <c r="E2339" s="609"/>
      <c r="F2339" s="610"/>
      <c r="G2339" s="609"/>
      <c r="H2339" s="611"/>
    </row>
    <row r="2340">
      <c r="A2340" s="612"/>
      <c r="B2340" s="613"/>
      <c r="C2340" s="614"/>
      <c r="D2340" s="615"/>
      <c r="E2340" s="616"/>
      <c r="F2340" s="617"/>
      <c r="G2340" s="616"/>
      <c r="H2340" s="611"/>
    </row>
    <row r="2341">
      <c r="A2341" s="605"/>
      <c r="B2341" s="606"/>
      <c r="C2341" s="607"/>
      <c r="D2341" s="608"/>
      <c r="E2341" s="609"/>
      <c r="F2341" s="610"/>
      <c r="G2341" s="609"/>
      <c r="H2341" s="611"/>
    </row>
    <row r="2342">
      <c r="A2342" s="612"/>
      <c r="B2342" s="613"/>
      <c r="C2342" s="614"/>
      <c r="D2342" s="615"/>
      <c r="E2342" s="616"/>
      <c r="F2342" s="617"/>
      <c r="G2342" s="616"/>
      <c r="H2342" s="611"/>
    </row>
    <row r="2343">
      <c r="A2343" s="605"/>
      <c r="B2343" s="606"/>
      <c r="C2343" s="607"/>
      <c r="D2343" s="608"/>
      <c r="E2343" s="609"/>
      <c r="F2343" s="610"/>
      <c r="G2343" s="609"/>
      <c r="H2343" s="611"/>
    </row>
    <row r="2344">
      <c r="A2344" s="612"/>
      <c r="B2344" s="613"/>
      <c r="C2344" s="614"/>
      <c r="D2344" s="615"/>
      <c r="E2344" s="616"/>
      <c r="F2344" s="617"/>
      <c r="G2344" s="616"/>
      <c r="H2344" s="611"/>
    </row>
    <row r="2345">
      <c r="A2345" s="605"/>
      <c r="B2345" s="606"/>
      <c r="C2345" s="607"/>
      <c r="D2345" s="608"/>
      <c r="E2345" s="609"/>
      <c r="F2345" s="610"/>
      <c r="G2345" s="609"/>
      <c r="H2345" s="611"/>
    </row>
    <row r="2346">
      <c r="A2346" s="612"/>
      <c r="B2346" s="613"/>
      <c r="C2346" s="614"/>
      <c r="D2346" s="615"/>
      <c r="E2346" s="616"/>
      <c r="F2346" s="617"/>
      <c r="G2346" s="616"/>
      <c r="H2346" s="611"/>
    </row>
    <row r="2347">
      <c r="A2347" s="605"/>
      <c r="B2347" s="606"/>
      <c r="C2347" s="607"/>
      <c r="D2347" s="608"/>
      <c r="E2347" s="609"/>
      <c r="F2347" s="610"/>
      <c r="G2347" s="609"/>
      <c r="H2347" s="611"/>
    </row>
    <row r="2348">
      <c r="A2348" s="612"/>
      <c r="B2348" s="613"/>
      <c r="C2348" s="614"/>
      <c r="D2348" s="615"/>
      <c r="E2348" s="616"/>
      <c r="F2348" s="617"/>
      <c r="G2348" s="616"/>
      <c r="H2348" s="611"/>
    </row>
    <row r="2349">
      <c r="A2349" s="605"/>
      <c r="B2349" s="606"/>
      <c r="C2349" s="607"/>
      <c r="D2349" s="608"/>
      <c r="E2349" s="609"/>
      <c r="F2349" s="610"/>
      <c r="G2349" s="609"/>
      <c r="H2349" s="611"/>
    </row>
    <row r="2350">
      <c r="A2350" s="612"/>
      <c r="B2350" s="613"/>
      <c r="C2350" s="614"/>
      <c r="D2350" s="615"/>
      <c r="E2350" s="616"/>
      <c r="F2350" s="617"/>
      <c r="G2350" s="616"/>
      <c r="H2350" s="611"/>
    </row>
    <row r="2351">
      <c r="A2351" s="605"/>
      <c r="B2351" s="606"/>
      <c r="C2351" s="607"/>
      <c r="D2351" s="608"/>
      <c r="E2351" s="609"/>
      <c r="F2351" s="610"/>
      <c r="G2351" s="609"/>
      <c r="H2351" s="611"/>
    </row>
    <row r="2352">
      <c r="A2352" s="612"/>
      <c r="B2352" s="613"/>
      <c r="C2352" s="614"/>
      <c r="D2352" s="615"/>
      <c r="E2352" s="616"/>
      <c r="F2352" s="617"/>
      <c r="G2352" s="616"/>
      <c r="H2352" s="611"/>
    </row>
    <row r="2353">
      <c r="A2353" s="605"/>
      <c r="B2353" s="606"/>
      <c r="C2353" s="607"/>
      <c r="D2353" s="608"/>
      <c r="E2353" s="609"/>
      <c r="F2353" s="610"/>
      <c r="G2353" s="609"/>
      <c r="H2353" s="611"/>
    </row>
    <row r="2354">
      <c r="A2354" s="612"/>
      <c r="B2354" s="613"/>
      <c r="C2354" s="614"/>
      <c r="D2354" s="615"/>
      <c r="E2354" s="616"/>
      <c r="F2354" s="617"/>
      <c r="G2354" s="616"/>
      <c r="H2354" s="611"/>
    </row>
    <row r="2355">
      <c r="A2355" s="605"/>
      <c r="B2355" s="606"/>
      <c r="C2355" s="607"/>
      <c r="D2355" s="608"/>
      <c r="E2355" s="609"/>
      <c r="F2355" s="610"/>
      <c r="G2355" s="609"/>
      <c r="H2355" s="611"/>
    </row>
    <row r="2356">
      <c r="A2356" s="612"/>
      <c r="B2356" s="613"/>
      <c r="C2356" s="614"/>
      <c r="D2356" s="615"/>
      <c r="E2356" s="616"/>
      <c r="F2356" s="617"/>
      <c r="G2356" s="616"/>
      <c r="H2356" s="611"/>
    </row>
    <row r="2357">
      <c r="A2357" s="605"/>
      <c r="B2357" s="606"/>
      <c r="C2357" s="607"/>
      <c r="D2357" s="608"/>
      <c r="E2357" s="609"/>
      <c r="F2357" s="610"/>
      <c r="G2357" s="609"/>
      <c r="H2357" s="611"/>
    </row>
    <row r="2358">
      <c r="A2358" s="612"/>
      <c r="B2358" s="613"/>
      <c r="C2358" s="614"/>
      <c r="D2358" s="615"/>
      <c r="E2358" s="616"/>
      <c r="F2358" s="617"/>
      <c r="G2358" s="616"/>
      <c r="H2358" s="611"/>
    </row>
    <row r="2359">
      <c r="A2359" s="605"/>
      <c r="B2359" s="606"/>
      <c r="C2359" s="607"/>
      <c r="D2359" s="608"/>
      <c r="E2359" s="609"/>
      <c r="F2359" s="610"/>
      <c r="G2359" s="609"/>
      <c r="H2359" s="611"/>
    </row>
    <row r="2360">
      <c r="A2360" s="612"/>
      <c r="B2360" s="613"/>
      <c r="C2360" s="614"/>
      <c r="D2360" s="615"/>
      <c r="E2360" s="616"/>
      <c r="F2360" s="617"/>
      <c r="G2360" s="616"/>
      <c r="H2360" s="611"/>
    </row>
    <row r="2361">
      <c r="A2361" s="605"/>
      <c r="B2361" s="606"/>
      <c r="C2361" s="607"/>
      <c r="D2361" s="608"/>
      <c r="E2361" s="609"/>
      <c r="F2361" s="610"/>
      <c r="G2361" s="609"/>
      <c r="H2361" s="611"/>
    </row>
    <row r="2362">
      <c r="A2362" s="612"/>
      <c r="B2362" s="613"/>
      <c r="C2362" s="614"/>
      <c r="D2362" s="615"/>
      <c r="E2362" s="616"/>
      <c r="F2362" s="617"/>
      <c r="G2362" s="616"/>
      <c r="H2362" s="611"/>
    </row>
    <row r="2363">
      <c r="A2363" s="605"/>
      <c r="B2363" s="606"/>
      <c r="C2363" s="607"/>
      <c r="D2363" s="608"/>
      <c r="E2363" s="609"/>
      <c r="F2363" s="610"/>
      <c r="G2363" s="609"/>
      <c r="H2363" s="611"/>
    </row>
    <row r="2364">
      <c r="A2364" s="612"/>
      <c r="B2364" s="613"/>
      <c r="C2364" s="614"/>
      <c r="D2364" s="615"/>
      <c r="E2364" s="616"/>
      <c r="F2364" s="617"/>
      <c r="G2364" s="616"/>
      <c r="H2364" s="611"/>
    </row>
    <row r="2365">
      <c r="A2365" s="605"/>
      <c r="B2365" s="606"/>
      <c r="C2365" s="607"/>
      <c r="D2365" s="608"/>
      <c r="E2365" s="609"/>
      <c r="F2365" s="610"/>
      <c r="G2365" s="609"/>
      <c r="H2365" s="611"/>
    </row>
    <row r="2366">
      <c r="A2366" s="612"/>
      <c r="B2366" s="613"/>
      <c r="C2366" s="614"/>
      <c r="D2366" s="615"/>
      <c r="E2366" s="616"/>
      <c r="F2366" s="617"/>
      <c r="G2366" s="616"/>
      <c r="H2366" s="611"/>
    </row>
    <row r="2367">
      <c r="A2367" s="605"/>
      <c r="B2367" s="606"/>
      <c r="C2367" s="607"/>
      <c r="D2367" s="608"/>
      <c r="E2367" s="609"/>
      <c r="F2367" s="610"/>
      <c r="G2367" s="609"/>
      <c r="H2367" s="611"/>
    </row>
    <row r="2368">
      <c r="A2368" s="612"/>
      <c r="B2368" s="613"/>
      <c r="C2368" s="614"/>
      <c r="D2368" s="615"/>
      <c r="E2368" s="616"/>
      <c r="F2368" s="617"/>
      <c r="G2368" s="616"/>
      <c r="H2368" s="611"/>
    </row>
    <row r="2369">
      <c r="A2369" s="605"/>
      <c r="B2369" s="606"/>
      <c r="C2369" s="607"/>
      <c r="D2369" s="608"/>
      <c r="E2369" s="609"/>
      <c r="F2369" s="610"/>
      <c r="G2369" s="609"/>
      <c r="H2369" s="611"/>
    </row>
    <row r="2370">
      <c r="A2370" s="612"/>
      <c r="B2370" s="613"/>
      <c r="C2370" s="614"/>
      <c r="D2370" s="615"/>
      <c r="E2370" s="616"/>
      <c r="F2370" s="617"/>
      <c r="G2370" s="616"/>
      <c r="H2370" s="611"/>
    </row>
    <row r="2371">
      <c r="A2371" s="605"/>
      <c r="B2371" s="606"/>
      <c r="C2371" s="607"/>
      <c r="D2371" s="608"/>
      <c r="E2371" s="609"/>
      <c r="F2371" s="610"/>
      <c r="G2371" s="609"/>
      <c r="H2371" s="611"/>
    </row>
    <row r="2372">
      <c r="A2372" s="612"/>
      <c r="B2372" s="613"/>
      <c r="C2372" s="614"/>
      <c r="D2372" s="615"/>
      <c r="E2372" s="616"/>
      <c r="F2372" s="617"/>
      <c r="G2372" s="616"/>
      <c r="H2372" s="611"/>
    </row>
    <row r="2373">
      <c r="A2373" s="605"/>
      <c r="B2373" s="606"/>
      <c r="C2373" s="607"/>
      <c r="D2373" s="608"/>
      <c r="E2373" s="609"/>
      <c r="F2373" s="610"/>
      <c r="G2373" s="609"/>
      <c r="H2373" s="611"/>
    </row>
    <row r="2374">
      <c r="A2374" s="612"/>
      <c r="B2374" s="613"/>
      <c r="C2374" s="614"/>
      <c r="D2374" s="615"/>
      <c r="E2374" s="616"/>
      <c r="F2374" s="617"/>
      <c r="G2374" s="616"/>
      <c r="H2374" s="611"/>
    </row>
    <row r="2375">
      <c r="A2375" s="605"/>
      <c r="B2375" s="606"/>
      <c r="C2375" s="607"/>
      <c r="D2375" s="608"/>
      <c r="E2375" s="609"/>
      <c r="F2375" s="610"/>
      <c r="G2375" s="609"/>
      <c r="H2375" s="611"/>
    </row>
    <row r="2376">
      <c r="A2376" s="612"/>
      <c r="B2376" s="613"/>
      <c r="C2376" s="614"/>
      <c r="D2376" s="615"/>
      <c r="E2376" s="616"/>
      <c r="F2376" s="617"/>
      <c r="G2376" s="616"/>
      <c r="H2376" s="611"/>
    </row>
    <row r="2377">
      <c r="A2377" s="605"/>
      <c r="B2377" s="606"/>
      <c r="C2377" s="607"/>
      <c r="D2377" s="608"/>
      <c r="E2377" s="609"/>
      <c r="F2377" s="610"/>
      <c r="G2377" s="609"/>
      <c r="H2377" s="611"/>
    </row>
    <row r="2378">
      <c r="A2378" s="612"/>
      <c r="B2378" s="613"/>
      <c r="C2378" s="614"/>
      <c r="D2378" s="615"/>
      <c r="E2378" s="616"/>
      <c r="F2378" s="617"/>
      <c r="G2378" s="616"/>
      <c r="H2378" s="611"/>
    </row>
    <row r="2379">
      <c r="A2379" s="605"/>
      <c r="B2379" s="606"/>
      <c r="C2379" s="607"/>
      <c r="D2379" s="608"/>
      <c r="E2379" s="609"/>
      <c r="F2379" s="610"/>
      <c r="G2379" s="609"/>
      <c r="H2379" s="611"/>
    </row>
    <row r="2380">
      <c r="A2380" s="612"/>
      <c r="B2380" s="613"/>
      <c r="C2380" s="614"/>
      <c r="D2380" s="615"/>
      <c r="E2380" s="616"/>
      <c r="F2380" s="617"/>
      <c r="G2380" s="616"/>
      <c r="H2380" s="611"/>
    </row>
    <row r="2381">
      <c r="A2381" s="605"/>
      <c r="B2381" s="606"/>
      <c r="C2381" s="607"/>
      <c r="D2381" s="608"/>
      <c r="E2381" s="609"/>
      <c r="F2381" s="610"/>
      <c r="G2381" s="609"/>
      <c r="H2381" s="611"/>
    </row>
    <row r="2382">
      <c r="A2382" s="612"/>
      <c r="B2382" s="613"/>
      <c r="C2382" s="614"/>
      <c r="D2382" s="615"/>
      <c r="E2382" s="616"/>
      <c r="F2382" s="617"/>
      <c r="G2382" s="616"/>
      <c r="H2382" s="611"/>
    </row>
    <row r="2383">
      <c r="A2383" s="605"/>
      <c r="B2383" s="606"/>
      <c r="C2383" s="607"/>
      <c r="D2383" s="608"/>
      <c r="E2383" s="609"/>
      <c r="F2383" s="610"/>
      <c r="G2383" s="609"/>
      <c r="H2383" s="611"/>
    </row>
    <row r="2384">
      <c r="A2384" s="612"/>
      <c r="B2384" s="613"/>
      <c r="C2384" s="614"/>
      <c r="D2384" s="615"/>
      <c r="E2384" s="616"/>
      <c r="F2384" s="617"/>
      <c r="G2384" s="616"/>
      <c r="H2384" s="611"/>
    </row>
    <row r="2385">
      <c r="A2385" s="605"/>
      <c r="B2385" s="606"/>
      <c r="C2385" s="607"/>
      <c r="D2385" s="608"/>
      <c r="E2385" s="609"/>
      <c r="F2385" s="610"/>
      <c r="G2385" s="609"/>
      <c r="H2385" s="611"/>
    </row>
    <row r="2386">
      <c r="A2386" s="612"/>
      <c r="B2386" s="613"/>
      <c r="C2386" s="614"/>
      <c r="D2386" s="615"/>
      <c r="E2386" s="616"/>
      <c r="F2386" s="617"/>
      <c r="G2386" s="616"/>
      <c r="H2386" s="611"/>
    </row>
    <row r="2387">
      <c r="A2387" s="605"/>
      <c r="B2387" s="606"/>
      <c r="C2387" s="607"/>
      <c r="D2387" s="608"/>
      <c r="E2387" s="609"/>
      <c r="F2387" s="610"/>
      <c r="G2387" s="609"/>
      <c r="H2387" s="611"/>
    </row>
    <row r="2388">
      <c r="A2388" s="612"/>
      <c r="B2388" s="613"/>
      <c r="C2388" s="614"/>
      <c r="D2388" s="615"/>
      <c r="E2388" s="616"/>
      <c r="F2388" s="617"/>
      <c r="G2388" s="616"/>
      <c r="H2388" s="611"/>
    </row>
    <row r="2389">
      <c r="A2389" s="605"/>
      <c r="B2389" s="606"/>
      <c r="C2389" s="607"/>
      <c r="D2389" s="608"/>
      <c r="E2389" s="609"/>
      <c r="F2389" s="610"/>
      <c r="G2389" s="609"/>
      <c r="H2389" s="611"/>
    </row>
    <row r="2390">
      <c r="A2390" s="612"/>
      <c r="B2390" s="613"/>
      <c r="C2390" s="614"/>
      <c r="D2390" s="615"/>
      <c r="E2390" s="616"/>
      <c r="F2390" s="617"/>
      <c r="G2390" s="616"/>
      <c r="H2390" s="611"/>
    </row>
    <row r="2391">
      <c r="A2391" s="605"/>
      <c r="B2391" s="606"/>
      <c r="C2391" s="607"/>
      <c r="D2391" s="608"/>
      <c r="E2391" s="609"/>
      <c r="F2391" s="610"/>
      <c r="G2391" s="609"/>
      <c r="H2391" s="611"/>
    </row>
    <row r="2392">
      <c r="A2392" s="612"/>
      <c r="B2392" s="613"/>
      <c r="C2392" s="614"/>
      <c r="D2392" s="615"/>
      <c r="E2392" s="616"/>
      <c r="F2392" s="617"/>
      <c r="G2392" s="616"/>
      <c r="H2392" s="611"/>
    </row>
    <row r="2393">
      <c r="A2393" s="605"/>
      <c r="B2393" s="606"/>
      <c r="C2393" s="607"/>
      <c r="D2393" s="608"/>
      <c r="E2393" s="609"/>
      <c r="F2393" s="610"/>
      <c r="G2393" s="609"/>
      <c r="H2393" s="611"/>
    </row>
    <row r="2394">
      <c r="A2394" s="612"/>
      <c r="B2394" s="613"/>
      <c r="C2394" s="614"/>
      <c r="D2394" s="615"/>
      <c r="E2394" s="616"/>
      <c r="F2394" s="617"/>
      <c r="G2394" s="616"/>
      <c r="H2394" s="611"/>
    </row>
    <row r="2395">
      <c r="A2395" s="605"/>
      <c r="B2395" s="606"/>
      <c r="C2395" s="607"/>
      <c r="D2395" s="608"/>
      <c r="E2395" s="609"/>
      <c r="F2395" s="610"/>
      <c r="G2395" s="609"/>
      <c r="H2395" s="611"/>
    </row>
    <row r="2396">
      <c r="A2396" s="612"/>
      <c r="B2396" s="613"/>
      <c r="C2396" s="614"/>
      <c r="D2396" s="615"/>
      <c r="E2396" s="616"/>
      <c r="F2396" s="617"/>
      <c r="G2396" s="616"/>
      <c r="H2396" s="611"/>
    </row>
    <row r="2397">
      <c r="A2397" s="605"/>
      <c r="B2397" s="606"/>
      <c r="C2397" s="607"/>
      <c r="D2397" s="608"/>
      <c r="E2397" s="609"/>
      <c r="F2397" s="610"/>
      <c r="G2397" s="609"/>
      <c r="H2397" s="611"/>
    </row>
    <row r="2398">
      <c r="A2398" s="612"/>
      <c r="B2398" s="613"/>
      <c r="C2398" s="614"/>
      <c r="D2398" s="615"/>
      <c r="E2398" s="616"/>
      <c r="F2398" s="617"/>
      <c r="G2398" s="616"/>
      <c r="H2398" s="611"/>
    </row>
    <row r="2399">
      <c r="A2399" s="605"/>
      <c r="B2399" s="606"/>
      <c r="C2399" s="607"/>
      <c r="D2399" s="608"/>
      <c r="E2399" s="609"/>
      <c r="F2399" s="610"/>
      <c r="G2399" s="609"/>
      <c r="H2399" s="611"/>
    </row>
    <row r="2400">
      <c r="A2400" s="612"/>
      <c r="B2400" s="613"/>
      <c r="C2400" s="614"/>
      <c r="D2400" s="615"/>
      <c r="E2400" s="616"/>
      <c r="F2400" s="617"/>
      <c r="G2400" s="616"/>
      <c r="H2400" s="611"/>
    </row>
    <row r="2401">
      <c r="A2401" s="605"/>
      <c r="B2401" s="606"/>
      <c r="C2401" s="607"/>
      <c r="D2401" s="608"/>
      <c r="E2401" s="609"/>
      <c r="F2401" s="610"/>
      <c r="G2401" s="609"/>
      <c r="H2401" s="611"/>
    </row>
    <row r="2402">
      <c r="A2402" s="612"/>
      <c r="B2402" s="613"/>
      <c r="C2402" s="614"/>
      <c r="D2402" s="615"/>
      <c r="E2402" s="616"/>
      <c r="F2402" s="617"/>
      <c r="G2402" s="616"/>
      <c r="H2402" s="611"/>
    </row>
    <row r="2403">
      <c r="A2403" s="605"/>
      <c r="B2403" s="606"/>
      <c r="C2403" s="607"/>
      <c r="D2403" s="608"/>
      <c r="E2403" s="609"/>
      <c r="F2403" s="610"/>
      <c r="G2403" s="609"/>
      <c r="H2403" s="611"/>
    </row>
    <row r="2404">
      <c r="A2404" s="612"/>
      <c r="B2404" s="613"/>
      <c r="C2404" s="614"/>
      <c r="D2404" s="615"/>
      <c r="E2404" s="616"/>
      <c r="F2404" s="617"/>
      <c r="G2404" s="616"/>
      <c r="H2404" s="611"/>
    </row>
    <row r="2405">
      <c r="A2405" s="605"/>
      <c r="B2405" s="606"/>
      <c r="C2405" s="607"/>
      <c r="D2405" s="608"/>
      <c r="E2405" s="609"/>
      <c r="F2405" s="610"/>
      <c r="G2405" s="609"/>
      <c r="H2405" s="611"/>
    </row>
    <row r="2406">
      <c r="A2406" s="612"/>
      <c r="B2406" s="613"/>
      <c r="C2406" s="614"/>
      <c r="D2406" s="615"/>
      <c r="E2406" s="616"/>
      <c r="F2406" s="617"/>
      <c r="G2406" s="616"/>
      <c r="H2406" s="611"/>
    </row>
    <row r="2407">
      <c r="A2407" s="605"/>
      <c r="B2407" s="606"/>
      <c r="C2407" s="607"/>
      <c r="D2407" s="608"/>
      <c r="E2407" s="609"/>
      <c r="F2407" s="610"/>
      <c r="G2407" s="609"/>
      <c r="H2407" s="611"/>
    </row>
    <row r="2408">
      <c r="A2408" s="612"/>
      <c r="B2408" s="613"/>
      <c r="C2408" s="614"/>
      <c r="D2408" s="615"/>
      <c r="E2408" s="616"/>
      <c r="F2408" s="617"/>
      <c r="G2408" s="616"/>
      <c r="H2408" s="611"/>
    </row>
    <row r="2409">
      <c r="A2409" s="605"/>
      <c r="B2409" s="606"/>
      <c r="C2409" s="607"/>
      <c r="D2409" s="608"/>
      <c r="E2409" s="609"/>
      <c r="F2409" s="610"/>
      <c r="G2409" s="609"/>
      <c r="H2409" s="611"/>
    </row>
    <row r="2410">
      <c r="A2410" s="612"/>
      <c r="B2410" s="613"/>
      <c r="C2410" s="614"/>
      <c r="D2410" s="615"/>
      <c r="E2410" s="616"/>
      <c r="F2410" s="617"/>
      <c r="G2410" s="616"/>
      <c r="H2410" s="611"/>
    </row>
    <row r="2411">
      <c r="A2411" s="605"/>
      <c r="B2411" s="606"/>
      <c r="C2411" s="607"/>
      <c r="D2411" s="608"/>
      <c r="E2411" s="609"/>
      <c r="F2411" s="610"/>
      <c r="G2411" s="609"/>
      <c r="H2411" s="611"/>
    </row>
    <row r="2412">
      <c r="A2412" s="612"/>
      <c r="B2412" s="613"/>
      <c r="C2412" s="614"/>
      <c r="D2412" s="615"/>
      <c r="E2412" s="616"/>
      <c r="F2412" s="617"/>
      <c r="G2412" s="616"/>
      <c r="H2412" s="611"/>
    </row>
    <row r="2413">
      <c r="A2413" s="605"/>
      <c r="B2413" s="606"/>
      <c r="C2413" s="607"/>
      <c r="D2413" s="608"/>
      <c r="E2413" s="609"/>
      <c r="F2413" s="610"/>
      <c r="G2413" s="609"/>
      <c r="H2413" s="611"/>
    </row>
    <row r="2414">
      <c r="A2414" s="612"/>
      <c r="B2414" s="613"/>
      <c r="C2414" s="614"/>
      <c r="D2414" s="615"/>
      <c r="E2414" s="616"/>
      <c r="F2414" s="617"/>
      <c r="G2414" s="616"/>
      <c r="H2414" s="611"/>
    </row>
    <row r="2415">
      <c r="A2415" s="605"/>
      <c r="B2415" s="606"/>
      <c r="C2415" s="607"/>
      <c r="D2415" s="608"/>
      <c r="E2415" s="609"/>
      <c r="F2415" s="610"/>
      <c r="G2415" s="609"/>
      <c r="H2415" s="611"/>
    </row>
    <row r="2416">
      <c r="A2416" s="612"/>
      <c r="B2416" s="613"/>
      <c r="C2416" s="614"/>
      <c r="D2416" s="615"/>
      <c r="E2416" s="616"/>
      <c r="F2416" s="617"/>
      <c r="G2416" s="616"/>
      <c r="H2416" s="611"/>
    </row>
    <row r="2417">
      <c r="A2417" s="605"/>
      <c r="B2417" s="606"/>
      <c r="C2417" s="607"/>
      <c r="D2417" s="608"/>
      <c r="E2417" s="609"/>
      <c r="F2417" s="610"/>
      <c r="G2417" s="609"/>
      <c r="H2417" s="611"/>
    </row>
    <row r="2418">
      <c r="A2418" s="612"/>
      <c r="B2418" s="613"/>
      <c r="C2418" s="614"/>
      <c r="D2418" s="615"/>
      <c r="E2418" s="616"/>
      <c r="F2418" s="617"/>
      <c r="G2418" s="616"/>
      <c r="H2418" s="611"/>
    </row>
    <row r="2419">
      <c r="A2419" s="605"/>
      <c r="B2419" s="606"/>
      <c r="C2419" s="607"/>
      <c r="D2419" s="608"/>
      <c r="E2419" s="609"/>
      <c r="F2419" s="610"/>
      <c r="G2419" s="609"/>
      <c r="H2419" s="611"/>
    </row>
    <row r="2420">
      <c r="A2420" s="612"/>
      <c r="B2420" s="613"/>
      <c r="C2420" s="614"/>
      <c r="D2420" s="615"/>
      <c r="E2420" s="616"/>
      <c r="F2420" s="617"/>
      <c r="G2420" s="616"/>
      <c r="H2420" s="611"/>
    </row>
    <row r="2421">
      <c r="A2421" s="605"/>
      <c r="B2421" s="606"/>
      <c r="C2421" s="607"/>
      <c r="D2421" s="608"/>
      <c r="E2421" s="609"/>
      <c r="F2421" s="610"/>
      <c r="G2421" s="609"/>
      <c r="H2421" s="611"/>
    </row>
    <row r="2422">
      <c r="A2422" s="612"/>
      <c r="B2422" s="613"/>
      <c r="C2422" s="614"/>
      <c r="D2422" s="615"/>
      <c r="E2422" s="616"/>
      <c r="F2422" s="617"/>
      <c r="G2422" s="616"/>
      <c r="H2422" s="611"/>
    </row>
    <row r="2423">
      <c r="A2423" s="605"/>
      <c r="B2423" s="606"/>
      <c r="C2423" s="607"/>
      <c r="D2423" s="608"/>
      <c r="E2423" s="609"/>
      <c r="F2423" s="610"/>
      <c r="G2423" s="609"/>
      <c r="H2423" s="611"/>
    </row>
    <row r="2424">
      <c r="A2424" s="612"/>
      <c r="B2424" s="613"/>
      <c r="C2424" s="614"/>
      <c r="D2424" s="615"/>
      <c r="E2424" s="616"/>
      <c r="F2424" s="617"/>
      <c r="G2424" s="616"/>
      <c r="H2424" s="611"/>
    </row>
    <row r="2425">
      <c r="A2425" s="605"/>
      <c r="B2425" s="606"/>
      <c r="C2425" s="607"/>
      <c r="D2425" s="608"/>
      <c r="E2425" s="609"/>
      <c r="F2425" s="610"/>
      <c r="G2425" s="609"/>
      <c r="H2425" s="611"/>
    </row>
    <row r="2426">
      <c r="A2426" s="612"/>
      <c r="B2426" s="613"/>
      <c r="C2426" s="614"/>
      <c r="D2426" s="615"/>
      <c r="E2426" s="616"/>
      <c r="F2426" s="617"/>
      <c r="G2426" s="616"/>
      <c r="H2426" s="611"/>
    </row>
    <row r="2427">
      <c r="A2427" s="605"/>
      <c r="B2427" s="606"/>
      <c r="C2427" s="607"/>
      <c r="D2427" s="608"/>
      <c r="E2427" s="609"/>
      <c r="F2427" s="610"/>
      <c r="G2427" s="609"/>
      <c r="H2427" s="611"/>
    </row>
    <row r="2428">
      <c r="A2428" s="612"/>
      <c r="B2428" s="613"/>
      <c r="C2428" s="614"/>
      <c r="D2428" s="615"/>
      <c r="E2428" s="616"/>
      <c r="F2428" s="617"/>
      <c r="G2428" s="616"/>
      <c r="H2428" s="611"/>
    </row>
    <row r="2429">
      <c r="A2429" s="605"/>
      <c r="B2429" s="606"/>
      <c r="C2429" s="607"/>
      <c r="D2429" s="608"/>
      <c r="E2429" s="609"/>
      <c r="F2429" s="610"/>
      <c r="G2429" s="609"/>
      <c r="H2429" s="611"/>
    </row>
    <row r="2430">
      <c r="A2430" s="612"/>
      <c r="B2430" s="613"/>
      <c r="C2430" s="614"/>
      <c r="D2430" s="615"/>
      <c r="E2430" s="616"/>
      <c r="F2430" s="617"/>
      <c r="G2430" s="616"/>
      <c r="H2430" s="611"/>
    </row>
    <row r="2431">
      <c r="A2431" s="605"/>
      <c r="B2431" s="606"/>
      <c r="C2431" s="607"/>
      <c r="D2431" s="608"/>
      <c r="E2431" s="609"/>
      <c r="F2431" s="610"/>
      <c r="G2431" s="609"/>
      <c r="H2431" s="611"/>
    </row>
    <row r="2432">
      <c r="A2432" s="612"/>
      <c r="B2432" s="613"/>
      <c r="C2432" s="614"/>
      <c r="D2432" s="615"/>
      <c r="E2432" s="616"/>
      <c r="F2432" s="617"/>
      <c r="G2432" s="616"/>
      <c r="H2432" s="611"/>
    </row>
    <row r="2433">
      <c r="A2433" s="605"/>
      <c r="B2433" s="606"/>
      <c r="C2433" s="607"/>
      <c r="D2433" s="608"/>
      <c r="E2433" s="609"/>
      <c r="F2433" s="610"/>
      <c r="G2433" s="609"/>
      <c r="H2433" s="611"/>
    </row>
    <row r="2434">
      <c r="A2434" s="612"/>
      <c r="B2434" s="613"/>
      <c r="C2434" s="614"/>
      <c r="D2434" s="615"/>
      <c r="E2434" s="616"/>
      <c r="F2434" s="617"/>
      <c r="G2434" s="616"/>
      <c r="H2434" s="611"/>
    </row>
    <row r="2435">
      <c r="A2435" s="605"/>
      <c r="B2435" s="606"/>
      <c r="C2435" s="607"/>
      <c r="D2435" s="608"/>
      <c r="E2435" s="609"/>
      <c r="F2435" s="610"/>
      <c r="G2435" s="609"/>
      <c r="H2435" s="611"/>
    </row>
    <row r="2436">
      <c r="A2436" s="612"/>
      <c r="B2436" s="613"/>
      <c r="C2436" s="614"/>
      <c r="D2436" s="615"/>
      <c r="E2436" s="616"/>
      <c r="F2436" s="617"/>
      <c r="G2436" s="616"/>
      <c r="H2436" s="611"/>
    </row>
    <row r="2437">
      <c r="A2437" s="605"/>
      <c r="B2437" s="606"/>
      <c r="C2437" s="607"/>
      <c r="D2437" s="608"/>
      <c r="E2437" s="609"/>
      <c r="F2437" s="610"/>
      <c r="G2437" s="609"/>
      <c r="H2437" s="611"/>
    </row>
    <row r="2438">
      <c r="A2438" s="612"/>
      <c r="B2438" s="613"/>
      <c r="C2438" s="614"/>
      <c r="D2438" s="615"/>
      <c r="E2438" s="616"/>
      <c r="F2438" s="617"/>
      <c r="G2438" s="616"/>
      <c r="H2438" s="611"/>
    </row>
    <row r="2439">
      <c r="A2439" s="605"/>
      <c r="B2439" s="606"/>
      <c r="C2439" s="607"/>
      <c r="D2439" s="608"/>
      <c r="E2439" s="609"/>
      <c r="F2439" s="610"/>
      <c r="G2439" s="609"/>
      <c r="H2439" s="611"/>
    </row>
    <row r="2440">
      <c r="A2440" s="612"/>
      <c r="B2440" s="613"/>
      <c r="C2440" s="614"/>
      <c r="D2440" s="615"/>
      <c r="E2440" s="616"/>
      <c r="F2440" s="617"/>
      <c r="G2440" s="616"/>
      <c r="H2440" s="611"/>
    </row>
    <row r="2441">
      <c r="A2441" s="605"/>
      <c r="B2441" s="606"/>
      <c r="C2441" s="607"/>
      <c r="D2441" s="608"/>
      <c r="E2441" s="609"/>
      <c r="F2441" s="610"/>
      <c r="G2441" s="609"/>
      <c r="H2441" s="611"/>
    </row>
    <row r="2442">
      <c r="A2442" s="612"/>
      <c r="B2442" s="613"/>
      <c r="C2442" s="614"/>
      <c r="D2442" s="615"/>
      <c r="E2442" s="616"/>
      <c r="F2442" s="617"/>
      <c r="G2442" s="616"/>
      <c r="H2442" s="611"/>
    </row>
    <row r="2443">
      <c r="A2443" s="605"/>
      <c r="B2443" s="606"/>
      <c r="C2443" s="607"/>
      <c r="D2443" s="608"/>
      <c r="E2443" s="609"/>
      <c r="F2443" s="610"/>
      <c r="G2443" s="609"/>
      <c r="H2443" s="611"/>
    </row>
    <row r="2444">
      <c r="A2444" s="612"/>
      <c r="B2444" s="613"/>
      <c r="C2444" s="614"/>
      <c r="D2444" s="615"/>
      <c r="E2444" s="616"/>
      <c r="F2444" s="617"/>
      <c r="G2444" s="616"/>
      <c r="H2444" s="611"/>
    </row>
    <row r="2445">
      <c r="A2445" s="605"/>
      <c r="B2445" s="606"/>
      <c r="C2445" s="607"/>
      <c r="D2445" s="608"/>
      <c r="E2445" s="609"/>
      <c r="F2445" s="610"/>
      <c r="G2445" s="609"/>
      <c r="H2445" s="611"/>
    </row>
    <row r="2446">
      <c r="A2446" s="612"/>
      <c r="B2446" s="613"/>
      <c r="C2446" s="614"/>
      <c r="D2446" s="615"/>
      <c r="E2446" s="616"/>
      <c r="F2446" s="617"/>
      <c r="G2446" s="616"/>
      <c r="H2446" s="611"/>
    </row>
    <row r="2447">
      <c r="A2447" s="605"/>
      <c r="B2447" s="606"/>
      <c r="C2447" s="607"/>
      <c r="D2447" s="608"/>
      <c r="E2447" s="609"/>
      <c r="F2447" s="610"/>
      <c r="G2447" s="609"/>
      <c r="H2447" s="611"/>
    </row>
    <row r="2448">
      <c r="A2448" s="612"/>
      <c r="B2448" s="613"/>
      <c r="C2448" s="614"/>
      <c r="D2448" s="615"/>
      <c r="E2448" s="616"/>
      <c r="F2448" s="617"/>
      <c r="G2448" s="616"/>
      <c r="H2448" s="611"/>
    </row>
    <row r="2449">
      <c r="A2449" s="605"/>
      <c r="B2449" s="606"/>
      <c r="C2449" s="607"/>
      <c r="D2449" s="608"/>
      <c r="E2449" s="609"/>
      <c r="F2449" s="610"/>
      <c r="G2449" s="609"/>
      <c r="H2449" s="611"/>
    </row>
    <row r="2450">
      <c r="A2450" s="612"/>
      <c r="B2450" s="613"/>
      <c r="C2450" s="614"/>
      <c r="D2450" s="615"/>
      <c r="E2450" s="616"/>
      <c r="F2450" s="617"/>
      <c r="G2450" s="616"/>
      <c r="H2450" s="611"/>
    </row>
    <row r="2451">
      <c r="A2451" s="605"/>
      <c r="B2451" s="606"/>
      <c r="C2451" s="607"/>
      <c r="D2451" s="608"/>
      <c r="E2451" s="609"/>
      <c r="F2451" s="610"/>
      <c r="G2451" s="609"/>
      <c r="H2451" s="611"/>
    </row>
    <row r="2452">
      <c r="A2452" s="612"/>
      <c r="B2452" s="613"/>
      <c r="C2452" s="614"/>
      <c r="D2452" s="615"/>
      <c r="E2452" s="616"/>
      <c r="F2452" s="617"/>
      <c r="G2452" s="616"/>
      <c r="H2452" s="611"/>
    </row>
    <row r="2453">
      <c r="A2453" s="605"/>
      <c r="B2453" s="606"/>
      <c r="C2453" s="607"/>
      <c r="D2453" s="608"/>
      <c r="E2453" s="609"/>
      <c r="F2453" s="610"/>
      <c r="G2453" s="609"/>
      <c r="H2453" s="611"/>
    </row>
    <row r="2454">
      <c r="A2454" s="612"/>
      <c r="B2454" s="613"/>
      <c r="C2454" s="614"/>
      <c r="D2454" s="615"/>
      <c r="E2454" s="616"/>
      <c r="F2454" s="617"/>
      <c r="G2454" s="616"/>
      <c r="H2454" s="611"/>
    </row>
    <row r="2455">
      <c r="A2455" s="605"/>
      <c r="B2455" s="606"/>
      <c r="C2455" s="607"/>
      <c r="D2455" s="608"/>
      <c r="E2455" s="609"/>
      <c r="F2455" s="610"/>
      <c r="G2455" s="609"/>
      <c r="H2455" s="611"/>
    </row>
    <row r="2456">
      <c r="A2456" s="612"/>
      <c r="B2456" s="613"/>
      <c r="C2456" s="614"/>
      <c r="D2456" s="615"/>
      <c r="E2456" s="616"/>
      <c r="F2456" s="617"/>
      <c r="G2456" s="616"/>
      <c r="H2456" s="611"/>
    </row>
    <row r="2457">
      <c r="A2457" s="605"/>
      <c r="B2457" s="606"/>
      <c r="C2457" s="607"/>
      <c r="D2457" s="608"/>
      <c r="E2457" s="609"/>
      <c r="F2457" s="610"/>
      <c r="G2457" s="609"/>
      <c r="H2457" s="611"/>
    </row>
    <row r="2458">
      <c r="A2458" s="612"/>
      <c r="B2458" s="613"/>
      <c r="C2458" s="614"/>
      <c r="D2458" s="615"/>
      <c r="E2458" s="616"/>
      <c r="F2458" s="617"/>
      <c r="G2458" s="616"/>
      <c r="H2458" s="611"/>
    </row>
    <row r="2459">
      <c r="A2459" s="605"/>
      <c r="B2459" s="606"/>
      <c r="C2459" s="607"/>
      <c r="D2459" s="608"/>
      <c r="E2459" s="609"/>
      <c r="F2459" s="610"/>
      <c r="G2459" s="609"/>
      <c r="H2459" s="611"/>
    </row>
    <row r="2460">
      <c r="A2460" s="612"/>
      <c r="B2460" s="613"/>
      <c r="C2460" s="614"/>
      <c r="D2460" s="615"/>
      <c r="E2460" s="616"/>
      <c r="F2460" s="617"/>
      <c r="G2460" s="616"/>
      <c r="H2460" s="611"/>
    </row>
    <row r="2461">
      <c r="A2461" s="605"/>
      <c r="B2461" s="606"/>
      <c r="C2461" s="607"/>
      <c r="D2461" s="608"/>
      <c r="E2461" s="609"/>
      <c r="F2461" s="610"/>
      <c r="G2461" s="609"/>
      <c r="H2461" s="611"/>
    </row>
    <row r="2462">
      <c r="A2462" s="612"/>
      <c r="B2462" s="613"/>
      <c r="C2462" s="614"/>
      <c r="D2462" s="615"/>
      <c r="E2462" s="616"/>
      <c r="F2462" s="617"/>
      <c r="G2462" s="616"/>
      <c r="H2462" s="611"/>
    </row>
    <row r="2463">
      <c r="A2463" s="605"/>
      <c r="B2463" s="606"/>
      <c r="C2463" s="607"/>
      <c r="D2463" s="608"/>
      <c r="E2463" s="609"/>
      <c r="F2463" s="610"/>
      <c r="G2463" s="609"/>
      <c r="H2463" s="611"/>
    </row>
    <row r="2464">
      <c r="A2464" s="612"/>
      <c r="B2464" s="613"/>
      <c r="C2464" s="614"/>
      <c r="D2464" s="615"/>
      <c r="E2464" s="616"/>
      <c r="F2464" s="617"/>
      <c r="G2464" s="616"/>
      <c r="H2464" s="611"/>
    </row>
    <row r="2465">
      <c r="A2465" s="605"/>
      <c r="B2465" s="606"/>
      <c r="C2465" s="607"/>
      <c r="D2465" s="608"/>
      <c r="E2465" s="609"/>
      <c r="F2465" s="610"/>
      <c r="G2465" s="609"/>
      <c r="H2465" s="611"/>
    </row>
    <row r="2466">
      <c r="A2466" s="612"/>
      <c r="B2466" s="613"/>
      <c r="C2466" s="614"/>
      <c r="D2466" s="615"/>
      <c r="E2466" s="616"/>
      <c r="F2466" s="617"/>
      <c r="G2466" s="616"/>
      <c r="H2466" s="611"/>
    </row>
    <row r="2467">
      <c r="A2467" s="605"/>
      <c r="B2467" s="606"/>
      <c r="C2467" s="607"/>
      <c r="D2467" s="608"/>
      <c r="E2467" s="609"/>
      <c r="F2467" s="610"/>
      <c r="G2467" s="609"/>
      <c r="H2467" s="611"/>
    </row>
    <row r="2468">
      <c r="A2468" s="612"/>
      <c r="B2468" s="613"/>
      <c r="C2468" s="614"/>
      <c r="D2468" s="615"/>
      <c r="E2468" s="616"/>
      <c r="F2468" s="617"/>
      <c r="G2468" s="616"/>
      <c r="H2468" s="611"/>
    </row>
    <row r="2469">
      <c r="A2469" s="605"/>
      <c r="B2469" s="606"/>
      <c r="C2469" s="607"/>
      <c r="D2469" s="608"/>
      <c r="E2469" s="609"/>
      <c r="F2469" s="610"/>
      <c r="G2469" s="609"/>
      <c r="H2469" s="611"/>
    </row>
    <row r="2470">
      <c r="A2470" s="612"/>
      <c r="B2470" s="613"/>
      <c r="C2470" s="614"/>
      <c r="D2470" s="615"/>
      <c r="E2470" s="616"/>
      <c r="F2470" s="617"/>
      <c r="G2470" s="616"/>
      <c r="H2470" s="611"/>
    </row>
    <row r="2471">
      <c r="A2471" s="605"/>
      <c r="B2471" s="606"/>
      <c r="C2471" s="607"/>
      <c r="D2471" s="608"/>
      <c r="E2471" s="609"/>
      <c r="F2471" s="610"/>
      <c r="G2471" s="609"/>
      <c r="H2471" s="611"/>
    </row>
    <row r="2472">
      <c r="A2472" s="612"/>
      <c r="B2472" s="613"/>
      <c r="C2472" s="614"/>
      <c r="D2472" s="615"/>
      <c r="E2472" s="616"/>
      <c r="F2472" s="617"/>
      <c r="G2472" s="616"/>
      <c r="H2472" s="611"/>
    </row>
    <row r="2473">
      <c r="A2473" s="605"/>
      <c r="B2473" s="606"/>
      <c r="C2473" s="607"/>
      <c r="D2473" s="608"/>
      <c r="E2473" s="609"/>
      <c r="F2473" s="610"/>
      <c r="G2473" s="609"/>
      <c r="H2473" s="611"/>
    </row>
    <row r="2474">
      <c r="A2474" s="612"/>
      <c r="B2474" s="613"/>
      <c r="C2474" s="614"/>
      <c r="D2474" s="615"/>
      <c r="E2474" s="616"/>
      <c r="F2474" s="617"/>
      <c r="G2474" s="616"/>
      <c r="H2474" s="611"/>
    </row>
    <row r="2475">
      <c r="A2475" s="605"/>
      <c r="B2475" s="606"/>
      <c r="C2475" s="607"/>
      <c r="D2475" s="608"/>
      <c r="E2475" s="609"/>
      <c r="F2475" s="610"/>
      <c r="G2475" s="609"/>
      <c r="H2475" s="611"/>
    </row>
    <row r="2476">
      <c r="A2476" s="612"/>
      <c r="B2476" s="613"/>
      <c r="C2476" s="614"/>
      <c r="D2476" s="615"/>
      <c r="E2476" s="616"/>
      <c r="F2476" s="617"/>
      <c r="G2476" s="616"/>
      <c r="H2476" s="611"/>
    </row>
    <row r="2477">
      <c r="A2477" s="605"/>
      <c r="B2477" s="606"/>
      <c r="C2477" s="607"/>
      <c r="D2477" s="608"/>
      <c r="E2477" s="609"/>
      <c r="F2477" s="610"/>
      <c r="G2477" s="609"/>
      <c r="H2477" s="611"/>
    </row>
    <row r="2478">
      <c r="A2478" s="612"/>
      <c r="B2478" s="613"/>
      <c r="C2478" s="614"/>
      <c r="D2478" s="615"/>
      <c r="E2478" s="616"/>
      <c r="F2478" s="617"/>
      <c r="G2478" s="616"/>
      <c r="H2478" s="611"/>
    </row>
    <row r="2479">
      <c r="A2479" s="605"/>
      <c r="B2479" s="606"/>
      <c r="C2479" s="607"/>
      <c r="D2479" s="608"/>
      <c r="E2479" s="609"/>
      <c r="F2479" s="610"/>
      <c r="G2479" s="609"/>
      <c r="H2479" s="611"/>
    </row>
    <row r="2480">
      <c r="A2480" s="612"/>
      <c r="B2480" s="613"/>
      <c r="C2480" s="614"/>
      <c r="D2480" s="615"/>
      <c r="E2480" s="616"/>
      <c r="F2480" s="617"/>
      <c r="G2480" s="616"/>
      <c r="H2480" s="611"/>
    </row>
    <row r="2481">
      <c r="A2481" s="605"/>
      <c r="B2481" s="606"/>
      <c r="C2481" s="607"/>
      <c r="D2481" s="608"/>
      <c r="E2481" s="609"/>
      <c r="F2481" s="610"/>
      <c r="G2481" s="609"/>
      <c r="H2481" s="611"/>
    </row>
    <row r="2482">
      <c r="A2482" s="612"/>
      <c r="B2482" s="613"/>
      <c r="C2482" s="614"/>
      <c r="D2482" s="615"/>
      <c r="E2482" s="616"/>
      <c r="F2482" s="617"/>
      <c r="G2482" s="616"/>
      <c r="H2482" s="611"/>
    </row>
    <row r="2483">
      <c r="A2483" s="605"/>
      <c r="B2483" s="606"/>
      <c r="C2483" s="607"/>
      <c r="D2483" s="608"/>
      <c r="E2483" s="609"/>
      <c r="F2483" s="610"/>
      <c r="G2483" s="609"/>
      <c r="H2483" s="611"/>
    </row>
    <row r="2484">
      <c r="A2484" s="612"/>
      <c r="B2484" s="613"/>
      <c r="C2484" s="614"/>
      <c r="D2484" s="615"/>
      <c r="E2484" s="616"/>
      <c r="F2484" s="617"/>
      <c r="G2484" s="616"/>
      <c r="H2484" s="611"/>
    </row>
    <row r="2485">
      <c r="A2485" s="605"/>
      <c r="B2485" s="606"/>
      <c r="C2485" s="607"/>
      <c r="D2485" s="608"/>
      <c r="E2485" s="609"/>
      <c r="F2485" s="610"/>
      <c r="G2485" s="609"/>
      <c r="H2485" s="611"/>
    </row>
    <row r="2486">
      <c r="A2486" s="612"/>
      <c r="B2486" s="613"/>
      <c r="C2486" s="614"/>
      <c r="D2486" s="615"/>
      <c r="E2486" s="616"/>
      <c r="F2486" s="617"/>
      <c r="G2486" s="616"/>
      <c r="H2486" s="611"/>
    </row>
    <row r="2487">
      <c r="A2487" s="605"/>
      <c r="B2487" s="606"/>
      <c r="C2487" s="607"/>
      <c r="D2487" s="608"/>
      <c r="E2487" s="609"/>
      <c r="F2487" s="610"/>
      <c r="G2487" s="609"/>
      <c r="H2487" s="611"/>
    </row>
    <row r="2488">
      <c r="A2488" s="612"/>
      <c r="B2488" s="613"/>
      <c r="C2488" s="614"/>
      <c r="D2488" s="615"/>
      <c r="E2488" s="616"/>
      <c r="F2488" s="617"/>
      <c r="G2488" s="616"/>
      <c r="H2488" s="611"/>
    </row>
    <row r="2489">
      <c r="A2489" s="605"/>
      <c r="B2489" s="606"/>
      <c r="C2489" s="607"/>
      <c r="D2489" s="608"/>
      <c r="E2489" s="609"/>
      <c r="F2489" s="610"/>
      <c r="G2489" s="609"/>
      <c r="H2489" s="611"/>
    </row>
    <row r="2490">
      <c r="A2490" s="612"/>
      <c r="B2490" s="613"/>
      <c r="C2490" s="614"/>
      <c r="D2490" s="615"/>
      <c r="E2490" s="616"/>
      <c r="F2490" s="617"/>
      <c r="G2490" s="616"/>
      <c r="H2490" s="611"/>
    </row>
    <row r="2491">
      <c r="A2491" s="605"/>
      <c r="B2491" s="606"/>
      <c r="C2491" s="607"/>
      <c r="D2491" s="608"/>
      <c r="E2491" s="609"/>
      <c r="F2491" s="610"/>
      <c r="G2491" s="609"/>
      <c r="H2491" s="611"/>
    </row>
    <row r="2492">
      <c r="A2492" s="612"/>
      <c r="B2492" s="613"/>
      <c r="C2492" s="614"/>
      <c r="D2492" s="615"/>
      <c r="E2492" s="616"/>
      <c r="F2492" s="617"/>
      <c r="G2492" s="616"/>
      <c r="H2492" s="611"/>
    </row>
    <row r="2493">
      <c r="A2493" s="605"/>
      <c r="B2493" s="606"/>
      <c r="C2493" s="607"/>
      <c r="D2493" s="608"/>
      <c r="E2493" s="609"/>
      <c r="F2493" s="610"/>
      <c r="G2493" s="609"/>
      <c r="H2493" s="611"/>
    </row>
    <row r="2494">
      <c r="A2494" s="612"/>
      <c r="B2494" s="613"/>
      <c r="C2494" s="614"/>
      <c r="D2494" s="615"/>
      <c r="E2494" s="616"/>
      <c r="F2494" s="617"/>
      <c r="G2494" s="616"/>
      <c r="H2494" s="611"/>
    </row>
    <row r="2495">
      <c r="A2495" s="605"/>
      <c r="B2495" s="606"/>
      <c r="C2495" s="607"/>
      <c r="D2495" s="608"/>
      <c r="E2495" s="609"/>
      <c r="F2495" s="610"/>
      <c r="G2495" s="609"/>
      <c r="H2495" s="611"/>
    </row>
    <row r="2496">
      <c r="A2496" s="612"/>
      <c r="B2496" s="613"/>
      <c r="C2496" s="614"/>
      <c r="D2496" s="615"/>
      <c r="E2496" s="616"/>
      <c r="F2496" s="617"/>
      <c r="G2496" s="616"/>
      <c r="H2496" s="611"/>
    </row>
    <row r="2497">
      <c r="A2497" s="605"/>
      <c r="B2497" s="606"/>
      <c r="C2497" s="607"/>
      <c r="D2497" s="608"/>
      <c r="E2497" s="609"/>
      <c r="F2497" s="610"/>
      <c r="G2497" s="609"/>
      <c r="H2497" s="611"/>
    </row>
    <row r="2498">
      <c r="A2498" s="612"/>
      <c r="B2498" s="613"/>
      <c r="C2498" s="614"/>
      <c r="D2498" s="615"/>
      <c r="E2498" s="616"/>
      <c r="F2498" s="617"/>
      <c r="G2498" s="616"/>
      <c r="H2498" s="611"/>
    </row>
    <row r="2499">
      <c r="A2499" s="605"/>
      <c r="B2499" s="606"/>
      <c r="C2499" s="607"/>
      <c r="D2499" s="608"/>
      <c r="E2499" s="609"/>
      <c r="F2499" s="610"/>
      <c r="G2499" s="609"/>
      <c r="H2499" s="611"/>
    </row>
    <row r="2500">
      <c r="A2500" s="612"/>
      <c r="B2500" s="613"/>
      <c r="C2500" s="614"/>
      <c r="D2500" s="615"/>
      <c r="E2500" s="616"/>
      <c r="F2500" s="617"/>
      <c r="G2500" s="616"/>
      <c r="H2500" s="611"/>
    </row>
    <row r="2501">
      <c r="A2501" s="605"/>
      <c r="B2501" s="606"/>
      <c r="C2501" s="607"/>
      <c r="D2501" s="608"/>
      <c r="E2501" s="609"/>
      <c r="F2501" s="610"/>
      <c r="G2501" s="609"/>
      <c r="H2501" s="611"/>
    </row>
    <row r="2502">
      <c r="A2502" s="612"/>
      <c r="B2502" s="613"/>
      <c r="C2502" s="614"/>
      <c r="D2502" s="615"/>
      <c r="E2502" s="616"/>
      <c r="F2502" s="617"/>
      <c r="G2502" s="616"/>
      <c r="H2502" s="611"/>
    </row>
    <row r="2503">
      <c r="A2503" s="605"/>
      <c r="B2503" s="606"/>
      <c r="C2503" s="607"/>
      <c r="D2503" s="608"/>
      <c r="E2503" s="609"/>
      <c r="F2503" s="610"/>
      <c r="G2503" s="609"/>
      <c r="H2503" s="611"/>
    </row>
    <row r="2504">
      <c r="A2504" s="612"/>
      <c r="B2504" s="613"/>
      <c r="C2504" s="614"/>
      <c r="D2504" s="615"/>
      <c r="E2504" s="616"/>
      <c r="F2504" s="617"/>
      <c r="G2504" s="616"/>
      <c r="H2504" s="611"/>
    </row>
    <row r="2505">
      <c r="A2505" s="605"/>
      <c r="B2505" s="606"/>
      <c r="C2505" s="607"/>
      <c r="D2505" s="608"/>
      <c r="E2505" s="609"/>
      <c r="F2505" s="610"/>
      <c r="G2505" s="609"/>
      <c r="H2505" s="611"/>
    </row>
    <row r="2506">
      <c r="A2506" s="612"/>
      <c r="B2506" s="613"/>
      <c r="C2506" s="614"/>
      <c r="D2506" s="615"/>
      <c r="E2506" s="616"/>
      <c r="F2506" s="617"/>
      <c r="G2506" s="616"/>
      <c r="H2506" s="611"/>
    </row>
    <row r="2507">
      <c r="A2507" s="605"/>
      <c r="B2507" s="606"/>
      <c r="C2507" s="607"/>
      <c r="D2507" s="608"/>
      <c r="E2507" s="609"/>
      <c r="F2507" s="610"/>
      <c r="G2507" s="609"/>
      <c r="H2507" s="611"/>
    </row>
    <row r="2508">
      <c r="A2508" s="612"/>
      <c r="B2508" s="613"/>
      <c r="C2508" s="614"/>
      <c r="D2508" s="615"/>
      <c r="E2508" s="616"/>
      <c r="F2508" s="617"/>
      <c r="G2508" s="616"/>
      <c r="H2508" s="611"/>
    </row>
    <row r="2509">
      <c r="A2509" s="605"/>
      <c r="B2509" s="606"/>
      <c r="C2509" s="607"/>
      <c r="D2509" s="608"/>
      <c r="E2509" s="609"/>
      <c r="F2509" s="610"/>
      <c r="G2509" s="609"/>
      <c r="H2509" s="611"/>
    </row>
    <row r="2510">
      <c r="A2510" s="612"/>
      <c r="B2510" s="613"/>
      <c r="C2510" s="614"/>
      <c r="D2510" s="615"/>
      <c r="E2510" s="616"/>
      <c r="F2510" s="617"/>
      <c r="G2510" s="616"/>
      <c r="H2510" s="611"/>
    </row>
    <row r="2511">
      <c r="A2511" s="605"/>
      <c r="B2511" s="606"/>
      <c r="C2511" s="607"/>
      <c r="D2511" s="608"/>
      <c r="E2511" s="609"/>
      <c r="F2511" s="610"/>
      <c r="G2511" s="609"/>
      <c r="H2511" s="611"/>
    </row>
    <row r="2512">
      <c r="A2512" s="612"/>
      <c r="B2512" s="613"/>
      <c r="C2512" s="614"/>
      <c r="D2512" s="615"/>
      <c r="E2512" s="616"/>
      <c r="F2512" s="617"/>
      <c r="G2512" s="616"/>
      <c r="H2512" s="611"/>
    </row>
    <row r="2513">
      <c r="A2513" s="605"/>
      <c r="B2513" s="606"/>
      <c r="C2513" s="607"/>
      <c r="D2513" s="608"/>
      <c r="E2513" s="609"/>
      <c r="F2513" s="610"/>
      <c r="G2513" s="609"/>
      <c r="H2513" s="611"/>
    </row>
    <row r="2514">
      <c r="A2514" s="612"/>
      <c r="B2514" s="613"/>
      <c r="C2514" s="614"/>
      <c r="D2514" s="615"/>
      <c r="E2514" s="616"/>
      <c r="F2514" s="617"/>
      <c r="G2514" s="616"/>
      <c r="H2514" s="611"/>
    </row>
    <row r="2515">
      <c r="A2515" s="605"/>
      <c r="B2515" s="606"/>
      <c r="C2515" s="607"/>
      <c r="D2515" s="608"/>
      <c r="E2515" s="609"/>
      <c r="F2515" s="610"/>
      <c r="G2515" s="609"/>
      <c r="H2515" s="611"/>
    </row>
    <row r="2516">
      <c r="A2516" s="612"/>
      <c r="B2516" s="613"/>
      <c r="C2516" s="614"/>
      <c r="D2516" s="615"/>
      <c r="E2516" s="616"/>
      <c r="F2516" s="617"/>
      <c r="G2516" s="616"/>
      <c r="H2516" s="611"/>
    </row>
    <row r="2517">
      <c r="A2517" s="605"/>
      <c r="B2517" s="606"/>
      <c r="C2517" s="607"/>
      <c r="D2517" s="608"/>
      <c r="E2517" s="609"/>
      <c r="F2517" s="610"/>
      <c r="G2517" s="609"/>
      <c r="H2517" s="611"/>
    </row>
    <row r="2518">
      <c r="A2518" s="612"/>
      <c r="B2518" s="613"/>
      <c r="C2518" s="614"/>
      <c r="D2518" s="615"/>
      <c r="E2518" s="616"/>
      <c r="F2518" s="617"/>
      <c r="G2518" s="616"/>
      <c r="H2518" s="611"/>
    </row>
    <row r="2519">
      <c r="A2519" s="605"/>
      <c r="B2519" s="606"/>
      <c r="C2519" s="607"/>
      <c r="D2519" s="608"/>
      <c r="E2519" s="609"/>
      <c r="F2519" s="610"/>
      <c r="G2519" s="609"/>
      <c r="H2519" s="611"/>
    </row>
    <row r="2520">
      <c r="A2520" s="612"/>
      <c r="B2520" s="613"/>
      <c r="C2520" s="614"/>
      <c r="D2520" s="615"/>
      <c r="E2520" s="616"/>
      <c r="F2520" s="617"/>
      <c r="G2520" s="616"/>
      <c r="H2520" s="611"/>
    </row>
    <row r="2521">
      <c r="A2521" s="605"/>
      <c r="B2521" s="606"/>
      <c r="C2521" s="607"/>
      <c r="D2521" s="608"/>
      <c r="E2521" s="609"/>
      <c r="F2521" s="610"/>
      <c r="G2521" s="609"/>
      <c r="H2521" s="611"/>
    </row>
    <row r="2522">
      <c r="A2522" s="612"/>
      <c r="B2522" s="613"/>
      <c r="C2522" s="614"/>
      <c r="D2522" s="615"/>
      <c r="E2522" s="616"/>
      <c r="F2522" s="617"/>
      <c r="G2522" s="616"/>
      <c r="H2522" s="611"/>
    </row>
    <row r="2523">
      <c r="A2523" s="605"/>
      <c r="B2523" s="606"/>
      <c r="C2523" s="607"/>
      <c r="D2523" s="608"/>
      <c r="E2523" s="609"/>
      <c r="F2523" s="610"/>
      <c r="G2523" s="609"/>
      <c r="H2523" s="611"/>
    </row>
    <row r="2524">
      <c r="A2524" s="612"/>
      <c r="B2524" s="613"/>
      <c r="C2524" s="614"/>
      <c r="D2524" s="615"/>
      <c r="E2524" s="616"/>
      <c r="F2524" s="617"/>
      <c r="G2524" s="616"/>
      <c r="H2524" s="611"/>
    </row>
    <row r="2525">
      <c r="A2525" s="605"/>
      <c r="B2525" s="606"/>
      <c r="C2525" s="607"/>
      <c r="D2525" s="608"/>
      <c r="E2525" s="609"/>
      <c r="F2525" s="610"/>
      <c r="G2525" s="609"/>
      <c r="H2525" s="611"/>
    </row>
    <row r="2526">
      <c r="A2526" s="612"/>
      <c r="B2526" s="613"/>
      <c r="C2526" s="614"/>
      <c r="D2526" s="615"/>
      <c r="E2526" s="616"/>
      <c r="F2526" s="617"/>
      <c r="G2526" s="616"/>
      <c r="H2526" s="611"/>
    </row>
    <row r="2527">
      <c r="A2527" s="605"/>
      <c r="B2527" s="606"/>
      <c r="C2527" s="607"/>
      <c r="D2527" s="608"/>
      <c r="E2527" s="609"/>
      <c r="F2527" s="610"/>
      <c r="G2527" s="609"/>
      <c r="H2527" s="611"/>
    </row>
    <row r="2528">
      <c r="A2528" s="612"/>
      <c r="B2528" s="613"/>
      <c r="C2528" s="614"/>
      <c r="D2528" s="615"/>
      <c r="E2528" s="616"/>
      <c r="F2528" s="617"/>
      <c r="G2528" s="616"/>
      <c r="H2528" s="611"/>
    </row>
    <row r="2529">
      <c r="A2529" s="605"/>
      <c r="B2529" s="606"/>
      <c r="C2529" s="607"/>
      <c r="D2529" s="608"/>
      <c r="E2529" s="609"/>
      <c r="F2529" s="610"/>
      <c r="G2529" s="609"/>
      <c r="H2529" s="611"/>
    </row>
    <row r="2530">
      <c r="A2530" s="612"/>
      <c r="B2530" s="613"/>
      <c r="C2530" s="614"/>
      <c r="D2530" s="615"/>
      <c r="E2530" s="616"/>
      <c r="F2530" s="617"/>
      <c r="G2530" s="616"/>
      <c r="H2530" s="611"/>
    </row>
    <row r="2531">
      <c r="A2531" s="605"/>
      <c r="B2531" s="606"/>
      <c r="C2531" s="607"/>
      <c r="D2531" s="608"/>
      <c r="E2531" s="609"/>
      <c r="F2531" s="610"/>
      <c r="G2531" s="609"/>
      <c r="H2531" s="611"/>
    </row>
    <row r="2532">
      <c r="A2532" s="612"/>
      <c r="B2532" s="613"/>
      <c r="C2532" s="614"/>
      <c r="D2532" s="615"/>
      <c r="E2532" s="616"/>
      <c r="F2532" s="617"/>
      <c r="G2532" s="616"/>
      <c r="H2532" s="611"/>
    </row>
    <row r="2533">
      <c r="A2533" s="605"/>
      <c r="B2533" s="606"/>
      <c r="C2533" s="607"/>
      <c r="D2533" s="608"/>
      <c r="E2533" s="609"/>
      <c r="F2533" s="610"/>
      <c r="G2533" s="609"/>
      <c r="H2533" s="611"/>
    </row>
    <row r="2534">
      <c r="A2534" s="612"/>
      <c r="B2534" s="613"/>
      <c r="C2534" s="614"/>
      <c r="D2534" s="615"/>
      <c r="E2534" s="616"/>
      <c r="F2534" s="617"/>
      <c r="G2534" s="616"/>
      <c r="H2534" s="611"/>
    </row>
    <row r="2535">
      <c r="A2535" s="605"/>
      <c r="B2535" s="606"/>
      <c r="C2535" s="607"/>
      <c r="D2535" s="608"/>
      <c r="E2535" s="609"/>
      <c r="F2535" s="610"/>
      <c r="G2535" s="609"/>
      <c r="H2535" s="611"/>
    </row>
    <row r="2536">
      <c r="A2536" s="612"/>
      <c r="B2536" s="613"/>
      <c r="C2536" s="614"/>
      <c r="D2536" s="615"/>
      <c r="E2536" s="616"/>
      <c r="F2536" s="617"/>
      <c r="G2536" s="616"/>
      <c r="H2536" s="611"/>
    </row>
    <row r="2537">
      <c r="A2537" s="605"/>
      <c r="B2537" s="606"/>
      <c r="C2537" s="607"/>
      <c r="D2537" s="608"/>
      <c r="E2537" s="609"/>
      <c r="F2537" s="610"/>
      <c r="G2537" s="609"/>
      <c r="H2537" s="611"/>
    </row>
    <row r="2538">
      <c r="A2538" s="612"/>
      <c r="B2538" s="613"/>
      <c r="C2538" s="614"/>
      <c r="D2538" s="615"/>
      <c r="E2538" s="616"/>
      <c r="F2538" s="617"/>
      <c r="G2538" s="616"/>
      <c r="H2538" s="611"/>
    </row>
    <row r="2539">
      <c r="A2539" s="605"/>
      <c r="B2539" s="606"/>
      <c r="C2539" s="607"/>
      <c r="D2539" s="608"/>
      <c r="E2539" s="609"/>
      <c r="F2539" s="610"/>
      <c r="G2539" s="609"/>
      <c r="H2539" s="611"/>
    </row>
    <row r="2540">
      <c r="A2540" s="612"/>
      <c r="B2540" s="613"/>
      <c r="C2540" s="614"/>
      <c r="D2540" s="615"/>
      <c r="E2540" s="616"/>
      <c r="F2540" s="617"/>
      <c r="G2540" s="616"/>
      <c r="H2540" s="611"/>
    </row>
    <row r="2541">
      <c r="A2541" s="605"/>
      <c r="B2541" s="606"/>
      <c r="C2541" s="607"/>
      <c r="D2541" s="608"/>
      <c r="E2541" s="609"/>
      <c r="F2541" s="610"/>
      <c r="G2541" s="609"/>
      <c r="H2541" s="611"/>
    </row>
    <row r="2542">
      <c r="A2542" s="612"/>
      <c r="B2542" s="613"/>
      <c r="C2542" s="614"/>
      <c r="D2542" s="615"/>
      <c r="E2542" s="616"/>
      <c r="F2542" s="617"/>
      <c r="G2542" s="616"/>
      <c r="H2542" s="611"/>
    </row>
    <row r="2543">
      <c r="A2543" s="605"/>
      <c r="B2543" s="606"/>
      <c r="C2543" s="607"/>
      <c r="D2543" s="608"/>
      <c r="E2543" s="609"/>
      <c r="F2543" s="610"/>
      <c r="G2543" s="609"/>
      <c r="H2543" s="611"/>
    </row>
    <row r="2544">
      <c r="A2544" s="612"/>
      <c r="B2544" s="613"/>
      <c r="C2544" s="614"/>
      <c r="D2544" s="615"/>
      <c r="E2544" s="616"/>
      <c r="F2544" s="617"/>
      <c r="G2544" s="616"/>
      <c r="H2544" s="611"/>
    </row>
    <row r="2545">
      <c r="A2545" s="605"/>
      <c r="B2545" s="606"/>
      <c r="C2545" s="607"/>
      <c r="D2545" s="608"/>
      <c r="E2545" s="609"/>
      <c r="F2545" s="610"/>
      <c r="G2545" s="609"/>
      <c r="H2545" s="611"/>
    </row>
    <row r="2546">
      <c r="A2546" s="612"/>
      <c r="B2546" s="613"/>
      <c r="C2546" s="614"/>
      <c r="D2546" s="615"/>
      <c r="E2546" s="616"/>
      <c r="F2546" s="617"/>
      <c r="G2546" s="616"/>
      <c r="H2546" s="611"/>
    </row>
    <row r="2547">
      <c r="A2547" s="605"/>
      <c r="B2547" s="606"/>
      <c r="C2547" s="607"/>
      <c r="D2547" s="608"/>
      <c r="E2547" s="609"/>
      <c r="F2547" s="610"/>
      <c r="G2547" s="609"/>
      <c r="H2547" s="611"/>
    </row>
    <row r="2548">
      <c r="A2548" s="612"/>
      <c r="B2548" s="613"/>
      <c r="C2548" s="614"/>
      <c r="D2548" s="615"/>
      <c r="E2548" s="616"/>
      <c r="F2548" s="617"/>
      <c r="G2548" s="616"/>
      <c r="H2548" s="611"/>
    </row>
    <row r="2549">
      <c r="A2549" s="605"/>
      <c r="B2549" s="606"/>
      <c r="C2549" s="607"/>
      <c r="D2549" s="608"/>
      <c r="E2549" s="609"/>
      <c r="F2549" s="610"/>
      <c r="G2549" s="609"/>
      <c r="H2549" s="611"/>
    </row>
    <row r="2550">
      <c r="A2550" s="612"/>
      <c r="B2550" s="613"/>
      <c r="C2550" s="614"/>
      <c r="D2550" s="615"/>
      <c r="E2550" s="616"/>
      <c r="F2550" s="617"/>
      <c r="G2550" s="616"/>
      <c r="H2550" s="611"/>
    </row>
    <row r="2551">
      <c r="A2551" s="605"/>
      <c r="B2551" s="606"/>
      <c r="C2551" s="607"/>
      <c r="D2551" s="608"/>
      <c r="E2551" s="609"/>
      <c r="F2551" s="610"/>
      <c r="G2551" s="609"/>
      <c r="H2551" s="611"/>
    </row>
    <row r="2552">
      <c r="A2552" s="612"/>
      <c r="B2552" s="613"/>
      <c r="C2552" s="614"/>
      <c r="D2552" s="615"/>
      <c r="E2552" s="616"/>
      <c r="F2552" s="617"/>
      <c r="G2552" s="616"/>
      <c r="H2552" s="611"/>
    </row>
    <row r="2553">
      <c r="A2553" s="605"/>
      <c r="B2553" s="606"/>
      <c r="C2553" s="607"/>
      <c r="D2553" s="608"/>
      <c r="E2553" s="609"/>
      <c r="F2553" s="610"/>
      <c r="G2553" s="609"/>
      <c r="H2553" s="611"/>
    </row>
    <row r="2554">
      <c r="A2554" s="612"/>
      <c r="B2554" s="613"/>
      <c r="C2554" s="614"/>
      <c r="D2554" s="615"/>
      <c r="E2554" s="616"/>
      <c r="F2554" s="617"/>
      <c r="G2554" s="616"/>
      <c r="H2554" s="611"/>
    </row>
    <row r="2555">
      <c r="A2555" s="605"/>
      <c r="B2555" s="606"/>
      <c r="C2555" s="607"/>
      <c r="D2555" s="608"/>
      <c r="E2555" s="609"/>
      <c r="F2555" s="610"/>
      <c r="G2555" s="609"/>
      <c r="H2555" s="611"/>
    </row>
    <row r="2556">
      <c r="A2556" s="612"/>
      <c r="B2556" s="613"/>
      <c r="C2556" s="614"/>
      <c r="D2556" s="615"/>
      <c r="E2556" s="616"/>
      <c r="F2556" s="617"/>
      <c r="G2556" s="616"/>
      <c r="H2556" s="611"/>
    </row>
    <row r="2557">
      <c r="A2557" s="605"/>
      <c r="B2557" s="606"/>
      <c r="C2557" s="607"/>
      <c r="D2557" s="608"/>
      <c r="E2557" s="609"/>
      <c r="F2557" s="610"/>
      <c r="G2557" s="609"/>
      <c r="H2557" s="611"/>
    </row>
    <row r="2558">
      <c r="A2558" s="612"/>
      <c r="B2558" s="613"/>
      <c r="C2558" s="614"/>
      <c r="D2558" s="615"/>
      <c r="E2558" s="616"/>
      <c r="F2558" s="617"/>
      <c r="G2558" s="616"/>
      <c r="H2558" s="611"/>
    </row>
    <row r="2559">
      <c r="A2559" s="605"/>
      <c r="B2559" s="606"/>
      <c r="C2559" s="607"/>
      <c r="D2559" s="608"/>
      <c r="E2559" s="609"/>
      <c r="F2559" s="610"/>
      <c r="G2559" s="609"/>
      <c r="H2559" s="611"/>
    </row>
    <row r="2560">
      <c r="A2560" s="612"/>
      <c r="B2560" s="613"/>
      <c r="C2560" s="614"/>
      <c r="D2560" s="615"/>
      <c r="E2560" s="616"/>
      <c r="F2560" s="617"/>
      <c r="G2560" s="616"/>
      <c r="H2560" s="611"/>
    </row>
    <row r="2561">
      <c r="A2561" s="605"/>
      <c r="B2561" s="606"/>
      <c r="C2561" s="607"/>
      <c r="D2561" s="608"/>
      <c r="E2561" s="609"/>
      <c r="F2561" s="610"/>
      <c r="G2561" s="609"/>
      <c r="H2561" s="611"/>
    </row>
    <row r="2562">
      <c r="A2562" s="612"/>
      <c r="B2562" s="613"/>
      <c r="C2562" s="614"/>
      <c r="D2562" s="615"/>
      <c r="E2562" s="616"/>
      <c r="F2562" s="617"/>
      <c r="G2562" s="616"/>
      <c r="H2562" s="611"/>
    </row>
    <row r="2563">
      <c r="A2563" s="605"/>
      <c r="B2563" s="606"/>
      <c r="C2563" s="607"/>
      <c r="D2563" s="608"/>
      <c r="E2563" s="609"/>
      <c r="F2563" s="610"/>
      <c r="G2563" s="609"/>
      <c r="H2563" s="611"/>
    </row>
    <row r="2564">
      <c r="A2564" s="612"/>
      <c r="B2564" s="613"/>
      <c r="C2564" s="614"/>
      <c r="D2564" s="615"/>
      <c r="E2564" s="616"/>
      <c r="F2564" s="617"/>
      <c r="G2564" s="616"/>
      <c r="H2564" s="611"/>
    </row>
    <row r="2565">
      <c r="A2565" s="605"/>
      <c r="B2565" s="606"/>
      <c r="C2565" s="607"/>
      <c r="D2565" s="608"/>
      <c r="E2565" s="609"/>
      <c r="F2565" s="610"/>
      <c r="G2565" s="609"/>
      <c r="H2565" s="611"/>
    </row>
    <row r="2566">
      <c r="A2566" s="612"/>
      <c r="B2566" s="613"/>
      <c r="C2566" s="614"/>
      <c r="D2566" s="615"/>
      <c r="E2566" s="616"/>
      <c r="F2566" s="617"/>
      <c r="G2566" s="616"/>
      <c r="H2566" s="611"/>
    </row>
    <row r="2567">
      <c r="A2567" s="605"/>
      <c r="B2567" s="606"/>
      <c r="C2567" s="607"/>
      <c r="D2567" s="608"/>
      <c r="E2567" s="609"/>
      <c r="F2567" s="610"/>
      <c r="G2567" s="609"/>
      <c r="H2567" s="611"/>
    </row>
    <row r="2568">
      <c r="A2568" s="612"/>
      <c r="B2568" s="613"/>
      <c r="C2568" s="614"/>
      <c r="D2568" s="615"/>
      <c r="E2568" s="616"/>
      <c r="F2568" s="617"/>
      <c r="G2568" s="616"/>
      <c r="H2568" s="611"/>
    </row>
    <row r="2569">
      <c r="A2569" s="605"/>
      <c r="B2569" s="606"/>
      <c r="C2569" s="607"/>
      <c r="D2569" s="608"/>
      <c r="E2569" s="609"/>
      <c r="F2569" s="610"/>
      <c r="G2569" s="609"/>
      <c r="H2569" s="611"/>
    </row>
    <row r="2570">
      <c r="A2570" s="612"/>
      <c r="B2570" s="613"/>
      <c r="C2570" s="614"/>
      <c r="D2570" s="615"/>
      <c r="E2570" s="616"/>
      <c r="F2570" s="617"/>
      <c r="G2570" s="616"/>
      <c r="H2570" s="611"/>
    </row>
    <row r="2571">
      <c r="A2571" s="605"/>
      <c r="B2571" s="606"/>
      <c r="C2571" s="607"/>
      <c r="D2571" s="608"/>
      <c r="E2571" s="609"/>
      <c r="F2571" s="610"/>
      <c r="G2571" s="609"/>
      <c r="H2571" s="611"/>
    </row>
    <row r="2572">
      <c r="A2572" s="612"/>
      <c r="B2572" s="613"/>
      <c r="C2572" s="614"/>
      <c r="D2572" s="615"/>
      <c r="E2572" s="616"/>
      <c r="F2572" s="617"/>
      <c r="G2572" s="616"/>
      <c r="H2572" s="611"/>
    </row>
    <row r="2573">
      <c r="A2573" s="605"/>
      <c r="B2573" s="606"/>
      <c r="C2573" s="607"/>
      <c r="D2573" s="608"/>
      <c r="E2573" s="609"/>
      <c r="F2573" s="610"/>
      <c r="G2573" s="609"/>
      <c r="H2573" s="611"/>
    </row>
    <row r="2574">
      <c r="A2574" s="612"/>
      <c r="B2574" s="613"/>
      <c r="C2574" s="614"/>
      <c r="D2574" s="615"/>
      <c r="E2574" s="616"/>
      <c r="F2574" s="617"/>
      <c r="G2574" s="616"/>
      <c r="H2574" s="611"/>
    </row>
    <row r="2575">
      <c r="A2575" s="605"/>
      <c r="B2575" s="606"/>
      <c r="C2575" s="607"/>
      <c r="D2575" s="608"/>
      <c r="E2575" s="609"/>
      <c r="F2575" s="610"/>
      <c r="G2575" s="609"/>
      <c r="H2575" s="611"/>
    </row>
    <row r="2576">
      <c r="A2576" s="612"/>
      <c r="B2576" s="613"/>
      <c r="C2576" s="614"/>
      <c r="D2576" s="615"/>
      <c r="E2576" s="616"/>
      <c r="F2576" s="617"/>
      <c r="G2576" s="616"/>
      <c r="H2576" s="611"/>
    </row>
    <row r="2577">
      <c r="A2577" s="605"/>
      <c r="B2577" s="606"/>
      <c r="C2577" s="607"/>
      <c r="D2577" s="608"/>
      <c r="E2577" s="609"/>
      <c r="F2577" s="610"/>
      <c r="G2577" s="609"/>
      <c r="H2577" s="611"/>
    </row>
    <row r="2578">
      <c r="A2578" s="612"/>
      <c r="B2578" s="613"/>
      <c r="C2578" s="614"/>
      <c r="D2578" s="615"/>
      <c r="E2578" s="616"/>
      <c r="F2578" s="617"/>
      <c r="G2578" s="616"/>
      <c r="H2578" s="611"/>
    </row>
    <row r="2579">
      <c r="A2579" s="605"/>
      <c r="B2579" s="606"/>
      <c r="C2579" s="607"/>
      <c r="D2579" s="608"/>
      <c r="E2579" s="609"/>
      <c r="F2579" s="610"/>
      <c r="G2579" s="609"/>
      <c r="H2579" s="611"/>
    </row>
    <row r="2580">
      <c r="A2580" s="612"/>
      <c r="B2580" s="613"/>
      <c r="C2580" s="614"/>
      <c r="D2580" s="615"/>
      <c r="E2580" s="616"/>
      <c r="F2580" s="617"/>
      <c r="G2580" s="616"/>
      <c r="H2580" s="611"/>
    </row>
    <row r="2581">
      <c r="A2581" s="605"/>
      <c r="B2581" s="606"/>
      <c r="C2581" s="607"/>
      <c r="D2581" s="608"/>
      <c r="E2581" s="609"/>
      <c r="F2581" s="610"/>
      <c r="G2581" s="609"/>
      <c r="H2581" s="611"/>
    </row>
    <row r="2582">
      <c r="A2582" s="612"/>
      <c r="B2582" s="613"/>
      <c r="C2582" s="614"/>
      <c r="D2582" s="615"/>
      <c r="E2582" s="616"/>
      <c r="F2582" s="617"/>
      <c r="G2582" s="616"/>
      <c r="H2582" s="611"/>
    </row>
    <row r="2583">
      <c r="A2583" s="605"/>
      <c r="B2583" s="606"/>
      <c r="C2583" s="607"/>
      <c r="D2583" s="608"/>
      <c r="E2583" s="609"/>
      <c r="F2583" s="610"/>
      <c r="G2583" s="609"/>
      <c r="H2583" s="611"/>
    </row>
    <row r="2584">
      <c r="A2584" s="612"/>
      <c r="B2584" s="613"/>
      <c r="C2584" s="614"/>
      <c r="D2584" s="615"/>
      <c r="E2584" s="616"/>
      <c r="F2584" s="617"/>
      <c r="G2584" s="616"/>
      <c r="H2584" s="611"/>
    </row>
    <row r="2585">
      <c r="A2585" s="605"/>
      <c r="B2585" s="606"/>
      <c r="C2585" s="607"/>
      <c r="D2585" s="608"/>
      <c r="E2585" s="609"/>
      <c r="F2585" s="610"/>
      <c r="G2585" s="609"/>
      <c r="H2585" s="611"/>
    </row>
    <row r="2586">
      <c r="A2586" s="612"/>
      <c r="B2586" s="613"/>
      <c r="C2586" s="614"/>
      <c r="D2586" s="615"/>
      <c r="E2586" s="616"/>
      <c r="F2586" s="617"/>
      <c r="G2586" s="616"/>
      <c r="H2586" s="611"/>
    </row>
    <row r="2587">
      <c r="A2587" s="605"/>
      <c r="B2587" s="606"/>
      <c r="C2587" s="607"/>
      <c r="D2587" s="608"/>
      <c r="E2587" s="609"/>
      <c r="F2587" s="610"/>
      <c r="G2587" s="609"/>
      <c r="H2587" s="611"/>
    </row>
    <row r="2588">
      <c r="A2588" s="612"/>
      <c r="B2588" s="613"/>
      <c r="C2588" s="614"/>
      <c r="D2588" s="615"/>
      <c r="E2588" s="616"/>
      <c r="F2588" s="617"/>
      <c r="G2588" s="616"/>
      <c r="H2588" s="611"/>
    </row>
    <row r="2589">
      <c r="A2589" s="605"/>
      <c r="B2589" s="606"/>
      <c r="C2589" s="607"/>
      <c r="D2589" s="608"/>
      <c r="E2589" s="609"/>
      <c r="F2589" s="610"/>
      <c r="G2589" s="609"/>
      <c r="H2589" s="611"/>
    </row>
    <row r="2590">
      <c r="A2590" s="612"/>
      <c r="B2590" s="613"/>
      <c r="C2590" s="614"/>
      <c r="D2590" s="615"/>
      <c r="E2590" s="616"/>
      <c r="F2590" s="617"/>
      <c r="G2590" s="616"/>
      <c r="H2590" s="611"/>
    </row>
    <row r="2591">
      <c r="A2591" s="605"/>
      <c r="B2591" s="606"/>
      <c r="C2591" s="607"/>
      <c r="D2591" s="608"/>
      <c r="E2591" s="609"/>
      <c r="F2591" s="610"/>
      <c r="G2591" s="609"/>
      <c r="H2591" s="611"/>
    </row>
    <row r="2592">
      <c r="A2592" s="612"/>
      <c r="B2592" s="613"/>
      <c r="C2592" s="614"/>
      <c r="D2592" s="615"/>
      <c r="E2592" s="616"/>
      <c r="F2592" s="617"/>
      <c r="G2592" s="616"/>
      <c r="H2592" s="611"/>
    </row>
    <row r="2593">
      <c r="A2593" s="605"/>
      <c r="B2593" s="606"/>
      <c r="C2593" s="607"/>
      <c r="D2593" s="608"/>
      <c r="E2593" s="609"/>
      <c r="F2593" s="610"/>
      <c r="G2593" s="609"/>
      <c r="H2593" s="611"/>
    </row>
    <row r="2594">
      <c r="A2594" s="612"/>
      <c r="B2594" s="613"/>
      <c r="C2594" s="614"/>
      <c r="D2594" s="615"/>
      <c r="E2594" s="616"/>
      <c r="F2594" s="617"/>
      <c r="G2594" s="616"/>
      <c r="H2594" s="611"/>
    </row>
    <row r="2595">
      <c r="A2595" s="605"/>
      <c r="B2595" s="606"/>
      <c r="C2595" s="607"/>
      <c r="D2595" s="608"/>
      <c r="E2595" s="609"/>
      <c r="F2595" s="610"/>
      <c r="G2595" s="609"/>
      <c r="H2595" s="611"/>
    </row>
    <row r="2596">
      <c r="A2596" s="612"/>
      <c r="B2596" s="613"/>
      <c r="C2596" s="614"/>
      <c r="D2596" s="615"/>
      <c r="E2596" s="616"/>
      <c r="F2596" s="617"/>
      <c r="G2596" s="616"/>
      <c r="H2596" s="611"/>
    </row>
    <row r="2597">
      <c r="A2597" s="605"/>
      <c r="B2597" s="606"/>
      <c r="C2597" s="607"/>
      <c r="D2597" s="608"/>
      <c r="E2597" s="609"/>
      <c r="F2597" s="610"/>
      <c r="G2597" s="609"/>
      <c r="H2597" s="611"/>
    </row>
    <row r="2598">
      <c r="A2598" s="612"/>
      <c r="B2598" s="613"/>
      <c r="C2598" s="614"/>
      <c r="D2598" s="615"/>
      <c r="E2598" s="616"/>
      <c r="F2598" s="617"/>
      <c r="G2598" s="616"/>
      <c r="H2598" s="611"/>
    </row>
    <row r="2599">
      <c r="A2599" s="605"/>
      <c r="B2599" s="606"/>
      <c r="C2599" s="607"/>
      <c r="D2599" s="608"/>
      <c r="E2599" s="609"/>
      <c r="F2599" s="610"/>
      <c r="G2599" s="609"/>
      <c r="H2599" s="611"/>
    </row>
    <row r="2600">
      <c r="A2600" s="612"/>
      <c r="B2600" s="613"/>
      <c r="C2600" s="614"/>
      <c r="D2600" s="615"/>
      <c r="E2600" s="616"/>
      <c r="F2600" s="617"/>
      <c r="G2600" s="616"/>
      <c r="H2600" s="611"/>
    </row>
    <row r="2601">
      <c r="A2601" s="605"/>
      <c r="B2601" s="606"/>
      <c r="C2601" s="607"/>
      <c r="D2601" s="608"/>
      <c r="E2601" s="609"/>
      <c r="F2601" s="610"/>
      <c r="G2601" s="609"/>
      <c r="H2601" s="611"/>
    </row>
    <row r="2602">
      <c r="A2602" s="612"/>
      <c r="B2602" s="613"/>
      <c r="C2602" s="614"/>
      <c r="D2602" s="615"/>
      <c r="E2602" s="616"/>
      <c r="F2602" s="617"/>
      <c r="G2602" s="616"/>
      <c r="H2602" s="611"/>
    </row>
    <row r="2603">
      <c r="A2603" s="605"/>
      <c r="B2603" s="606"/>
      <c r="C2603" s="607"/>
      <c r="D2603" s="608"/>
      <c r="E2603" s="609"/>
      <c r="F2603" s="610"/>
      <c r="G2603" s="609"/>
      <c r="H2603" s="611"/>
    </row>
    <row r="2604">
      <c r="A2604" s="612"/>
      <c r="B2604" s="613"/>
      <c r="C2604" s="614"/>
      <c r="D2604" s="615"/>
      <c r="E2604" s="616"/>
      <c r="F2604" s="617"/>
      <c r="G2604" s="616"/>
      <c r="H2604" s="611"/>
    </row>
    <row r="2605">
      <c r="A2605" s="605"/>
      <c r="B2605" s="606"/>
      <c r="C2605" s="607"/>
      <c r="D2605" s="608"/>
      <c r="E2605" s="609"/>
      <c r="F2605" s="610"/>
      <c r="G2605" s="609"/>
      <c r="H2605" s="611"/>
    </row>
    <row r="2606">
      <c r="A2606" s="612"/>
      <c r="B2606" s="613"/>
      <c r="C2606" s="614"/>
      <c r="D2606" s="615"/>
      <c r="E2606" s="616"/>
      <c r="F2606" s="617"/>
      <c r="G2606" s="616"/>
      <c r="H2606" s="611"/>
    </row>
    <row r="2607">
      <c r="A2607" s="605"/>
      <c r="B2607" s="606"/>
      <c r="C2607" s="607"/>
      <c r="D2607" s="608"/>
      <c r="E2607" s="609"/>
      <c r="F2607" s="610"/>
      <c r="G2607" s="609"/>
      <c r="H2607" s="611"/>
    </row>
    <row r="2608">
      <c r="A2608" s="612"/>
      <c r="B2608" s="613"/>
      <c r="C2608" s="614"/>
      <c r="D2608" s="615"/>
      <c r="E2608" s="616"/>
      <c r="F2608" s="617"/>
      <c r="G2608" s="616"/>
      <c r="H2608" s="611"/>
    </row>
    <row r="2609">
      <c r="A2609" s="605"/>
      <c r="B2609" s="606"/>
      <c r="C2609" s="607"/>
      <c r="D2609" s="608"/>
      <c r="E2609" s="609"/>
      <c r="F2609" s="610"/>
      <c r="G2609" s="609"/>
      <c r="H2609" s="611"/>
    </row>
    <row r="2610">
      <c r="A2610" s="612"/>
      <c r="B2610" s="613"/>
      <c r="C2610" s="614"/>
      <c r="D2610" s="615"/>
      <c r="E2610" s="616"/>
      <c r="F2610" s="617"/>
      <c r="G2610" s="616"/>
      <c r="H2610" s="611"/>
    </row>
    <row r="2611">
      <c r="A2611" s="605"/>
      <c r="B2611" s="606"/>
      <c r="C2611" s="607"/>
      <c r="D2611" s="608"/>
      <c r="E2611" s="609"/>
      <c r="F2611" s="610"/>
      <c r="G2611" s="609"/>
      <c r="H2611" s="611"/>
    </row>
    <row r="2612">
      <c r="A2612" s="612"/>
      <c r="B2612" s="613"/>
      <c r="C2612" s="614"/>
      <c r="D2612" s="615"/>
      <c r="E2612" s="616"/>
      <c r="F2612" s="617"/>
      <c r="G2612" s="616"/>
      <c r="H2612" s="611"/>
    </row>
    <row r="2613">
      <c r="A2613" s="605"/>
      <c r="B2613" s="606"/>
      <c r="C2613" s="607"/>
      <c r="D2613" s="608"/>
      <c r="E2613" s="609"/>
      <c r="F2613" s="610"/>
      <c r="G2613" s="609"/>
      <c r="H2613" s="611"/>
    </row>
    <row r="2614">
      <c r="A2614" s="612"/>
      <c r="B2614" s="613"/>
      <c r="C2614" s="614"/>
      <c r="D2614" s="615"/>
      <c r="E2614" s="616"/>
      <c r="F2614" s="617"/>
      <c r="G2614" s="616"/>
      <c r="H2614" s="611"/>
    </row>
    <row r="2615">
      <c r="A2615" s="605"/>
      <c r="B2615" s="606"/>
      <c r="C2615" s="607"/>
      <c r="D2615" s="608"/>
      <c r="E2615" s="609"/>
      <c r="F2615" s="610"/>
      <c r="G2615" s="609"/>
      <c r="H2615" s="611"/>
    </row>
    <row r="2616">
      <c r="A2616" s="612"/>
      <c r="B2616" s="613"/>
      <c r="C2616" s="614"/>
      <c r="D2616" s="615"/>
      <c r="E2616" s="616"/>
      <c r="F2616" s="617"/>
      <c r="G2616" s="616"/>
      <c r="H2616" s="611"/>
    </row>
    <row r="2617">
      <c r="A2617" s="605"/>
      <c r="B2617" s="606"/>
      <c r="C2617" s="607"/>
      <c r="D2617" s="608"/>
      <c r="E2617" s="609"/>
      <c r="F2617" s="610"/>
      <c r="G2617" s="609"/>
      <c r="H2617" s="611"/>
    </row>
    <row r="2618">
      <c r="A2618" s="612"/>
      <c r="B2618" s="613"/>
      <c r="C2618" s="614"/>
      <c r="D2618" s="615"/>
      <c r="E2618" s="616"/>
      <c r="F2618" s="617"/>
      <c r="G2618" s="616"/>
      <c r="H2618" s="611"/>
    </row>
    <row r="2619">
      <c r="A2619" s="605"/>
      <c r="B2619" s="606"/>
      <c r="C2619" s="607"/>
      <c r="D2619" s="608"/>
      <c r="E2619" s="609"/>
      <c r="F2619" s="610"/>
      <c r="G2619" s="609"/>
      <c r="H2619" s="611"/>
    </row>
    <row r="2620">
      <c r="A2620" s="612"/>
      <c r="B2620" s="613"/>
      <c r="C2620" s="614"/>
      <c r="D2620" s="615"/>
      <c r="E2620" s="616"/>
      <c r="F2620" s="617"/>
      <c r="G2620" s="616"/>
      <c r="H2620" s="611"/>
    </row>
    <row r="2621">
      <c r="A2621" s="605"/>
      <c r="B2621" s="606"/>
      <c r="C2621" s="607"/>
      <c r="D2621" s="608"/>
      <c r="E2621" s="609"/>
      <c r="F2621" s="610"/>
      <c r="G2621" s="609"/>
      <c r="H2621" s="611"/>
    </row>
    <row r="2622">
      <c r="A2622" s="612"/>
      <c r="B2622" s="613"/>
      <c r="C2622" s="614"/>
      <c r="D2622" s="615"/>
      <c r="E2622" s="616"/>
      <c r="F2622" s="617"/>
      <c r="G2622" s="616"/>
      <c r="H2622" s="611"/>
    </row>
    <row r="2623">
      <c r="A2623" s="605"/>
      <c r="B2623" s="606"/>
      <c r="C2623" s="607"/>
      <c r="D2623" s="608"/>
      <c r="E2623" s="609"/>
      <c r="F2623" s="610"/>
      <c r="G2623" s="609"/>
      <c r="H2623" s="611"/>
    </row>
    <row r="2624">
      <c r="A2624" s="612"/>
      <c r="B2624" s="613"/>
      <c r="C2624" s="614"/>
      <c r="D2624" s="615"/>
      <c r="E2624" s="616"/>
      <c r="F2624" s="617"/>
      <c r="G2624" s="616"/>
      <c r="H2624" s="611"/>
    </row>
    <row r="2625">
      <c r="A2625" s="605"/>
      <c r="B2625" s="606"/>
      <c r="C2625" s="607"/>
      <c r="D2625" s="608"/>
      <c r="E2625" s="609"/>
      <c r="F2625" s="610"/>
      <c r="G2625" s="609"/>
      <c r="H2625" s="611"/>
    </row>
    <row r="2626">
      <c r="A2626" s="612"/>
      <c r="B2626" s="613"/>
      <c r="C2626" s="614"/>
      <c r="D2626" s="615"/>
      <c r="E2626" s="616"/>
      <c r="F2626" s="617"/>
      <c r="G2626" s="616"/>
      <c r="H2626" s="611"/>
    </row>
    <row r="2627">
      <c r="A2627" s="605"/>
      <c r="B2627" s="606"/>
      <c r="C2627" s="607"/>
      <c r="D2627" s="608"/>
      <c r="E2627" s="609"/>
      <c r="F2627" s="610"/>
      <c r="G2627" s="609"/>
      <c r="H2627" s="611"/>
    </row>
    <row r="2628">
      <c r="A2628" s="612"/>
      <c r="B2628" s="613"/>
      <c r="C2628" s="614"/>
      <c r="D2628" s="615"/>
      <c r="E2628" s="616"/>
      <c r="F2628" s="617"/>
      <c r="G2628" s="616"/>
      <c r="H2628" s="611"/>
    </row>
    <row r="2629">
      <c r="A2629" s="605"/>
      <c r="B2629" s="606"/>
      <c r="C2629" s="607"/>
      <c r="D2629" s="608"/>
      <c r="E2629" s="609"/>
      <c r="F2629" s="610"/>
      <c r="G2629" s="609"/>
      <c r="H2629" s="611"/>
    </row>
    <row r="2630">
      <c r="A2630" s="612"/>
      <c r="B2630" s="613"/>
      <c r="C2630" s="614"/>
      <c r="D2630" s="615"/>
      <c r="E2630" s="616"/>
      <c r="F2630" s="617"/>
      <c r="G2630" s="616"/>
      <c r="H2630" s="611"/>
    </row>
    <row r="2631">
      <c r="A2631" s="605"/>
      <c r="B2631" s="606"/>
      <c r="C2631" s="607"/>
      <c r="D2631" s="608"/>
      <c r="E2631" s="609"/>
      <c r="F2631" s="610"/>
      <c r="G2631" s="609"/>
      <c r="H2631" s="611"/>
    </row>
    <row r="2632">
      <c r="A2632" s="612"/>
      <c r="B2632" s="613"/>
      <c r="C2632" s="614"/>
      <c r="D2632" s="615"/>
      <c r="E2632" s="616"/>
      <c r="F2632" s="617"/>
      <c r="G2632" s="616"/>
      <c r="H2632" s="611"/>
    </row>
    <row r="2633">
      <c r="A2633" s="605"/>
      <c r="B2633" s="606"/>
      <c r="C2633" s="607"/>
      <c r="D2633" s="608"/>
      <c r="E2633" s="609"/>
      <c r="F2633" s="610"/>
      <c r="G2633" s="609"/>
      <c r="H2633" s="611"/>
    </row>
    <row r="2634">
      <c r="A2634" s="612"/>
      <c r="B2634" s="613"/>
      <c r="C2634" s="614"/>
      <c r="D2634" s="615"/>
      <c r="E2634" s="616"/>
      <c r="F2634" s="617"/>
      <c r="G2634" s="616"/>
      <c r="H2634" s="611"/>
    </row>
    <row r="2635">
      <c r="A2635" s="605"/>
      <c r="B2635" s="606"/>
      <c r="C2635" s="607"/>
      <c r="D2635" s="608"/>
      <c r="E2635" s="609"/>
      <c r="F2635" s="610"/>
      <c r="G2635" s="609"/>
      <c r="H2635" s="611"/>
    </row>
    <row r="2636">
      <c r="A2636" s="612"/>
      <c r="B2636" s="613"/>
      <c r="C2636" s="614"/>
      <c r="D2636" s="615"/>
      <c r="E2636" s="616"/>
      <c r="F2636" s="617"/>
      <c r="G2636" s="616"/>
      <c r="H2636" s="611"/>
    </row>
    <row r="2637">
      <c r="A2637" s="605"/>
      <c r="B2637" s="606"/>
      <c r="C2637" s="607"/>
      <c r="D2637" s="608"/>
      <c r="E2637" s="609"/>
      <c r="F2637" s="610"/>
      <c r="G2637" s="609"/>
      <c r="H2637" s="611"/>
    </row>
    <row r="2638">
      <c r="A2638" s="612"/>
      <c r="B2638" s="613"/>
      <c r="C2638" s="614"/>
      <c r="D2638" s="615"/>
      <c r="E2638" s="616"/>
      <c r="F2638" s="617"/>
      <c r="G2638" s="616"/>
      <c r="H2638" s="611"/>
    </row>
    <row r="2639">
      <c r="A2639" s="605"/>
      <c r="B2639" s="606"/>
      <c r="C2639" s="607"/>
      <c r="D2639" s="608"/>
      <c r="E2639" s="609"/>
      <c r="F2639" s="610"/>
      <c r="G2639" s="609"/>
      <c r="H2639" s="611"/>
    </row>
    <row r="2640">
      <c r="A2640" s="612"/>
      <c r="B2640" s="613"/>
      <c r="C2640" s="614"/>
      <c r="D2640" s="615"/>
      <c r="E2640" s="616"/>
      <c r="F2640" s="617"/>
      <c r="G2640" s="616"/>
      <c r="H2640" s="611"/>
    </row>
    <row r="2641">
      <c r="A2641" s="605"/>
      <c r="B2641" s="606"/>
      <c r="C2641" s="607"/>
      <c r="D2641" s="608"/>
      <c r="E2641" s="609"/>
      <c r="F2641" s="610"/>
      <c r="G2641" s="609"/>
      <c r="H2641" s="611"/>
    </row>
    <row r="2642">
      <c r="A2642" s="612"/>
      <c r="B2642" s="613"/>
      <c r="C2642" s="614"/>
      <c r="D2642" s="615"/>
      <c r="E2642" s="616"/>
      <c r="F2642" s="617"/>
      <c r="G2642" s="616"/>
      <c r="H2642" s="611"/>
    </row>
    <row r="2643">
      <c r="A2643" s="605"/>
      <c r="B2643" s="606"/>
      <c r="C2643" s="607"/>
      <c r="D2643" s="608"/>
      <c r="E2643" s="609"/>
      <c r="F2643" s="610"/>
      <c r="G2643" s="609"/>
      <c r="H2643" s="611"/>
    </row>
    <row r="2644">
      <c r="A2644" s="612"/>
      <c r="B2644" s="613"/>
      <c r="C2644" s="614"/>
      <c r="D2644" s="615"/>
      <c r="E2644" s="616"/>
      <c r="F2644" s="617"/>
      <c r="G2644" s="616"/>
      <c r="H2644" s="611"/>
    </row>
    <row r="2645">
      <c r="A2645" s="605"/>
      <c r="B2645" s="606"/>
      <c r="C2645" s="607"/>
      <c r="D2645" s="608"/>
      <c r="E2645" s="609"/>
      <c r="F2645" s="610"/>
      <c r="G2645" s="609"/>
      <c r="H2645" s="611"/>
    </row>
    <row r="2646">
      <c r="A2646" s="612"/>
      <c r="B2646" s="613"/>
      <c r="C2646" s="614"/>
      <c r="D2646" s="615"/>
      <c r="E2646" s="616"/>
      <c r="F2646" s="617"/>
      <c r="G2646" s="616"/>
      <c r="H2646" s="611"/>
    </row>
    <row r="2647">
      <c r="A2647" s="605"/>
      <c r="B2647" s="606"/>
      <c r="C2647" s="607"/>
      <c r="D2647" s="608"/>
      <c r="E2647" s="609"/>
      <c r="F2647" s="610"/>
      <c r="G2647" s="609"/>
      <c r="H2647" s="611"/>
    </row>
    <row r="2648">
      <c r="A2648" s="612"/>
      <c r="B2648" s="613"/>
      <c r="C2648" s="614"/>
      <c r="D2648" s="615"/>
      <c r="E2648" s="616"/>
      <c r="F2648" s="617"/>
      <c r="G2648" s="616"/>
      <c r="H2648" s="611"/>
    </row>
    <row r="2649">
      <c r="A2649" s="605"/>
      <c r="B2649" s="606"/>
      <c r="C2649" s="607"/>
      <c r="D2649" s="608"/>
      <c r="E2649" s="609"/>
      <c r="F2649" s="610"/>
      <c r="G2649" s="609"/>
      <c r="H2649" s="611"/>
    </row>
    <row r="2650">
      <c r="A2650" s="612"/>
      <c r="B2650" s="613"/>
      <c r="C2650" s="614"/>
      <c r="D2650" s="615"/>
      <c r="E2650" s="616"/>
      <c r="F2650" s="617"/>
      <c r="G2650" s="616"/>
      <c r="H2650" s="611"/>
    </row>
    <row r="2651">
      <c r="A2651" s="605"/>
      <c r="B2651" s="606"/>
      <c r="C2651" s="607"/>
      <c r="D2651" s="608"/>
      <c r="E2651" s="609"/>
      <c r="F2651" s="610"/>
      <c r="G2651" s="609"/>
      <c r="H2651" s="611"/>
    </row>
    <row r="2652">
      <c r="A2652" s="612"/>
      <c r="B2652" s="613"/>
      <c r="C2652" s="614"/>
      <c r="D2652" s="615"/>
      <c r="E2652" s="616"/>
      <c r="F2652" s="617"/>
      <c r="G2652" s="616"/>
      <c r="H2652" s="611"/>
    </row>
    <row r="2653">
      <c r="A2653" s="605"/>
      <c r="B2653" s="606"/>
      <c r="C2653" s="607"/>
      <c r="D2653" s="608"/>
      <c r="E2653" s="609"/>
      <c r="F2653" s="610"/>
      <c r="G2653" s="609"/>
      <c r="H2653" s="611"/>
    </row>
    <row r="2654">
      <c r="A2654" s="612"/>
      <c r="B2654" s="613"/>
      <c r="C2654" s="614"/>
      <c r="D2654" s="615"/>
      <c r="E2654" s="616"/>
      <c r="F2654" s="617"/>
      <c r="G2654" s="616"/>
      <c r="H2654" s="611"/>
    </row>
    <row r="2655">
      <c r="A2655" s="605"/>
      <c r="B2655" s="606"/>
      <c r="C2655" s="607"/>
      <c r="D2655" s="608"/>
      <c r="E2655" s="609"/>
      <c r="F2655" s="610"/>
      <c r="G2655" s="609"/>
      <c r="H2655" s="611"/>
    </row>
    <row r="2656">
      <c r="A2656" s="612"/>
      <c r="B2656" s="613"/>
      <c r="C2656" s="614"/>
      <c r="D2656" s="615"/>
      <c r="E2656" s="616"/>
      <c r="F2656" s="617"/>
      <c r="G2656" s="616"/>
      <c r="H2656" s="611"/>
    </row>
    <row r="2657">
      <c r="A2657" s="605"/>
      <c r="B2657" s="606"/>
      <c r="C2657" s="607"/>
      <c r="D2657" s="608"/>
      <c r="E2657" s="609"/>
      <c r="F2657" s="610"/>
      <c r="G2657" s="609"/>
      <c r="H2657" s="611"/>
    </row>
    <row r="2658">
      <c r="A2658" s="612"/>
      <c r="B2658" s="613"/>
      <c r="C2658" s="614"/>
      <c r="D2658" s="615"/>
      <c r="E2658" s="616"/>
      <c r="F2658" s="617"/>
      <c r="G2658" s="616"/>
      <c r="H2658" s="611"/>
    </row>
    <row r="2659">
      <c r="A2659" s="605"/>
      <c r="B2659" s="606"/>
      <c r="C2659" s="607"/>
      <c r="D2659" s="608"/>
      <c r="E2659" s="609"/>
      <c r="F2659" s="610"/>
      <c r="G2659" s="609"/>
      <c r="H2659" s="611"/>
    </row>
    <row r="2660">
      <c r="A2660" s="612"/>
      <c r="B2660" s="613"/>
      <c r="C2660" s="614"/>
      <c r="D2660" s="615"/>
      <c r="E2660" s="616"/>
      <c r="F2660" s="617"/>
      <c r="G2660" s="616"/>
      <c r="H2660" s="611"/>
    </row>
    <row r="2661">
      <c r="A2661" s="605"/>
      <c r="B2661" s="606"/>
      <c r="C2661" s="607"/>
      <c r="D2661" s="608"/>
      <c r="E2661" s="609"/>
      <c r="F2661" s="610"/>
      <c r="G2661" s="609"/>
      <c r="H2661" s="611"/>
    </row>
    <row r="2662">
      <c r="A2662" s="612"/>
      <c r="B2662" s="613"/>
      <c r="C2662" s="614"/>
      <c r="D2662" s="615"/>
      <c r="E2662" s="616"/>
      <c r="F2662" s="617"/>
      <c r="G2662" s="616"/>
      <c r="H2662" s="611"/>
    </row>
    <row r="2663">
      <c r="A2663" s="605"/>
      <c r="B2663" s="606"/>
      <c r="C2663" s="607"/>
      <c r="D2663" s="608"/>
      <c r="E2663" s="609"/>
      <c r="F2663" s="610"/>
      <c r="G2663" s="609"/>
      <c r="H2663" s="611"/>
    </row>
    <row r="2664">
      <c r="A2664" s="612"/>
      <c r="B2664" s="613"/>
      <c r="C2664" s="614"/>
      <c r="D2664" s="615"/>
      <c r="E2664" s="616"/>
      <c r="F2664" s="617"/>
      <c r="G2664" s="616"/>
      <c r="H2664" s="611"/>
    </row>
    <row r="2665">
      <c r="A2665" s="605"/>
      <c r="B2665" s="606"/>
      <c r="C2665" s="607"/>
      <c r="D2665" s="608"/>
      <c r="E2665" s="609"/>
      <c r="F2665" s="610"/>
      <c r="G2665" s="609"/>
      <c r="H2665" s="611"/>
    </row>
    <row r="2666">
      <c r="A2666" s="612"/>
      <c r="B2666" s="613"/>
      <c r="C2666" s="614"/>
      <c r="D2666" s="615"/>
      <c r="E2666" s="616"/>
      <c r="F2666" s="617"/>
      <c r="G2666" s="616"/>
      <c r="H2666" s="611"/>
    </row>
    <row r="2667">
      <c r="A2667" s="605"/>
      <c r="B2667" s="606"/>
      <c r="C2667" s="607"/>
      <c r="D2667" s="608"/>
      <c r="E2667" s="609"/>
      <c r="F2667" s="610"/>
      <c r="G2667" s="609"/>
      <c r="H2667" s="611"/>
    </row>
    <row r="2668">
      <c r="A2668" s="612"/>
      <c r="B2668" s="613"/>
      <c r="C2668" s="614"/>
      <c r="D2668" s="615"/>
      <c r="E2668" s="616"/>
      <c r="F2668" s="617"/>
      <c r="G2668" s="616"/>
      <c r="H2668" s="611"/>
    </row>
    <row r="2669">
      <c r="A2669" s="605"/>
      <c r="B2669" s="606"/>
      <c r="C2669" s="607"/>
      <c r="D2669" s="608"/>
      <c r="E2669" s="609"/>
      <c r="F2669" s="610"/>
      <c r="G2669" s="609"/>
      <c r="H2669" s="611"/>
    </row>
    <row r="2670">
      <c r="A2670" s="612"/>
      <c r="B2670" s="613"/>
      <c r="C2670" s="614"/>
      <c r="D2670" s="615"/>
      <c r="E2670" s="616"/>
      <c r="F2670" s="617"/>
      <c r="G2670" s="616"/>
      <c r="H2670" s="611"/>
    </row>
    <row r="2671">
      <c r="A2671" s="605"/>
      <c r="B2671" s="606"/>
      <c r="C2671" s="607"/>
      <c r="D2671" s="608"/>
      <c r="E2671" s="609"/>
      <c r="F2671" s="610"/>
      <c r="G2671" s="609"/>
      <c r="H2671" s="611"/>
    </row>
    <row r="2672">
      <c r="A2672" s="612"/>
      <c r="B2672" s="613"/>
      <c r="C2672" s="614"/>
      <c r="D2672" s="615"/>
      <c r="E2672" s="616"/>
      <c r="F2672" s="617"/>
      <c r="G2672" s="616"/>
      <c r="H2672" s="611"/>
    </row>
    <row r="2673">
      <c r="A2673" s="605"/>
      <c r="B2673" s="606"/>
      <c r="C2673" s="607"/>
      <c r="D2673" s="608"/>
      <c r="E2673" s="609"/>
      <c r="F2673" s="610"/>
      <c r="G2673" s="609"/>
      <c r="H2673" s="611"/>
    </row>
    <row r="2674">
      <c r="A2674" s="612"/>
      <c r="B2674" s="613"/>
      <c r="C2674" s="614"/>
      <c r="D2674" s="615"/>
      <c r="E2674" s="616"/>
      <c r="F2674" s="617"/>
      <c r="G2674" s="616"/>
      <c r="H2674" s="611"/>
    </row>
    <row r="2675">
      <c r="A2675" s="605"/>
      <c r="B2675" s="606"/>
      <c r="C2675" s="607"/>
      <c r="D2675" s="608"/>
      <c r="E2675" s="609"/>
      <c r="F2675" s="610"/>
      <c r="G2675" s="609"/>
      <c r="H2675" s="611"/>
    </row>
    <row r="2676">
      <c r="A2676" s="612"/>
      <c r="B2676" s="613"/>
      <c r="C2676" s="614"/>
      <c r="D2676" s="615"/>
      <c r="E2676" s="616"/>
      <c r="F2676" s="617"/>
      <c r="G2676" s="616"/>
      <c r="H2676" s="611"/>
    </row>
    <row r="2677">
      <c r="A2677" s="605"/>
      <c r="B2677" s="606"/>
      <c r="C2677" s="607"/>
      <c r="D2677" s="608"/>
      <c r="E2677" s="609"/>
      <c r="F2677" s="610"/>
      <c r="G2677" s="609"/>
      <c r="H2677" s="611"/>
    </row>
    <row r="2678">
      <c r="A2678" s="612"/>
      <c r="B2678" s="613"/>
      <c r="C2678" s="614"/>
      <c r="D2678" s="615"/>
      <c r="E2678" s="616"/>
      <c r="F2678" s="617"/>
      <c r="G2678" s="616"/>
      <c r="H2678" s="611"/>
    </row>
    <row r="2679">
      <c r="A2679" s="605"/>
      <c r="B2679" s="606"/>
      <c r="C2679" s="607"/>
      <c r="D2679" s="608"/>
      <c r="E2679" s="609"/>
      <c r="F2679" s="610"/>
      <c r="G2679" s="609"/>
      <c r="H2679" s="611"/>
    </row>
    <row r="2680">
      <c r="A2680" s="612"/>
      <c r="B2680" s="613"/>
      <c r="C2680" s="614"/>
      <c r="D2680" s="615"/>
      <c r="E2680" s="616"/>
      <c r="F2680" s="617"/>
      <c r="G2680" s="616"/>
      <c r="H2680" s="611"/>
    </row>
    <row r="2681">
      <c r="A2681" s="605"/>
      <c r="B2681" s="606"/>
      <c r="C2681" s="607"/>
      <c r="D2681" s="608"/>
      <c r="E2681" s="609"/>
      <c r="F2681" s="610"/>
      <c r="G2681" s="609"/>
      <c r="H2681" s="611"/>
    </row>
    <row r="2682">
      <c r="A2682" s="612"/>
      <c r="B2682" s="613"/>
      <c r="C2682" s="614"/>
      <c r="D2682" s="615"/>
      <c r="E2682" s="616"/>
      <c r="F2682" s="617"/>
      <c r="G2682" s="616"/>
      <c r="H2682" s="611"/>
    </row>
    <row r="2683">
      <c r="A2683" s="605"/>
      <c r="B2683" s="606"/>
      <c r="C2683" s="607"/>
      <c r="D2683" s="608"/>
      <c r="E2683" s="609"/>
      <c r="F2683" s="610"/>
      <c r="G2683" s="609"/>
      <c r="H2683" s="611"/>
    </row>
    <row r="2684">
      <c r="A2684" s="612"/>
      <c r="B2684" s="613"/>
      <c r="C2684" s="614"/>
      <c r="D2684" s="615"/>
      <c r="E2684" s="616"/>
      <c r="F2684" s="617"/>
      <c r="G2684" s="616"/>
      <c r="H2684" s="611"/>
    </row>
    <row r="2685">
      <c r="A2685" s="605"/>
      <c r="B2685" s="606"/>
      <c r="C2685" s="607"/>
      <c r="D2685" s="608"/>
      <c r="E2685" s="609"/>
      <c r="F2685" s="610"/>
      <c r="G2685" s="609"/>
      <c r="H2685" s="611"/>
    </row>
    <row r="2686">
      <c r="A2686" s="612"/>
      <c r="B2686" s="613"/>
      <c r="C2686" s="614"/>
      <c r="D2686" s="615"/>
      <c r="E2686" s="616"/>
      <c r="F2686" s="617"/>
      <c r="G2686" s="616"/>
      <c r="H2686" s="611"/>
    </row>
    <row r="2687">
      <c r="A2687" s="605"/>
      <c r="B2687" s="606"/>
      <c r="C2687" s="607"/>
      <c r="D2687" s="608"/>
      <c r="E2687" s="609"/>
      <c r="F2687" s="610"/>
      <c r="G2687" s="609"/>
      <c r="H2687" s="611"/>
    </row>
    <row r="2688">
      <c r="A2688" s="612"/>
      <c r="B2688" s="613"/>
      <c r="C2688" s="614"/>
      <c r="D2688" s="615"/>
      <c r="E2688" s="616"/>
      <c r="F2688" s="617"/>
      <c r="G2688" s="616"/>
      <c r="H2688" s="611"/>
    </row>
    <row r="2689">
      <c r="A2689" s="605"/>
      <c r="B2689" s="606"/>
      <c r="C2689" s="607"/>
      <c r="D2689" s="608"/>
      <c r="E2689" s="609"/>
      <c r="F2689" s="610"/>
      <c r="G2689" s="609"/>
      <c r="H2689" s="611"/>
    </row>
    <row r="2690">
      <c r="A2690" s="612"/>
      <c r="B2690" s="613"/>
      <c r="C2690" s="614"/>
      <c r="D2690" s="615"/>
      <c r="E2690" s="616"/>
      <c r="F2690" s="617"/>
      <c r="G2690" s="616"/>
      <c r="H2690" s="611"/>
    </row>
    <row r="2691">
      <c r="A2691" s="605"/>
      <c r="B2691" s="606"/>
      <c r="C2691" s="607"/>
      <c r="D2691" s="608"/>
      <c r="E2691" s="609"/>
      <c r="F2691" s="610"/>
      <c r="G2691" s="609"/>
      <c r="H2691" s="611"/>
    </row>
    <row r="2692">
      <c r="A2692" s="612"/>
      <c r="B2692" s="613"/>
      <c r="C2692" s="614"/>
      <c r="D2692" s="615"/>
      <c r="E2692" s="616"/>
      <c r="F2692" s="617"/>
      <c r="G2692" s="616"/>
      <c r="H2692" s="611"/>
    </row>
    <row r="2693">
      <c r="A2693" s="605"/>
      <c r="B2693" s="606"/>
      <c r="C2693" s="607"/>
      <c r="D2693" s="608"/>
      <c r="E2693" s="609"/>
      <c r="F2693" s="610"/>
      <c r="G2693" s="609"/>
      <c r="H2693" s="611"/>
    </row>
    <row r="2694">
      <c r="A2694" s="612"/>
      <c r="B2694" s="613"/>
      <c r="C2694" s="614"/>
      <c r="D2694" s="615"/>
      <c r="E2694" s="616"/>
      <c r="F2694" s="617"/>
      <c r="G2694" s="616"/>
      <c r="H2694" s="611"/>
    </row>
    <row r="2695">
      <c r="A2695" s="605"/>
      <c r="B2695" s="606"/>
      <c r="C2695" s="607"/>
      <c r="D2695" s="608"/>
      <c r="E2695" s="609"/>
      <c r="F2695" s="610"/>
      <c r="G2695" s="609"/>
      <c r="H2695" s="611"/>
    </row>
    <row r="2696">
      <c r="A2696" s="612"/>
      <c r="B2696" s="613"/>
      <c r="C2696" s="614"/>
      <c r="D2696" s="615"/>
      <c r="E2696" s="616"/>
      <c r="F2696" s="617"/>
      <c r="G2696" s="616"/>
      <c r="H2696" s="611"/>
    </row>
    <row r="2697">
      <c r="A2697" s="605"/>
      <c r="B2697" s="606"/>
      <c r="C2697" s="607"/>
      <c r="D2697" s="608"/>
      <c r="E2697" s="609"/>
      <c r="F2697" s="610"/>
      <c r="G2697" s="609"/>
      <c r="H2697" s="611"/>
    </row>
    <row r="2698">
      <c r="A2698" s="612"/>
      <c r="B2698" s="613"/>
      <c r="C2698" s="614"/>
      <c r="D2698" s="615"/>
      <c r="E2698" s="616"/>
      <c r="F2698" s="617"/>
      <c r="G2698" s="616"/>
      <c r="H2698" s="611"/>
    </row>
    <row r="2699">
      <c r="A2699" s="605"/>
      <c r="B2699" s="606"/>
      <c r="C2699" s="607"/>
      <c r="D2699" s="608"/>
      <c r="E2699" s="609"/>
      <c r="F2699" s="610"/>
      <c r="G2699" s="609"/>
      <c r="H2699" s="611"/>
    </row>
    <row r="2700">
      <c r="A2700" s="612"/>
      <c r="B2700" s="613"/>
      <c r="C2700" s="614"/>
      <c r="D2700" s="615"/>
      <c r="E2700" s="616"/>
      <c r="F2700" s="617"/>
      <c r="G2700" s="616"/>
      <c r="H2700" s="611"/>
    </row>
    <row r="2701">
      <c r="A2701" s="605"/>
      <c r="B2701" s="606"/>
      <c r="C2701" s="607"/>
      <c r="D2701" s="608"/>
      <c r="E2701" s="609"/>
      <c r="F2701" s="610"/>
      <c r="G2701" s="609"/>
      <c r="H2701" s="611"/>
    </row>
    <row r="2702">
      <c r="A2702" s="612"/>
      <c r="B2702" s="613"/>
      <c r="C2702" s="614"/>
      <c r="D2702" s="615"/>
      <c r="E2702" s="616"/>
      <c r="F2702" s="617"/>
      <c r="G2702" s="616"/>
      <c r="H2702" s="611"/>
    </row>
    <row r="2703">
      <c r="A2703" s="605"/>
      <c r="B2703" s="606"/>
      <c r="C2703" s="607"/>
      <c r="D2703" s="608"/>
      <c r="E2703" s="609"/>
      <c r="F2703" s="610"/>
      <c r="G2703" s="609"/>
      <c r="H2703" s="611"/>
    </row>
    <row r="2704">
      <c r="A2704" s="612"/>
      <c r="B2704" s="613"/>
      <c r="C2704" s="614"/>
      <c r="D2704" s="615"/>
      <c r="E2704" s="616"/>
      <c r="F2704" s="617"/>
      <c r="G2704" s="616"/>
      <c r="H2704" s="611"/>
    </row>
    <row r="2705">
      <c r="A2705" s="605"/>
      <c r="B2705" s="606"/>
      <c r="C2705" s="607"/>
      <c r="D2705" s="608"/>
      <c r="E2705" s="609"/>
      <c r="F2705" s="610"/>
      <c r="G2705" s="609"/>
      <c r="H2705" s="611"/>
    </row>
    <row r="2706">
      <c r="A2706" s="612"/>
      <c r="B2706" s="613"/>
      <c r="C2706" s="614"/>
      <c r="D2706" s="615"/>
      <c r="E2706" s="616"/>
      <c r="F2706" s="617"/>
      <c r="G2706" s="616"/>
      <c r="H2706" s="611"/>
    </row>
    <row r="2707">
      <c r="A2707" s="605"/>
      <c r="B2707" s="606"/>
      <c r="C2707" s="607"/>
      <c r="D2707" s="608"/>
      <c r="E2707" s="609"/>
      <c r="F2707" s="610"/>
      <c r="G2707" s="609"/>
      <c r="H2707" s="611"/>
    </row>
    <row r="2708">
      <c r="A2708" s="612"/>
      <c r="B2708" s="613"/>
      <c r="C2708" s="614"/>
      <c r="D2708" s="615"/>
      <c r="E2708" s="616"/>
      <c r="F2708" s="617"/>
      <c r="G2708" s="616"/>
      <c r="H2708" s="611"/>
    </row>
    <row r="2709">
      <c r="A2709" s="605"/>
      <c r="B2709" s="606"/>
      <c r="C2709" s="607"/>
      <c r="D2709" s="608"/>
      <c r="E2709" s="609"/>
      <c r="F2709" s="610"/>
      <c r="G2709" s="609"/>
      <c r="H2709" s="611"/>
    </row>
    <row r="2710">
      <c r="A2710" s="612"/>
      <c r="B2710" s="613"/>
      <c r="C2710" s="614"/>
      <c r="D2710" s="615"/>
      <c r="E2710" s="616"/>
      <c r="F2710" s="617"/>
      <c r="G2710" s="616"/>
      <c r="H2710" s="611"/>
    </row>
    <row r="2711">
      <c r="A2711" s="605"/>
      <c r="B2711" s="606"/>
      <c r="C2711" s="607"/>
      <c r="D2711" s="608"/>
      <c r="E2711" s="609"/>
      <c r="F2711" s="610"/>
      <c r="G2711" s="609"/>
      <c r="H2711" s="611"/>
    </row>
    <row r="2712">
      <c r="A2712" s="612"/>
      <c r="B2712" s="613"/>
      <c r="C2712" s="614"/>
      <c r="D2712" s="615"/>
      <c r="E2712" s="616"/>
      <c r="F2712" s="617"/>
      <c r="G2712" s="616"/>
      <c r="H2712" s="611"/>
    </row>
    <row r="2713">
      <c r="A2713" s="605"/>
      <c r="B2713" s="606"/>
      <c r="C2713" s="607"/>
      <c r="D2713" s="608"/>
      <c r="E2713" s="609"/>
      <c r="F2713" s="610"/>
      <c r="G2713" s="609"/>
      <c r="H2713" s="611"/>
    </row>
    <row r="2714">
      <c r="A2714" s="612"/>
      <c r="B2714" s="613"/>
      <c r="C2714" s="614"/>
      <c r="D2714" s="615"/>
      <c r="E2714" s="616"/>
      <c r="F2714" s="617"/>
      <c r="G2714" s="616"/>
      <c r="H2714" s="611"/>
    </row>
    <row r="2715">
      <c r="A2715" s="605"/>
      <c r="B2715" s="606"/>
      <c r="C2715" s="607"/>
      <c r="D2715" s="608"/>
      <c r="E2715" s="609"/>
      <c r="F2715" s="610"/>
      <c r="G2715" s="609"/>
      <c r="H2715" s="611"/>
    </row>
    <row r="2716">
      <c r="A2716" s="612"/>
      <c r="B2716" s="613"/>
      <c r="C2716" s="614"/>
      <c r="D2716" s="615"/>
      <c r="E2716" s="616"/>
      <c r="F2716" s="617"/>
      <c r="G2716" s="616"/>
      <c r="H2716" s="611"/>
    </row>
    <row r="2717">
      <c r="A2717" s="605"/>
      <c r="B2717" s="606"/>
      <c r="C2717" s="607"/>
      <c r="D2717" s="608"/>
      <c r="E2717" s="609"/>
      <c r="F2717" s="610"/>
      <c r="G2717" s="609"/>
      <c r="H2717" s="611"/>
    </row>
    <row r="2718">
      <c r="A2718" s="612"/>
      <c r="B2718" s="613"/>
      <c r="C2718" s="614"/>
      <c r="D2718" s="615"/>
      <c r="E2718" s="616"/>
      <c r="F2718" s="617"/>
      <c r="G2718" s="616"/>
      <c r="H2718" s="611"/>
    </row>
    <row r="2719">
      <c r="A2719" s="605"/>
      <c r="B2719" s="606"/>
      <c r="C2719" s="607"/>
      <c r="D2719" s="608"/>
      <c r="E2719" s="609"/>
      <c r="F2719" s="610"/>
      <c r="G2719" s="609"/>
      <c r="H2719" s="611"/>
    </row>
    <row r="2720">
      <c r="A2720" s="612"/>
      <c r="B2720" s="613"/>
      <c r="C2720" s="614"/>
      <c r="D2720" s="615"/>
      <c r="E2720" s="616"/>
      <c r="F2720" s="617"/>
      <c r="G2720" s="616"/>
      <c r="H2720" s="611"/>
    </row>
    <row r="2721">
      <c r="A2721" s="605"/>
      <c r="B2721" s="606"/>
      <c r="C2721" s="607"/>
      <c r="D2721" s="608"/>
      <c r="E2721" s="609"/>
      <c r="F2721" s="610"/>
      <c r="G2721" s="609"/>
      <c r="H2721" s="611"/>
    </row>
    <row r="2722">
      <c r="A2722" s="612"/>
      <c r="B2722" s="613"/>
      <c r="C2722" s="614"/>
      <c r="D2722" s="615"/>
      <c r="E2722" s="616"/>
      <c r="F2722" s="617"/>
      <c r="G2722" s="616"/>
      <c r="H2722" s="611"/>
    </row>
    <row r="2723">
      <c r="A2723" s="605"/>
      <c r="B2723" s="606"/>
      <c r="C2723" s="607"/>
      <c r="D2723" s="608"/>
      <c r="E2723" s="609"/>
      <c r="F2723" s="610"/>
      <c r="G2723" s="609"/>
      <c r="H2723" s="611"/>
    </row>
    <row r="2724">
      <c r="A2724" s="612"/>
      <c r="B2724" s="613"/>
      <c r="C2724" s="614"/>
      <c r="D2724" s="615"/>
      <c r="E2724" s="616"/>
      <c r="F2724" s="617"/>
      <c r="G2724" s="616"/>
      <c r="H2724" s="611"/>
    </row>
    <row r="2725">
      <c r="A2725" s="605"/>
      <c r="B2725" s="606"/>
      <c r="C2725" s="607"/>
      <c r="D2725" s="608"/>
      <c r="E2725" s="609"/>
      <c r="F2725" s="610"/>
      <c r="G2725" s="609"/>
      <c r="H2725" s="611"/>
    </row>
    <row r="2726">
      <c r="A2726" s="612"/>
      <c r="B2726" s="613"/>
      <c r="C2726" s="614"/>
      <c r="D2726" s="615"/>
      <c r="E2726" s="616"/>
      <c r="F2726" s="617"/>
      <c r="G2726" s="616"/>
      <c r="H2726" s="611"/>
    </row>
    <row r="2727">
      <c r="A2727" s="605"/>
      <c r="B2727" s="606"/>
      <c r="C2727" s="607"/>
      <c r="D2727" s="608"/>
      <c r="E2727" s="609"/>
      <c r="F2727" s="610"/>
      <c r="G2727" s="609"/>
      <c r="H2727" s="611"/>
    </row>
    <row r="2728">
      <c r="A2728" s="612"/>
      <c r="B2728" s="613"/>
      <c r="C2728" s="614"/>
      <c r="D2728" s="615"/>
      <c r="E2728" s="616"/>
      <c r="F2728" s="617"/>
      <c r="G2728" s="616"/>
      <c r="H2728" s="611"/>
    </row>
    <row r="2729">
      <c r="A2729" s="605"/>
      <c r="B2729" s="606"/>
      <c r="C2729" s="607"/>
      <c r="D2729" s="608"/>
      <c r="E2729" s="609"/>
      <c r="F2729" s="610"/>
      <c r="G2729" s="609"/>
      <c r="H2729" s="611"/>
    </row>
    <row r="2730">
      <c r="A2730" s="612"/>
      <c r="B2730" s="613"/>
      <c r="C2730" s="614"/>
      <c r="D2730" s="615"/>
      <c r="E2730" s="616"/>
      <c r="F2730" s="617"/>
      <c r="G2730" s="616"/>
      <c r="H2730" s="611"/>
    </row>
    <row r="2731">
      <c r="A2731" s="605"/>
      <c r="B2731" s="606"/>
      <c r="C2731" s="607"/>
      <c r="D2731" s="608"/>
      <c r="E2731" s="609"/>
      <c r="F2731" s="610"/>
      <c r="G2731" s="609"/>
      <c r="H2731" s="611"/>
    </row>
    <row r="2732">
      <c r="A2732" s="612"/>
      <c r="B2732" s="613"/>
      <c r="C2732" s="614"/>
      <c r="D2732" s="615"/>
      <c r="E2732" s="616"/>
      <c r="F2732" s="617"/>
      <c r="G2732" s="616"/>
      <c r="H2732" s="611"/>
    </row>
    <row r="2733">
      <c r="A2733" s="605"/>
      <c r="B2733" s="606"/>
      <c r="C2733" s="607"/>
      <c r="D2733" s="608"/>
      <c r="E2733" s="609"/>
      <c r="F2733" s="610"/>
      <c r="G2733" s="609"/>
      <c r="H2733" s="611"/>
    </row>
    <row r="2734">
      <c r="A2734" s="612"/>
      <c r="B2734" s="613"/>
      <c r="C2734" s="614"/>
      <c r="D2734" s="615"/>
      <c r="E2734" s="616"/>
      <c r="F2734" s="617"/>
      <c r="G2734" s="616"/>
      <c r="H2734" s="611"/>
    </row>
    <row r="2735">
      <c r="A2735" s="605"/>
      <c r="B2735" s="606"/>
      <c r="C2735" s="607"/>
      <c r="D2735" s="608"/>
      <c r="E2735" s="609"/>
      <c r="F2735" s="610"/>
      <c r="G2735" s="609"/>
      <c r="H2735" s="611"/>
    </row>
    <row r="2736">
      <c r="A2736" s="612"/>
      <c r="B2736" s="613"/>
      <c r="C2736" s="614"/>
      <c r="D2736" s="615"/>
      <c r="E2736" s="616"/>
      <c r="F2736" s="617"/>
      <c r="G2736" s="616"/>
      <c r="H2736" s="611"/>
    </row>
    <row r="2737">
      <c r="A2737" s="605"/>
      <c r="B2737" s="606"/>
      <c r="C2737" s="607"/>
      <c r="D2737" s="608"/>
      <c r="E2737" s="609"/>
      <c r="F2737" s="610"/>
      <c r="G2737" s="609"/>
      <c r="H2737" s="611"/>
    </row>
    <row r="2738">
      <c r="A2738" s="612"/>
      <c r="B2738" s="613"/>
      <c r="C2738" s="614"/>
      <c r="D2738" s="615"/>
      <c r="E2738" s="616"/>
      <c r="F2738" s="617"/>
      <c r="G2738" s="616"/>
      <c r="H2738" s="611"/>
    </row>
    <row r="2739">
      <c r="A2739" s="605"/>
      <c r="B2739" s="606"/>
      <c r="C2739" s="607"/>
      <c r="D2739" s="608"/>
      <c r="E2739" s="609"/>
      <c r="F2739" s="610"/>
      <c r="G2739" s="609"/>
      <c r="H2739" s="611"/>
    </row>
    <row r="2740">
      <c r="A2740" s="612"/>
      <c r="B2740" s="613"/>
      <c r="C2740" s="614"/>
      <c r="D2740" s="615"/>
      <c r="E2740" s="616"/>
      <c r="F2740" s="617"/>
      <c r="G2740" s="616"/>
      <c r="H2740" s="611"/>
    </row>
    <row r="2741">
      <c r="A2741" s="605"/>
      <c r="B2741" s="606"/>
      <c r="C2741" s="607"/>
      <c r="D2741" s="608"/>
      <c r="E2741" s="609"/>
      <c r="F2741" s="610"/>
      <c r="G2741" s="609"/>
      <c r="H2741" s="611"/>
    </row>
    <row r="2742">
      <c r="A2742" s="612"/>
      <c r="B2742" s="613"/>
      <c r="C2742" s="614"/>
      <c r="D2742" s="615"/>
      <c r="E2742" s="616"/>
      <c r="F2742" s="617"/>
      <c r="G2742" s="616"/>
      <c r="H2742" s="611"/>
    </row>
    <row r="2743">
      <c r="A2743" s="605"/>
      <c r="B2743" s="606"/>
      <c r="C2743" s="607"/>
      <c r="D2743" s="608"/>
      <c r="E2743" s="609"/>
      <c r="F2743" s="610"/>
      <c r="G2743" s="609"/>
      <c r="H2743" s="611"/>
    </row>
    <row r="2744">
      <c r="A2744" s="612"/>
      <c r="B2744" s="613"/>
      <c r="C2744" s="614"/>
      <c r="D2744" s="615"/>
      <c r="E2744" s="616"/>
      <c r="F2744" s="617"/>
      <c r="G2744" s="616"/>
      <c r="H2744" s="611"/>
    </row>
    <row r="2745">
      <c r="A2745" s="605"/>
      <c r="B2745" s="606"/>
      <c r="C2745" s="607"/>
      <c r="D2745" s="608"/>
      <c r="E2745" s="609"/>
      <c r="F2745" s="610"/>
      <c r="G2745" s="609"/>
      <c r="H2745" s="611"/>
    </row>
    <row r="2746">
      <c r="A2746" s="612"/>
      <c r="B2746" s="613"/>
      <c r="C2746" s="614"/>
      <c r="D2746" s="615"/>
      <c r="E2746" s="616"/>
      <c r="F2746" s="617"/>
      <c r="G2746" s="616"/>
      <c r="H2746" s="611"/>
    </row>
    <row r="2747">
      <c r="A2747" s="605"/>
      <c r="B2747" s="606"/>
      <c r="C2747" s="607"/>
      <c r="D2747" s="608"/>
      <c r="E2747" s="609"/>
      <c r="F2747" s="610"/>
      <c r="G2747" s="609"/>
      <c r="H2747" s="611"/>
    </row>
    <row r="2748">
      <c r="A2748" s="612"/>
      <c r="B2748" s="613"/>
      <c r="C2748" s="614"/>
      <c r="D2748" s="615"/>
      <c r="E2748" s="616"/>
      <c r="F2748" s="617"/>
      <c r="G2748" s="616"/>
      <c r="H2748" s="611"/>
    </row>
    <row r="2749">
      <c r="A2749" s="605"/>
      <c r="B2749" s="606"/>
      <c r="C2749" s="607"/>
      <c r="D2749" s="608"/>
      <c r="E2749" s="609"/>
      <c r="F2749" s="610"/>
      <c r="G2749" s="609"/>
      <c r="H2749" s="611"/>
    </row>
    <row r="2750">
      <c r="A2750" s="612"/>
      <c r="B2750" s="613"/>
      <c r="C2750" s="614"/>
      <c r="D2750" s="615"/>
      <c r="E2750" s="616"/>
      <c r="F2750" s="617"/>
      <c r="G2750" s="616"/>
      <c r="H2750" s="611"/>
    </row>
    <row r="2751">
      <c r="A2751" s="605"/>
      <c r="B2751" s="606"/>
      <c r="C2751" s="607"/>
      <c r="D2751" s="608"/>
      <c r="E2751" s="609"/>
      <c r="F2751" s="610"/>
      <c r="G2751" s="609"/>
      <c r="H2751" s="611"/>
    </row>
    <row r="2752">
      <c r="A2752" s="612"/>
      <c r="B2752" s="613"/>
      <c r="C2752" s="614"/>
      <c r="D2752" s="615"/>
      <c r="E2752" s="616"/>
      <c r="F2752" s="617"/>
      <c r="G2752" s="616"/>
      <c r="H2752" s="611"/>
    </row>
    <row r="2753">
      <c r="A2753" s="605"/>
      <c r="B2753" s="606"/>
      <c r="C2753" s="607"/>
      <c r="D2753" s="608"/>
      <c r="E2753" s="609"/>
      <c r="F2753" s="610"/>
      <c r="G2753" s="609"/>
      <c r="H2753" s="611"/>
    </row>
    <row r="2754">
      <c r="A2754" s="612"/>
      <c r="B2754" s="613"/>
      <c r="C2754" s="614"/>
      <c r="D2754" s="615"/>
      <c r="E2754" s="616"/>
      <c r="F2754" s="617"/>
      <c r="G2754" s="616"/>
      <c r="H2754" s="611"/>
    </row>
    <row r="2755">
      <c r="A2755" s="605"/>
      <c r="B2755" s="606"/>
      <c r="C2755" s="607"/>
      <c r="D2755" s="608"/>
      <c r="E2755" s="609"/>
      <c r="F2755" s="610"/>
      <c r="G2755" s="609"/>
      <c r="H2755" s="611"/>
    </row>
    <row r="2756">
      <c r="A2756" s="612"/>
      <c r="B2756" s="613"/>
      <c r="C2756" s="614"/>
      <c r="D2756" s="615"/>
      <c r="E2756" s="616"/>
      <c r="F2756" s="617"/>
      <c r="G2756" s="616"/>
      <c r="H2756" s="611"/>
    </row>
    <row r="2757">
      <c r="A2757" s="605"/>
      <c r="B2757" s="606"/>
      <c r="C2757" s="607"/>
      <c r="D2757" s="608"/>
      <c r="E2757" s="609"/>
      <c r="F2757" s="610"/>
      <c r="G2757" s="609"/>
      <c r="H2757" s="611"/>
    </row>
    <row r="2758">
      <c r="A2758" s="612"/>
      <c r="B2758" s="613"/>
      <c r="C2758" s="614"/>
      <c r="D2758" s="615"/>
      <c r="E2758" s="616"/>
      <c r="F2758" s="617"/>
      <c r="G2758" s="616"/>
      <c r="H2758" s="611"/>
    </row>
    <row r="2759">
      <c r="A2759" s="605"/>
      <c r="B2759" s="606"/>
      <c r="C2759" s="607"/>
      <c r="D2759" s="608"/>
      <c r="E2759" s="609"/>
      <c r="F2759" s="610"/>
      <c r="G2759" s="609"/>
      <c r="H2759" s="611"/>
    </row>
    <row r="2760">
      <c r="A2760" s="612"/>
      <c r="B2760" s="613"/>
      <c r="C2760" s="614"/>
      <c r="D2760" s="615"/>
      <c r="E2760" s="616"/>
      <c r="F2760" s="617"/>
      <c r="G2760" s="616"/>
      <c r="H2760" s="611"/>
    </row>
    <row r="2761">
      <c r="A2761" s="605"/>
      <c r="B2761" s="606"/>
      <c r="C2761" s="607"/>
      <c r="D2761" s="608"/>
      <c r="E2761" s="609"/>
      <c r="F2761" s="610"/>
      <c r="G2761" s="609"/>
      <c r="H2761" s="611"/>
    </row>
    <row r="2762">
      <c r="A2762" s="612"/>
      <c r="B2762" s="613"/>
      <c r="C2762" s="614"/>
      <c r="D2762" s="615"/>
      <c r="E2762" s="616"/>
      <c r="F2762" s="617"/>
      <c r="G2762" s="616"/>
      <c r="H2762" s="611"/>
    </row>
    <row r="2763">
      <c r="A2763" s="605"/>
      <c r="B2763" s="606"/>
      <c r="C2763" s="607"/>
      <c r="D2763" s="608"/>
      <c r="E2763" s="609"/>
      <c r="F2763" s="610"/>
      <c r="G2763" s="609"/>
      <c r="H2763" s="611"/>
    </row>
    <row r="2764">
      <c r="A2764" s="612"/>
      <c r="B2764" s="613"/>
      <c r="C2764" s="614"/>
      <c r="D2764" s="615"/>
      <c r="E2764" s="616"/>
      <c r="F2764" s="617"/>
      <c r="G2764" s="616"/>
      <c r="H2764" s="611"/>
    </row>
    <row r="2765">
      <c r="A2765" s="605"/>
      <c r="B2765" s="606"/>
      <c r="C2765" s="607"/>
      <c r="D2765" s="608"/>
      <c r="E2765" s="609"/>
      <c r="F2765" s="610"/>
      <c r="G2765" s="609"/>
      <c r="H2765" s="611"/>
    </row>
    <row r="2766">
      <c r="A2766" s="612"/>
      <c r="B2766" s="613"/>
      <c r="C2766" s="614"/>
      <c r="D2766" s="615"/>
      <c r="E2766" s="616"/>
      <c r="F2766" s="617"/>
      <c r="G2766" s="616"/>
      <c r="H2766" s="611"/>
    </row>
    <row r="2767">
      <c r="A2767" s="605"/>
      <c r="B2767" s="606"/>
      <c r="C2767" s="607"/>
      <c r="D2767" s="608"/>
      <c r="E2767" s="609"/>
      <c r="F2767" s="610"/>
      <c r="G2767" s="609"/>
      <c r="H2767" s="611"/>
    </row>
    <row r="2768">
      <c r="A2768" s="612"/>
      <c r="B2768" s="613"/>
      <c r="C2768" s="614"/>
      <c r="D2768" s="615"/>
      <c r="E2768" s="616"/>
      <c r="F2768" s="617"/>
      <c r="G2768" s="616"/>
      <c r="H2768" s="611"/>
    </row>
    <row r="2769">
      <c r="A2769" s="605"/>
      <c r="B2769" s="606"/>
      <c r="C2769" s="607"/>
      <c r="D2769" s="608"/>
      <c r="E2769" s="609"/>
      <c r="F2769" s="610"/>
      <c r="G2769" s="609"/>
      <c r="H2769" s="611"/>
    </row>
    <row r="2770">
      <c r="A2770" s="612"/>
      <c r="B2770" s="613"/>
      <c r="C2770" s="614"/>
      <c r="D2770" s="615"/>
      <c r="E2770" s="616"/>
      <c r="F2770" s="617"/>
      <c r="G2770" s="616"/>
      <c r="H2770" s="611"/>
    </row>
    <row r="2771">
      <c r="A2771" s="605"/>
      <c r="B2771" s="606"/>
      <c r="C2771" s="607"/>
      <c r="D2771" s="608"/>
      <c r="E2771" s="609"/>
      <c r="F2771" s="610"/>
      <c r="G2771" s="609"/>
      <c r="H2771" s="611"/>
    </row>
    <row r="2772">
      <c r="A2772" s="612"/>
      <c r="B2772" s="613"/>
      <c r="C2772" s="614"/>
      <c r="D2772" s="615"/>
      <c r="E2772" s="616"/>
      <c r="F2772" s="617"/>
      <c r="G2772" s="616"/>
      <c r="H2772" s="611"/>
    </row>
    <row r="2773">
      <c r="A2773" s="605"/>
      <c r="B2773" s="606"/>
      <c r="C2773" s="607"/>
      <c r="D2773" s="608"/>
      <c r="E2773" s="609"/>
      <c r="F2773" s="610"/>
      <c r="G2773" s="609"/>
      <c r="H2773" s="611"/>
    </row>
    <row r="2774">
      <c r="A2774" s="612"/>
      <c r="B2774" s="613"/>
      <c r="C2774" s="614"/>
      <c r="D2774" s="615"/>
      <c r="E2774" s="616"/>
      <c r="F2774" s="617"/>
      <c r="G2774" s="616"/>
      <c r="H2774" s="611"/>
    </row>
    <row r="2775">
      <c r="A2775" s="605"/>
      <c r="B2775" s="606"/>
      <c r="C2775" s="607"/>
      <c r="D2775" s="608"/>
      <c r="E2775" s="609"/>
      <c r="F2775" s="610"/>
      <c r="G2775" s="609"/>
      <c r="H2775" s="611"/>
    </row>
    <row r="2776">
      <c r="A2776" s="612"/>
      <c r="B2776" s="613"/>
      <c r="C2776" s="614"/>
      <c r="D2776" s="615"/>
      <c r="E2776" s="616"/>
      <c r="F2776" s="617"/>
      <c r="G2776" s="616"/>
      <c r="H2776" s="611"/>
    </row>
    <row r="2777">
      <c r="A2777" s="605"/>
      <c r="B2777" s="606"/>
      <c r="C2777" s="607"/>
      <c r="D2777" s="608"/>
      <c r="E2777" s="609"/>
      <c r="F2777" s="610"/>
      <c r="G2777" s="609"/>
      <c r="H2777" s="611"/>
    </row>
    <row r="2778">
      <c r="A2778" s="612"/>
      <c r="B2778" s="613"/>
      <c r="C2778" s="614"/>
      <c r="D2778" s="615"/>
      <c r="E2778" s="616"/>
      <c r="F2778" s="617"/>
      <c r="G2778" s="616"/>
      <c r="H2778" s="611"/>
    </row>
    <row r="2779">
      <c r="A2779" s="605"/>
      <c r="B2779" s="606"/>
      <c r="C2779" s="607"/>
      <c r="D2779" s="608"/>
      <c r="E2779" s="609"/>
      <c r="F2779" s="610"/>
      <c r="G2779" s="609"/>
      <c r="H2779" s="611"/>
    </row>
    <row r="2780">
      <c r="A2780" s="612"/>
      <c r="B2780" s="613"/>
      <c r="C2780" s="614"/>
      <c r="D2780" s="615"/>
      <c r="E2780" s="616"/>
      <c r="F2780" s="617"/>
      <c r="G2780" s="616"/>
      <c r="H2780" s="611"/>
    </row>
    <row r="2781">
      <c r="A2781" s="605"/>
      <c r="B2781" s="606"/>
      <c r="C2781" s="607"/>
      <c r="D2781" s="608"/>
      <c r="E2781" s="609"/>
      <c r="F2781" s="610"/>
      <c r="G2781" s="609"/>
      <c r="H2781" s="611"/>
    </row>
    <row r="2782">
      <c r="A2782" s="612"/>
      <c r="B2782" s="613"/>
      <c r="C2782" s="614"/>
      <c r="D2782" s="615"/>
      <c r="E2782" s="616"/>
      <c r="F2782" s="617"/>
      <c r="G2782" s="616"/>
      <c r="H2782" s="611"/>
    </row>
    <row r="2783">
      <c r="A2783" s="605"/>
      <c r="B2783" s="606"/>
      <c r="C2783" s="607"/>
      <c r="D2783" s="608"/>
      <c r="E2783" s="609"/>
      <c r="F2783" s="610"/>
      <c r="G2783" s="609"/>
      <c r="H2783" s="611"/>
    </row>
    <row r="2784">
      <c r="A2784" s="612"/>
      <c r="B2784" s="613"/>
      <c r="C2784" s="614"/>
      <c r="D2784" s="615"/>
      <c r="E2784" s="616"/>
      <c r="F2784" s="617"/>
      <c r="G2784" s="616"/>
      <c r="H2784" s="611"/>
    </row>
    <row r="2785">
      <c r="A2785" s="605"/>
      <c r="B2785" s="606"/>
      <c r="C2785" s="607"/>
      <c r="D2785" s="608"/>
      <c r="E2785" s="609"/>
      <c r="F2785" s="610"/>
      <c r="G2785" s="609"/>
      <c r="H2785" s="611"/>
    </row>
    <row r="2786">
      <c r="A2786" s="612"/>
      <c r="B2786" s="613"/>
      <c r="C2786" s="614"/>
      <c r="D2786" s="615"/>
      <c r="E2786" s="616"/>
      <c r="F2786" s="617"/>
      <c r="G2786" s="616"/>
      <c r="H2786" s="611"/>
    </row>
    <row r="2787">
      <c r="A2787" s="605"/>
      <c r="B2787" s="606"/>
      <c r="C2787" s="607"/>
      <c r="D2787" s="608"/>
      <c r="E2787" s="609"/>
      <c r="F2787" s="610"/>
      <c r="G2787" s="609"/>
      <c r="H2787" s="611"/>
    </row>
    <row r="2788">
      <c r="A2788" s="612"/>
      <c r="B2788" s="613"/>
      <c r="C2788" s="614"/>
      <c r="D2788" s="615"/>
      <c r="E2788" s="616"/>
      <c r="F2788" s="617"/>
      <c r="G2788" s="616"/>
      <c r="H2788" s="611"/>
    </row>
    <row r="2789">
      <c r="A2789" s="605"/>
      <c r="B2789" s="606"/>
      <c r="C2789" s="607"/>
      <c r="D2789" s="608"/>
      <c r="E2789" s="609"/>
      <c r="F2789" s="610"/>
      <c r="G2789" s="609"/>
      <c r="H2789" s="611"/>
    </row>
    <row r="2790">
      <c r="A2790" s="612"/>
      <c r="B2790" s="613"/>
      <c r="C2790" s="614"/>
      <c r="D2790" s="615"/>
      <c r="E2790" s="616"/>
      <c r="F2790" s="617"/>
      <c r="G2790" s="616"/>
      <c r="H2790" s="611"/>
    </row>
    <row r="2791">
      <c r="A2791" s="605"/>
      <c r="B2791" s="606"/>
      <c r="C2791" s="607"/>
      <c r="D2791" s="608"/>
      <c r="E2791" s="609"/>
      <c r="F2791" s="610"/>
      <c r="G2791" s="609"/>
      <c r="H2791" s="611"/>
    </row>
    <row r="2792">
      <c r="A2792" s="612"/>
      <c r="B2792" s="613"/>
      <c r="C2792" s="614"/>
      <c r="D2792" s="615"/>
      <c r="E2792" s="616"/>
      <c r="F2792" s="617"/>
      <c r="G2792" s="616"/>
      <c r="H2792" s="611"/>
    </row>
    <row r="2793">
      <c r="A2793" s="605"/>
      <c r="B2793" s="606"/>
      <c r="C2793" s="607"/>
      <c r="D2793" s="608"/>
      <c r="E2793" s="609"/>
      <c r="F2793" s="610"/>
      <c r="G2793" s="609"/>
      <c r="H2793" s="611"/>
    </row>
    <row r="2794">
      <c r="A2794" s="612"/>
      <c r="B2794" s="613"/>
      <c r="C2794" s="614"/>
      <c r="D2794" s="615"/>
      <c r="E2794" s="616"/>
      <c r="F2794" s="617"/>
      <c r="G2794" s="616"/>
      <c r="H2794" s="611"/>
    </row>
    <row r="2795">
      <c r="A2795" s="605"/>
      <c r="B2795" s="606"/>
      <c r="C2795" s="607"/>
      <c r="D2795" s="608"/>
      <c r="E2795" s="609"/>
      <c r="F2795" s="610"/>
      <c r="G2795" s="609"/>
      <c r="H2795" s="611"/>
    </row>
    <row r="2796">
      <c r="A2796" s="612"/>
      <c r="B2796" s="613"/>
      <c r="C2796" s="614"/>
      <c r="D2796" s="615"/>
      <c r="E2796" s="616"/>
      <c r="F2796" s="617"/>
      <c r="G2796" s="616"/>
      <c r="H2796" s="611"/>
    </row>
    <row r="2797">
      <c r="A2797" s="605"/>
      <c r="B2797" s="606"/>
      <c r="C2797" s="607"/>
      <c r="D2797" s="608"/>
      <c r="E2797" s="609"/>
      <c r="F2797" s="610"/>
      <c r="G2797" s="609"/>
      <c r="H2797" s="611"/>
    </row>
    <row r="2798">
      <c r="A2798" s="612"/>
      <c r="B2798" s="613"/>
      <c r="C2798" s="614"/>
      <c r="D2798" s="615"/>
      <c r="E2798" s="616"/>
      <c r="F2798" s="617"/>
      <c r="G2798" s="616"/>
      <c r="H2798" s="611"/>
    </row>
    <row r="2799">
      <c r="A2799" s="605"/>
      <c r="B2799" s="606"/>
      <c r="C2799" s="607"/>
      <c r="D2799" s="608"/>
      <c r="E2799" s="609"/>
      <c r="F2799" s="610"/>
      <c r="G2799" s="609"/>
      <c r="H2799" s="611"/>
    </row>
    <row r="2800">
      <c r="A2800" s="612"/>
      <c r="B2800" s="613"/>
      <c r="C2800" s="614"/>
      <c r="D2800" s="615"/>
      <c r="E2800" s="616"/>
      <c r="F2800" s="617"/>
      <c r="G2800" s="616"/>
      <c r="H2800" s="611"/>
    </row>
    <row r="2801">
      <c r="A2801" s="605"/>
      <c r="B2801" s="606"/>
      <c r="C2801" s="607"/>
      <c r="D2801" s="608"/>
      <c r="E2801" s="609"/>
      <c r="F2801" s="610"/>
      <c r="G2801" s="609"/>
      <c r="H2801" s="611"/>
    </row>
    <row r="2802">
      <c r="A2802" s="612"/>
      <c r="B2802" s="613"/>
      <c r="C2802" s="614"/>
      <c r="D2802" s="615"/>
      <c r="E2802" s="616"/>
      <c r="F2802" s="617"/>
      <c r="G2802" s="616"/>
      <c r="H2802" s="611"/>
    </row>
    <row r="2803">
      <c r="A2803" s="605"/>
      <c r="B2803" s="606"/>
      <c r="C2803" s="607"/>
      <c r="D2803" s="608"/>
      <c r="E2803" s="609"/>
      <c r="F2803" s="610"/>
      <c r="G2803" s="609"/>
      <c r="H2803" s="611"/>
    </row>
    <row r="2804">
      <c r="A2804" s="612"/>
      <c r="B2804" s="613"/>
      <c r="C2804" s="614"/>
      <c r="D2804" s="615"/>
      <c r="E2804" s="616"/>
      <c r="F2804" s="617"/>
      <c r="G2804" s="616"/>
      <c r="H2804" s="611"/>
    </row>
    <row r="2805">
      <c r="A2805" s="605"/>
      <c r="B2805" s="606"/>
      <c r="C2805" s="607"/>
      <c r="D2805" s="608"/>
      <c r="E2805" s="609"/>
      <c r="F2805" s="610"/>
      <c r="G2805" s="609"/>
      <c r="H2805" s="611"/>
    </row>
    <row r="2806">
      <c r="A2806" s="612"/>
      <c r="B2806" s="613"/>
      <c r="C2806" s="614"/>
      <c r="D2806" s="615"/>
      <c r="E2806" s="616"/>
      <c r="F2806" s="617"/>
      <c r="G2806" s="616"/>
      <c r="H2806" s="611"/>
    </row>
    <row r="2807">
      <c r="A2807" s="605"/>
      <c r="B2807" s="606"/>
      <c r="C2807" s="607"/>
      <c r="D2807" s="608"/>
      <c r="E2807" s="609"/>
      <c r="F2807" s="610"/>
      <c r="G2807" s="609"/>
      <c r="H2807" s="611"/>
    </row>
    <row r="2808">
      <c r="A2808" s="612"/>
      <c r="B2808" s="613"/>
      <c r="C2808" s="614"/>
      <c r="D2808" s="615"/>
      <c r="E2808" s="616"/>
      <c r="F2808" s="617"/>
      <c r="G2808" s="616"/>
      <c r="H2808" s="611"/>
    </row>
    <row r="2809">
      <c r="A2809" s="605"/>
      <c r="B2809" s="606"/>
      <c r="C2809" s="607"/>
      <c r="D2809" s="608"/>
      <c r="E2809" s="609"/>
      <c r="F2809" s="610"/>
      <c r="G2809" s="609"/>
      <c r="H2809" s="611"/>
    </row>
    <row r="2810">
      <c r="A2810" s="612"/>
      <c r="B2810" s="613"/>
      <c r="C2810" s="614"/>
      <c r="D2810" s="615"/>
      <c r="E2810" s="616"/>
      <c r="F2810" s="617"/>
      <c r="G2810" s="616"/>
      <c r="H2810" s="611"/>
    </row>
    <row r="2811">
      <c r="A2811" s="605"/>
      <c r="B2811" s="606"/>
      <c r="C2811" s="607"/>
      <c r="D2811" s="608"/>
      <c r="E2811" s="609"/>
      <c r="F2811" s="610"/>
      <c r="G2811" s="609"/>
      <c r="H2811" s="611"/>
    </row>
    <row r="2812">
      <c r="A2812" s="612"/>
      <c r="B2812" s="613"/>
      <c r="C2812" s="614"/>
      <c r="D2812" s="615"/>
      <c r="E2812" s="616"/>
      <c r="F2812" s="617"/>
      <c r="G2812" s="616"/>
      <c r="H2812" s="611"/>
    </row>
    <row r="2813">
      <c r="A2813" s="605"/>
      <c r="B2813" s="606"/>
      <c r="C2813" s="607"/>
      <c r="D2813" s="608"/>
      <c r="E2813" s="609"/>
      <c r="F2813" s="610"/>
      <c r="G2813" s="609"/>
      <c r="H2813" s="611"/>
    </row>
    <row r="2814">
      <c r="A2814" s="612"/>
      <c r="B2814" s="613"/>
      <c r="C2814" s="614"/>
      <c r="D2814" s="615"/>
      <c r="E2814" s="616"/>
      <c r="F2814" s="617"/>
      <c r="G2814" s="616"/>
      <c r="H2814" s="611"/>
    </row>
    <row r="2815">
      <c r="A2815" s="605"/>
      <c r="B2815" s="606"/>
      <c r="C2815" s="607"/>
      <c r="D2815" s="608"/>
      <c r="E2815" s="609"/>
      <c r="F2815" s="610"/>
      <c r="G2815" s="609"/>
      <c r="H2815" s="611"/>
    </row>
    <row r="2816">
      <c r="A2816" s="612"/>
      <c r="B2816" s="613"/>
      <c r="C2816" s="614"/>
      <c r="D2816" s="615"/>
      <c r="E2816" s="616"/>
      <c r="F2816" s="617"/>
      <c r="G2816" s="616"/>
      <c r="H2816" s="611"/>
    </row>
    <row r="2817">
      <c r="A2817" s="605"/>
      <c r="B2817" s="606"/>
      <c r="C2817" s="607"/>
      <c r="D2817" s="608"/>
      <c r="E2817" s="609"/>
      <c r="F2817" s="610"/>
      <c r="G2817" s="609"/>
      <c r="H2817" s="611"/>
    </row>
    <row r="2818">
      <c r="A2818" s="612"/>
      <c r="B2818" s="613"/>
      <c r="C2818" s="614"/>
      <c r="D2818" s="615"/>
      <c r="E2818" s="616"/>
      <c r="F2818" s="617"/>
      <c r="G2818" s="616"/>
      <c r="H2818" s="611"/>
    </row>
    <row r="2819">
      <c r="A2819" s="605"/>
      <c r="B2819" s="606"/>
      <c r="C2819" s="607"/>
      <c r="D2819" s="608"/>
      <c r="E2819" s="609"/>
      <c r="F2819" s="610"/>
      <c r="G2819" s="609"/>
      <c r="H2819" s="611"/>
    </row>
    <row r="2820">
      <c r="A2820" s="612"/>
      <c r="B2820" s="613"/>
      <c r="C2820" s="614"/>
      <c r="D2820" s="615"/>
      <c r="E2820" s="616"/>
      <c r="F2820" s="617"/>
      <c r="G2820" s="616"/>
      <c r="H2820" s="611"/>
    </row>
    <row r="2821">
      <c r="A2821" s="605"/>
      <c r="B2821" s="606"/>
      <c r="C2821" s="607"/>
      <c r="D2821" s="608"/>
      <c r="E2821" s="609"/>
      <c r="F2821" s="610"/>
      <c r="G2821" s="609"/>
      <c r="H2821" s="611"/>
    </row>
    <row r="2822">
      <c r="A2822" s="612"/>
      <c r="B2822" s="613"/>
      <c r="C2822" s="614"/>
      <c r="D2822" s="615"/>
      <c r="E2822" s="616"/>
      <c r="F2822" s="617"/>
      <c r="G2822" s="616"/>
      <c r="H2822" s="611"/>
    </row>
    <row r="2823">
      <c r="A2823" s="605"/>
      <c r="B2823" s="606"/>
      <c r="C2823" s="607"/>
      <c r="D2823" s="608"/>
      <c r="E2823" s="609"/>
      <c r="F2823" s="610"/>
      <c r="G2823" s="609"/>
      <c r="H2823" s="611"/>
    </row>
    <row r="2824">
      <c r="A2824" s="612"/>
      <c r="B2824" s="613"/>
      <c r="C2824" s="614"/>
      <c r="D2824" s="615"/>
      <c r="E2824" s="616"/>
      <c r="F2824" s="617"/>
      <c r="G2824" s="616"/>
      <c r="H2824" s="611"/>
    </row>
    <row r="2825">
      <c r="A2825" s="605"/>
      <c r="B2825" s="606"/>
      <c r="C2825" s="607"/>
      <c r="D2825" s="608"/>
      <c r="E2825" s="609"/>
      <c r="F2825" s="610"/>
      <c r="G2825" s="609"/>
      <c r="H2825" s="611"/>
    </row>
    <row r="2826">
      <c r="A2826" s="612"/>
      <c r="B2826" s="613"/>
      <c r="C2826" s="614"/>
      <c r="D2826" s="615"/>
      <c r="E2826" s="616"/>
      <c r="F2826" s="617"/>
      <c r="G2826" s="616"/>
      <c r="H2826" s="611"/>
    </row>
    <row r="2827">
      <c r="A2827" s="605"/>
      <c r="B2827" s="606"/>
      <c r="C2827" s="607"/>
      <c r="D2827" s="608"/>
      <c r="E2827" s="609"/>
      <c r="F2827" s="610"/>
      <c r="G2827" s="609"/>
      <c r="H2827" s="611"/>
    </row>
    <row r="2828">
      <c r="A2828" s="612"/>
      <c r="B2828" s="613"/>
      <c r="C2828" s="614"/>
      <c r="D2828" s="615"/>
      <c r="E2828" s="616"/>
      <c r="F2828" s="617"/>
      <c r="G2828" s="616"/>
      <c r="H2828" s="611"/>
    </row>
    <row r="2829">
      <c r="A2829" s="605"/>
      <c r="B2829" s="606"/>
      <c r="C2829" s="607"/>
      <c r="D2829" s="608"/>
      <c r="E2829" s="609"/>
      <c r="F2829" s="610"/>
      <c r="G2829" s="609"/>
      <c r="H2829" s="611"/>
    </row>
    <row r="2830">
      <c r="A2830" s="612"/>
      <c r="B2830" s="613"/>
      <c r="C2830" s="614"/>
      <c r="D2830" s="615"/>
      <c r="E2830" s="616"/>
      <c r="F2830" s="617"/>
      <c r="G2830" s="616"/>
      <c r="H2830" s="611"/>
    </row>
    <row r="2831">
      <c r="A2831" s="605"/>
      <c r="B2831" s="606"/>
      <c r="C2831" s="607"/>
      <c r="D2831" s="608"/>
      <c r="E2831" s="609"/>
      <c r="F2831" s="610"/>
      <c r="G2831" s="609"/>
      <c r="H2831" s="611"/>
    </row>
    <row r="2832">
      <c r="A2832" s="612"/>
      <c r="B2832" s="613"/>
      <c r="C2832" s="614"/>
      <c r="D2832" s="615"/>
      <c r="E2832" s="616"/>
      <c r="F2832" s="617"/>
      <c r="G2832" s="616"/>
      <c r="H2832" s="611"/>
    </row>
    <row r="2833">
      <c r="A2833" s="605"/>
      <c r="B2833" s="606"/>
      <c r="C2833" s="607"/>
      <c r="D2833" s="608"/>
      <c r="E2833" s="609"/>
      <c r="F2833" s="610"/>
      <c r="G2833" s="609"/>
      <c r="H2833" s="611"/>
    </row>
    <row r="2834">
      <c r="A2834" s="612"/>
      <c r="B2834" s="613"/>
      <c r="C2834" s="614"/>
      <c r="D2834" s="615"/>
      <c r="E2834" s="616"/>
      <c r="F2834" s="617"/>
      <c r="G2834" s="616"/>
      <c r="H2834" s="611"/>
    </row>
    <row r="2835">
      <c r="A2835" s="605"/>
      <c r="B2835" s="606"/>
      <c r="C2835" s="607"/>
      <c r="D2835" s="608"/>
      <c r="E2835" s="609"/>
      <c r="F2835" s="610"/>
      <c r="G2835" s="609"/>
      <c r="H2835" s="611"/>
    </row>
    <row r="2836">
      <c r="A2836" s="612"/>
      <c r="B2836" s="613"/>
      <c r="C2836" s="614"/>
      <c r="D2836" s="615"/>
      <c r="E2836" s="616"/>
      <c r="F2836" s="617"/>
      <c r="G2836" s="616"/>
      <c r="H2836" s="611"/>
    </row>
    <row r="2837">
      <c r="A2837" s="605"/>
      <c r="B2837" s="606"/>
      <c r="C2837" s="607"/>
      <c r="D2837" s="608"/>
      <c r="E2837" s="609"/>
      <c r="F2837" s="610"/>
      <c r="G2837" s="609"/>
      <c r="H2837" s="611"/>
    </row>
    <row r="2838">
      <c r="A2838" s="612"/>
      <c r="B2838" s="613"/>
      <c r="C2838" s="614"/>
      <c r="D2838" s="615"/>
      <c r="E2838" s="616"/>
      <c r="F2838" s="617"/>
      <c r="G2838" s="616"/>
      <c r="H2838" s="611"/>
    </row>
    <row r="2839">
      <c r="A2839" s="605"/>
      <c r="B2839" s="606"/>
      <c r="C2839" s="607"/>
      <c r="D2839" s="608"/>
      <c r="E2839" s="609"/>
      <c r="F2839" s="610"/>
      <c r="G2839" s="609"/>
      <c r="H2839" s="611"/>
    </row>
    <row r="2840">
      <c r="A2840" s="612"/>
      <c r="B2840" s="613"/>
      <c r="C2840" s="614"/>
      <c r="D2840" s="615"/>
      <c r="E2840" s="616"/>
      <c r="F2840" s="617"/>
      <c r="G2840" s="616"/>
      <c r="H2840" s="611"/>
    </row>
    <row r="2841">
      <c r="A2841" s="605"/>
      <c r="B2841" s="606"/>
      <c r="C2841" s="607"/>
      <c r="D2841" s="608"/>
      <c r="E2841" s="609"/>
      <c r="F2841" s="610"/>
      <c r="G2841" s="609"/>
      <c r="H2841" s="611"/>
    </row>
    <row r="2842">
      <c r="A2842" s="612"/>
      <c r="B2842" s="613"/>
      <c r="C2842" s="614"/>
      <c r="D2842" s="615"/>
      <c r="E2842" s="616"/>
      <c r="F2842" s="617"/>
      <c r="G2842" s="616"/>
      <c r="H2842" s="611"/>
    </row>
    <row r="2843">
      <c r="A2843" s="605"/>
      <c r="B2843" s="606"/>
      <c r="C2843" s="607"/>
      <c r="D2843" s="608"/>
      <c r="E2843" s="609"/>
      <c r="F2843" s="610"/>
      <c r="G2843" s="609"/>
      <c r="H2843" s="611"/>
    </row>
    <row r="2844">
      <c r="A2844" s="612"/>
      <c r="B2844" s="613"/>
      <c r="C2844" s="614"/>
      <c r="D2844" s="615"/>
      <c r="E2844" s="616"/>
      <c r="F2844" s="617"/>
      <c r="G2844" s="616"/>
      <c r="H2844" s="611"/>
    </row>
    <row r="2845">
      <c r="A2845" s="605"/>
      <c r="B2845" s="606"/>
      <c r="C2845" s="607"/>
      <c r="D2845" s="608"/>
      <c r="E2845" s="609"/>
      <c r="F2845" s="610"/>
      <c r="G2845" s="609"/>
      <c r="H2845" s="611"/>
    </row>
    <row r="2846">
      <c r="A2846" s="612"/>
      <c r="B2846" s="613"/>
      <c r="C2846" s="614"/>
      <c r="D2846" s="615"/>
      <c r="E2846" s="616"/>
      <c r="F2846" s="617"/>
      <c r="G2846" s="616"/>
      <c r="H2846" s="611"/>
    </row>
    <row r="2847">
      <c r="A2847" s="605"/>
      <c r="B2847" s="606"/>
      <c r="C2847" s="607"/>
      <c r="D2847" s="608"/>
      <c r="E2847" s="609"/>
      <c r="F2847" s="610"/>
      <c r="G2847" s="609"/>
      <c r="H2847" s="611"/>
    </row>
    <row r="2848">
      <c r="A2848" s="612"/>
      <c r="B2848" s="613"/>
      <c r="C2848" s="614"/>
      <c r="D2848" s="615"/>
      <c r="E2848" s="616"/>
      <c r="F2848" s="617"/>
      <c r="G2848" s="616"/>
      <c r="H2848" s="611"/>
    </row>
    <row r="2849">
      <c r="A2849" s="605"/>
      <c r="B2849" s="606"/>
      <c r="C2849" s="607"/>
      <c r="D2849" s="608"/>
      <c r="E2849" s="609"/>
      <c r="F2849" s="610"/>
      <c r="G2849" s="609"/>
      <c r="H2849" s="611"/>
    </row>
    <row r="2850">
      <c r="A2850" s="612"/>
      <c r="B2850" s="613"/>
      <c r="C2850" s="614"/>
      <c r="D2850" s="615"/>
      <c r="E2850" s="616"/>
      <c r="F2850" s="617"/>
      <c r="G2850" s="616"/>
      <c r="H2850" s="611"/>
    </row>
    <row r="2851">
      <c r="A2851" s="605"/>
      <c r="B2851" s="606"/>
      <c r="C2851" s="607"/>
      <c r="D2851" s="608"/>
      <c r="E2851" s="609"/>
      <c r="F2851" s="610"/>
      <c r="G2851" s="609"/>
      <c r="H2851" s="611"/>
    </row>
    <row r="2852">
      <c r="A2852" s="612"/>
      <c r="B2852" s="613"/>
      <c r="C2852" s="614"/>
      <c r="D2852" s="615"/>
      <c r="E2852" s="616"/>
      <c r="F2852" s="617"/>
      <c r="G2852" s="616"/>
      <c r="H2852" s="611"/>
    </row>
    <row r="2853">
      <c r="A2853" s="605"/>
      <c r="B2853" s="606"/>
      <c r="C2853" s="607"/>
      <c r="D2853" s="608"/>
      <c r="E2853" s="609"/>
      <c r="F2853" s="610"/>
      <c r="G2853" s="609"/>
      <c r="H2853" s="611"/>
    </row>
    <row r="2854">
      <c r="A2854" s="612"/>
      <c r="B2854" s="613"/>
      <c r="C2854" s="614"/>
      <c r="D2854" s="615"/>
      <c r="E2854" s="616"/>
      <c r="F2854" s="617"/>
      <c r="G2854" s="616"/>
      <c r="H2854" s="611"/>
    </row>
    <row r="2855">
      <c r="A2855" s="605"/>
      <c r="B2855" s="606"/>
      <c r="C2855" s="607"/>
      <c r="D2855" s="608"/>
      <c r="E2855" s="609"/>
      <c r="F2855" s="610"/>
      <c r="G2855" s="609"/>
      <c r="H2855" s="611"/>
    </row>
    <row r="2856">
      <c r="A2856" s="612"/>
      <c r="B2856" s="613"/>
      <c r="C2856" s="614"/>
      <c r="D2856" s="615"/>
      <c r="E2856" s="616"/>
      <c r="F2856" s="617"/>
      <c r="G2856" s="616"/>
      <c r="H2856" s="611"/>
    </row>
    <row r="2857">
      <c r="A2857" s="605"/>
      <c r="B2857" s="606"/>
      <c r="C2857" s="607"/>
      <c r="D2857" s="608"/>
      <c r="E2857" s="609"/>
      <c r="F2857" s="610"/>
      <c r="G2857" s="609"/>
      <c r="H2857" s="611"/>
    </row>
    <row r="2858">
      <c r="A2858" s="612"/>
      <c r="B2858" s="613"/>
      <c r="C2858" s="614"/>
      <c r="D2858" s="615"/>
      <c r="E2858" s="616"/>
      <c r="F2858" s="617"/>
      <c r="G2858" s="616"/>
      <c r="H2858" s="611"/>
    </row>
    <row r="2859">
      <c r="A2859" s="605"/>
      <c r="B2859" s="606"/>
      <c r="C2859" s="607"/>
      <c r="D2859" s="608"/>
      <c r="E2859" s="609"/>
      <c r="F2859" s="610"/>
      <c r="G2859" s="609"/>
      <c r="H2859" s="611"/>
    </row>
    <row r="2860">
      <c r="A2860" s="612"/>
      <c r="B2860" s="613"/>
      <c r="C2860" s="614"/>
      <c r="D2860" s="615"/>
      <c r="E2860" s="616"/>
      <c r="F2860" s="617"/>
      <c r="G2860" s="616"/>
      <c r="H2860" s="611"/>
    </row>
    <row r="2861">
      <c r="A2861" s="605"/>
      <c r="B2861" s="606"/>
      <c r="C2861" s="607"/>
      <c r="D2861" s="608"/>
      <c r="E2861" s="609"/>
      <c r="F2861" s="610"/>
      <c r="G2861" s="609"/>
      <c r="H2861" s="611"/>
    </row>
    <row r="2862">
      <c r="A2862" s="612"/>
      <c r="B2862" s="613"/>
      <c r="C2862" s="614"/>
      <c r="D2862" s="615"/>
      <c r="E2862" s="616"/>
      <c r="F2862" s="617"/>
      <c r="G2862" s="616"/>
      <c r="H2862" s="611"/>
    </row>
    <row r="2863">
      <c r="A2863" s="605"/>
      <c r="B2863" s="606"/>
      <c r="C2863" s="607"/>
      <c r="D2863" s="608"/>
      <c r="E2863" s="609"/>
      <c r="F2863" s="610"/>
      <c r="G2863" s="609"/>
      <c r="H2863" s="611"/>
    </row>
    <row r="2864">
      <c r="A2864" s="612"/>
      <c r="B2864" s="613"/>
      <c r="C2864" s="614"/>
      <c r="D2864" s="615"/>
      <c r="E2864" s="616"/>
      <c r="F2864" s="617"/>
      <c r="G2864" s="616"/>
      <c r="H2864" s="611"/>
    </row>
    <row r="2865">
      <c r="A2865" s="605"/>
      <c r="B2865" s="606"/>
      <c r="C2865" s="607"/>
      <c r="D2865" s="608"/>
      <c r="E2865" s="609"/>
      <c r="F2865" s="610"/>
      <c r="G2865" s="609"/>
      <c r="H2865" s="611"/>
    </row>
    <row r="2866">
      <c r="A2866" s="612"/>
      <c r="B2866" s="613"/>
      <c r="C2866" s="614"/>
      <c r="D2866" s="615"/>
      <c r="E2866" s="616"/>
      <c r="F2866" s="617"/>
      <c r="G2866" s="616"/>
      <c r="H2866" s="611"/>
    </row>
    <row r="2867">
      <c r="A2867" s="605"/>
      <c r="B2867" s="606"/>
      <c r="C2867" s="607"/>
      <c r="D2867" s="608"/>
      <c r="E2867" s="609"/>
      <c r="F2867" s="610"/>
      <c r="G2867" s="609"/>
      <c r="H2867" s="611"/>
    </row>
    <row r="2868">
      <c r="A2868" s="612"/>
      <c r="B2868" s="613"/>
      <c r="C2868" s="614"/>
      <c r="D2868" s="615"/>
      <c r="E2868" s="616"/>
      <c r="F2868" s="617"/>
      <c r="G2868" s="616"/>
      <c r="H2868" s="611"/>
    </row>
    <row r="2869">
      <c r="A2869" s="605"/>
      <c r="B2869" s="606"/>
      <c r="C2869" s="607"/>
      <c r="D2869" s="608"/>
      <c r="E2869" s="609"/>
      <c r="F2869" s="610"/>
      <c r="G2869" s="609"/>
      <c r="H2869" s="611"/>
    </row>
    <row r="2870">
      <c r="A2870" s="612"/>
      <c r="B2870" s="613"/>
      <c r="C2870" s="614"/>
      <c r="D2870" s="615"/>
      <c r="E2870" s="616"/>
      <c r="F2870" s="617"/>
      <c r="G2870" s="616"/>
      <c r="H2870" s="611"/>
    </row>
    <row r="2871">
      <c r="A2871" s="605"/>
      <c r="B2871" s="606"/>
      <c r="C2871" s="607"/>
      <c r="D2871" s="608"/>
      <c r="E2871" s="609"/>
      <c r="F2871" s="610"/>
      <c r="G2871" s="609"/>
      <c r="H2871" s="611"/>
    </row>
    <row r="2872">
      <c r="A2872" s="612"/>
      <c r="B2872" s="613"/>
      <c r="C2872" s="614"/>
      <c r="D2872" s="615"/>
      <c r="E2872" s="616"/>
      <c r="F2872" s="617"/>
      <c r="G2872" s="616"/>
      <c r="H2872" s="611"/>
    </row>
    <row r="2873">
      <c r="A2873" s="605"/>
      <c r="B2873" s="606"/>
      <c r="C2873" s="607"/>
      <c r="D2873" s="608"/>
      <c r="E2873" s="609"/>
      <c r="F2873" s="610"/>
      <c r="G2873" s="609"/>
      <c r="H2873" s="611"/>
    </row>
    <row r="2874">
      <c r="A2874" s="612"/>
      <c r="B2874" s="613"/>
      <c r="C2874" s="614"/>
      <c r="D2874" s="615"/>
      <c r="E2874" s="616"/>
      <c r="F2874" s="617"/>
      <c r="G2874" s="616"/>
      <c r="H2874" s="611"/>
    </row>
    <row r="2875">
      <c r="A2875" s="605"/>
      <c r="B2875" s="606"/>
      <c r="C2875" s="607"/>
      <c r="D2875" s="608"/>
      <c r="E2875" s="609"/>
      <c r="F2875" s="610"/>
      <c r="G2875" s="609"/>
      <c r="H2875" s="611"/>
    </row>
    <row r="2876">
      <c r="A2876" s="612"/>
      <c r="B2876" s="613"/>
      <c r="C2876" s="614"/>
      <c r="D2876" s="615"/>
      <c r="E2876" s="616"/>
      <c r="F2876" s="617"/>
      <c r="G2876" s="616"/>
      <c r="H2876" s="611"/>
    </row>
    <row r="2877">
      <c r="A2877" s="605"/>
      <c r="B2877" s="606"/>
      <c r="C2877" s="607"/>
      <c r="D2877" s="608"/>
      <c r="E2877" s="609"/>
      <c r="F2877" s="610"/>
      <c r="G2877" s="609"/>
      <c r="H2877" s="611"/>
    </row>
    <row r="2878">
      <c r="A2878" s="612"/>
      <c r="B2878" s="613"/>
      <c r="C2878" s="614"/>
      <c r="D2878" s="615"/>
      <c r="E2878" s="616"/>
      <c r="F2878" s="617"/>
      <c r="G2878" s="616"/>
      <c r="H2878" s="611"/>
    </row>
    <row r="2879">
      <c r="A2879" s="605"/>
      <c r="B2879" s="606"/>
      <c r="C2879" s="607"/>
      <c r="D2879" s="608"/>
      <c r="E2879" s="609"/>
      <c r="F2879" s="610"/>
      <c r="G2879" s="609"/>
      <c r="H2879" s="611"/>
    </row>
    <row r="2880">
      <c r="A2880" s="612"/>
      <c r="B2880" s="613"/>
      <c r="C2880" s="614"/>
      <c r="D2880" s="615"/>
      <c r="E2880" s="616"/>
      <c r="F2880" s="617"/>
      <c r="G2880" s="616"/>
      <c r="H2880" s="611"/>
    </row>
    <row r="2881">
      <c r="A2881" s="605"/>
      <c r="B2881" s="606"/>
      <c r="C2881" s="607"/>
      <c r="D2881" s="608"/>
      <c r="E2881" s="609"/>
      <c r="F2881" s="610"/>
      <c r="G2881" s="609"/>
      <c r="H2881" s="611"/>
    </row>
    <row r="2882">
      <c r="A2882" s="612"/>
      <c r="B2882" s="613"/>
      <c r="C2882" s="614"/>
      <c r="D2882" s="615"/>
      <c r="E2882" s="616"/>
      <c r="F2882" s="617"/>
      <c r="G2882" s="616"/>
      <c r="H2882" s="611"/>
    </row>
    <row r="2883">
      <c r="A2883" s="605"/>
      <c r="B2883" s="606"/>
      <c r="C2883" s="607"/>
      <c r="D2883" s="608"/>
      <c r="E2883" s="609"/>
      <c r="F2883" s="610"/>
      <c r="G2883" s="609"/>
      <c r="H2883" s="611"/>
    </row>
    <row r="2884">
      <c r="A2884" s="612"/>
      <c r="B2884" s="613"/>
      <c r="C2884" s="614"/>
      <c r="D2884" s="615"/>
      <c r="E2884" s="616"/>
      <c r="F2884" s="617"/>
      <c r="G2884" s="616"/>
      <c r="H2884" s="611"/>
    </row>
    <row r="2885">
      <c r="A2885" s="605"/>
      <c r="B2885" s="606"/>
      <c r="C2885" s="607"/>
      <c r="D2885" s="608"/>
      <c r="E2885" s="609"/>
      <c r="F2885" s="610"/>
      <c r="G2885" s="609"/>
      <c r="H2885" s="611"/>
    </row>
    <row r="2886">
      <c r="A2886" s="612"/>
      <c r="B2886" s="613"/>
      <c r="C2886" s="614"/>
      <c r="D2886" s="615"/>
      <c r="E2886" s="616"/>
      <c r="F2886" s="617"/>
      <c r="G2886" s="616"/>
      <c r="H2886" s="611"/>
    </row>
    <row r="2887">
      <c r="A2887" s="605"/>
      <c r="B2887" s="606"/>
      <c r="C2887" s="607"/>
      <c r="D2887" s="608"/>
      <c r="E2887" s="609"/>
      <c r="F2887" s="610"/>
      <c r="G2887" s="609"/>
      <c r="H2887" s="611"/>
    </row>
    <row r="2888">
      <c r="A2888" s="612"/>
      <c r="B2888" s="613"/>
      <c r="C2888" s="614"/>
      <c r="D2888" s="615"/>
      <c r="E2888" s="616"/>
      <c r="F2888" s="617"/>
      <c r="G2888" s="616"/>
      <c r="H2888" s="611"/>
    </row>
    <row r="2889">
      <c r="A2889" s="605"/>
      <c r="B2889" s="606"/>
      <c r="C2889" s="607"/>
      <c r="D2889" s="608"/>
      <c r="E2889" s="609"/>
      <c r="F2889" s="610"/>
      <c r="G2889" s="609"/>
      <c r="H2889" s="611"/>
    </row>
    <row r="2890">
      <c r="A2890" s="612"/>
      <c r="B2890" s="613"/>
      <c r="C2890" s="614"/>
      <c r="D2890" s="615"/>
      <c r="E2890" s="616"/>
      <c r="F2890" s="617"/>
      <c r="G2890" s="616"/>
      <c r="H2890" s="611"/>
    </row>
    <row r="2891">
      <c r="A2891" s="605"/>
      <c r="B2891" s="606"/>
      <c r="C2891" s="607"/>
      <c r="D2891" s="608"/>
      <c r="E2891" s="609"/>
      <c r="F2891" s="610"/>
      <c r="G2891" s="609"/>
      <c r="H2891" s="611"/>
    </row>
    <row r="2892">
      <c r="A2892" s="612"/>
      <c r="B2892" s="613"/>
      <c r="C2892" s="614"/>
      <c r="D2892" s="615"/>
      <c r="E2892" s="616"/>
      <c r="F2892" s="617"/>
      <c r="G2892" s="616"/>
      <c r="H2892" s="611"/>
    </row>
    <row r="2893">
      <c r="A2893" s="605"/>
      <c r="B2893" s="606"/>
      <c r="C2893" s="607"/>
      <c r="D2893" s="608"/>
      <c r="E2893" s="609"/>
      <c r="F2893" s="610"/>
      <c r="G2893" s="609"/>
      <c r="H2893" s="611"/>
    </row>
    <row r="2894">
      <c r="A2894" s="612"/>
      <c r="B2894" s="613"/>
      <c r="C2894" s="614"/>
      <c r="D2894" s="615"/>
      <c r="E2894" s="616"/>
      <c r="F2894" s="617"/>
      <c r="G2894" s="616"/>
      <c r="H2894" s="611"/>
    </row>
    <row r="2895">
      <c r="A2895" s="605"/>
      <c r="B2895" s="606"/>
      <c r="C2895" s="607"/>
      <c r="D2895" s="608"/>
      <c r="E2895" s="609"/>
      <c r="F2895" s="610"/>
      <c r="G2895" s="609"/>
      <c r="H2895" s="611"/>
    </row>
    <row r="2896">
      <c r="A2896" s="612"/>
      <c r="B2896" s="613"/>
      <c r="C2896" s="614"/>
      <c r="D2896" s="615"/>
      <c r="E2896" s="616"/>
      <c r="F2896" s="617"/>
      <c r="G2896" s="616"/>
      <c r="H2896" s="611"/>
    </row>
    <row r="2897">
      <c r="A2897" s="605"/>
      <c r="B2897" s="606"/>
      <c r="C2897" s="607"/>
      <c r="D2897" s="608"/>
      <c r="E2897" s="609"/>
      <c r="F2897" s="610"/>
      <c r="G2897" s="609"/>
      <c r="H2897" s="611"/>
    </row>
    <row r="2898">
      <c r="A2898" s="612"/>
      <c r="B2898" s="613"/>
      <c r="C2898" s="614"/>
      <c r="D2898" s="615"/>
      <c r="E2898" s="616"/>
      <c r="F2898" s="617"/>
      <c r="G2898" s="616"/>
      <c r="H2898" s="611"/>
    </row>
    <row r="2899">
      <c r="A2899" s="605"/>
      <c r="B2899" s="606"/>
      <c r="C2899" s="607"/>
      <c r="D2899" s="608"/>
      <c r="E2899" s="609"/>
      <c r="F2899" s="610"/>
      <c r="G2899" s="609"/>
      <c r="H2899" s="611"/>
    </row>
    <row r="2900">
      <c r="A2900" s="612"/>
      <c r="B2900" s="613"/>
      <c r="C2900" s="614"/>
      <c r="D2900" s="615"/>
      <c r="E2900" s="616"/>
      <c r="F2900" s="617"/>
      <c r="G2900" s="616"/>
      <c r="H2900" s="611"/>
    </row>
    <row r="2901">
      <c r="A2901" s="605"/>
      <c r="B2901" s="606"/>
      <c r="C2901" s="607"/>
      <c r="D2901" s="608"/>
      <c r="E2901" s="609"/>
      <c r="F2901" s="610"/>
      <c r="G2901" s="609"/>
      <c r="H2901" s="611"/>
    </row>
    <row r="2902">
      <c r="A2902" s="612"/>
      <c r="B2902" s="613"/>
      <c r="C2902" s="614"/>
      <c r="D2902" s="615"/>
      <c r="E2902" s="616"/>
      <c r="F2902" s="617"/>
      <c r="G2902" s="616"/>
      <c r="H2902" s="611"/>
    </row>
    <row r="2903">
      <c r="A2903" s="605"/>
      <c r="B2903" s="606"/>
      <c r="C2903" s="607"/>
      <c r="D2903" s="608"/>
      <c r="E2903" s="609"/>
      <c r="F2903" s="610"/>
      <c r="G2903" s="609"/>
      <c r="H2903" s="611"/>
    </row>
    <row r="2904">
      <c r="A2904" s="612"/>
      <c r="B2904" s="613"/>
      <c r="C2904" s="614"/>
      <c r="D2904" s="615"/>
      <c r="E2904" s="616"/>
      <c r="F2904" s="617"/>
      <c r="G2904" s="616"/>
      <c r="H2904" s="611"/>
    </row>
    <row r="2905">
      <c r="A2905" s="605"/>
      <c r="B2905" s="606"/>
      <c r="C2905" s="607"/>
      <c r="D2905" s="608"/>
      <c r="E2905" s="609"/>
      <c r="F2905" s="610"/>
      <c r="G2905" s="609"/>
      <c r="H2905" s="611"/>
    </row>
    <row r="2906">
      <c r="A2906" s="612"/>
      <c r="B2906" s="613"/>
      <c r="C2906" s="614"/>
      <c r="D2906" s="615"/>
      <c r="E2906" s="616"/>
      <c r="F2906" s="617"/>
      <c r="G2906" s="616"/>
      <c r="H2906" s="611"/>
    </row>
    <row r="2907">
      <c r="A2907" s="605"/>
      <c r="B2907" s="606"/>
      <c r="C2907" s="607"/>
      <c r="D2907" s="608"/>
      <c r="E2907" s="609"/>
      <c r="F2907" s="610"/>
      <c r="G2907" s="609"/>
      <c r="H2907" s="611"/>
    </row>
    <row r="2908">
      <c r="A2908" s="612"/>
      <c r="B2908" s="613"/>
      <c r="C2908" s="614"/>
      <c r="D2908" s="615"/>
      <c r="E2908" s="616"/>
      <c r="F2908" s="617"/>
      <c r="G2908" s="616"/>
      <c r="H2908" s="611"/>
    </row>
    <row r="2909">
      <c r="A2909" s="605"/>
      <c r="B2909" s="606"/>
      <c r="C2909" s="607"/>
      <c r="D2909" s="608"/>
      <c r="E2909" s="609"/>
      <c r="F2909" s="610"/>
      <c r="G2909" s="609"/>
      <c r="H2909" s="611"/>
    </row>
    <row r="2910">
      <c r="A2910" s="612"/>
      <c r="B2910" s="613"/>
      <c r="C2910" s="614"/>
      <c r="D2910" s="615"/>
      <c r="E2910" s="616"/>
      <c r="F2910" s="617"/>
      <c r="G2910" s="616"/>
      <c r="H2910" s="611"/>
    </row>
    <row r="2911">
      <c r="A2911" s="605"/>
      <c r="B2911" s="606"/>
      <c r="C2911" s="607"/>
      <c r="D2911" s="608"/>
      <c r="E2911" s="609"/>
      <c r="F2911" s="610"/>
      <c r="G2911" s="609"/>
      <c r="H2911" s="611"/>
    </row>
    <row r="2912">
      <c r="A2912" s="612"/>
      <c r="B2912" s="613"/>
      <c r="C2912" s="614"/>
      <c r="D2912" s="615"/>
      <c r="E2912" s="616"/>
      <c r="F2912" s="617"/>
      <c r="G2912" s="616"/>
      <c r="H2912" s="611"/>
    </row>
    <row r="2913">
      <c r="A2913" s="605"/>
      <c r="B2913" s="606"/>
      <c r="C2913" s="607"/>
      <c r="D2913" s="608"/>
      <c r="E2913" s="609"/>
      <c r="F2913" s="610"/>
      <c r="G2913" s="609"/>
      <c r="H2913" s="611"/>
    </row>
    <row r="2914">
      <c r="A2914" s="612"/>
      <c r="B2914" s="613"/>
      <c r="C2914" s="614"/>
      <c r="D2914" s="615"/>
      <c r="E2914" s="616"/>
      <c r="F2914" s="617"/>
      <c r="G2914" s="616"/>
      <c r="H2914" s="611"/>
    </row>
    <row r="2915">
      <c r="A2915" s="605"/>
      <c r="B2915" s="606"/>
      <c r="C2915" s="607"/>
      <c r="D2915" s="608"/>
      <c r="E2915" s="609"/>
      <c r="F2915" s="610"/>
      <c r="G2915" s="609"/>
      <c r="H2915" s="611"/>
    </row>
    <row r="2916">
      <c r="A2916" s="612"/>
      <c r="B2916" s="613"/>
      <c r="C2916" s="614"/>
      <c r="D2916" s="615"/>
      <c r="E2916" s="616"/>
      <c r="F2916" s="617"/>
      <c r="G2916" s="616"/>
      <c r="H2916" s="611"/>
    </row>
    <row r="2917">
      <c r="A2917" s="605"/>
      <c r="B2917" s="606"/>
      <c r="C2917" s="607"/>
      <c r="D2917" s="608"/>
      <c r="E2917" s="609"/>
      <c r="F2917" s="610"/>
      <c r="G2917" s="609"/>
      <c r="H2917" s="611"/>
    </row>
    <row r="2918">
      <c r="A2918" s="612"/>
      <c r="B2918" s="613"/>
      <c r="C2918" s="614"/>
      <c r="D2918" s="615"/>
      <c r="E2918" s="616"/>
      <c r="F2918" s="617"/>
      <c r="G2918" s="616"/>
      <c r="H2918" s="611"/>
    </row>
    <row r="2919">
      <c r="A2919" s="605"/>
      <c r="B2919" s="606"/>
      <c r="C2919" s="607"/>
      <c r="D2919" s="608"/>
      <c r="E2919" s="609"/>
      <c r="F2919" s="610"/>
      <c r="G2919" s="609"/>
      <c r="H2919" s="611"/>
    </row>
    <row r="2920">
      <c r="A2920" s="612"/>
      <c r="B2920" s="613"/>
      <c r="C2920" s="614"/>
      <c r="D2920" s="615"/>
      <c r="E2920" s="616"/>
      <c r="F2920" s="617"/>
      <c r="G2920" s="616"/>
      <c r="H2920" s="611"/>
    </row>
    <row r="2921">
      <c r="A2921" s="605"/>
      <c r="B2921" s="606"/>
      <c r="C2921" s="607"/>
      <c r="D2921" s="608"/>
      <c r="E2921" s="609"/>
      <c r="F2921" s="610"/>
      <c r="G2921" s="609"/>
      <c r="H2921" s="611"/>
    </row>
    <row r="2922">
      <c r="A2922" s="612"/>
      <c r="B2922" s="613"/>
      <c r="C2922" s="614"/>
      <c r="D2922" s="615"/>
      <c r="E2922" s="616"/>
      <c r="F2922" s="617"/>
      <c r="G2922" s="616"/>
      <c r="H2922" s="611"/>
    </row>
    <row r="2923">
      <c r="A2923" s="605"/>
      <c r="B2923" s="606"/>
      <c r="C2923" s="607"/>
      <c r="D2923" s="608"/>
      <c r="E2923" s="609"/>
      <c r="F2923" s="610"/>
      <c r="G2923" s="609"/>
      <c r="H2923" s="611"/>
    </row>
    <row r="2924">
      <c r="A2924" s="612"/>
      <c r="B2924" s="613"/>
      <c r="C2924" s="614"/>
      <c r="D2924" s="615"/>
      <c r="E2924" s="616"/>
      <c r="F2924" s="617"/>
      <c r="G2924" s="616"/>
      <c r="H2924" s="611"/>
    </row>
    <row r="2925">
      <c r="A2925" s="605"/>
      <c r="B2925" s="606"/>
      <c r="C2925" s="607"/>
      <c r="D2925" s="608"/>
      <c r="E2925" s="609"/>
      <c r="F2925" s="610"/>
      <c r="G2925" s="609"/>
      <c r="H2925" s="611"/>
    </row>
    <row r="2926">
      <c r="A2926" s="612"/>
      <c r="B2926" s="613"/>
      <c r="C2926" s="614"/>
      <c r="D2926" s="615"/>
      <c r="E2926" s="616"/>
      <c r="F2926" s="617"/>
      <c r="G2926" s="616"/>
      <c r="H2926" s="611"/>
    </row>
    <row r="2927">
      <c r="A2927" s="605"/>
      <c r="B2927" s="606"/>
      <c r="C2927" s="607"/>
      <c r="D2927" s="608"/>
      <c r="E2927" s="609"/>
      <c r="F2927" s="610"/>
      <c r="G2927" s="609"/>
      <c r="H2927" s="611"/>
    </row>
    <row r="2928">
      <c r="A2928" s="612"/>
      <c r="B2928" s="613"/>
      <c r="C2928" s="614"/>
      <c r="D2928" s="615"/>
      <c r="E2928" s="616"/>
      <c r="F2928" s="617"/>
      <c r="G2928" s="616"/>
      <c r="H2928" s="611"/>
    </row>
    <row r="2929">
      <c r="A2929" s="605"/>
      <c r="B2929" s="606"/>
      <c r="C2929" s="607"/>
      <c r="D2929" s="608"/>
      <c r="E2929" s="609"/>
      <c r="F2929" s="610"/>
      <c r="G2929" s="609"/>
      <c r="H2929" s="611"/>
    </row>
    <row r="2930">
      <c r="A2930" s="612"/>
      <c r="B2930" s="613"/>
      <c r="C2930" s="614"/>
      <c r="D2930" s="615"/>
      <c r="E2930" s="616"/>
      <c r="F2930" s="617"/>
      <c r="G2930" s="616"/>
      <c r="H2930" s="611"/>
    </row>
    <row r="2931">
      <c r="A2931" s="605"/>
      <c r="B2931" s="606"/>
      <c r="C2931" s="607"/>
      <c r="D2931" s="608"/>
      <c r="E2931" s="609"/>
      <c r="F2931" s="610"/>
      <c r="G2931" s="609"/>
      <c r="H2931" s="611"/>
    </row>
    <row r="2932">
      <c r="A2932" s="612"/>
      <c r="B2932" s="613"/>
      <c r="C2932" s="614"/>
      <c r="D2932" s="615"/>
      <c r="E2932" s="616"/>
      <c r="F2932" s="617"/>
      <c r="G2932" s="616"/>
      <c r="H2932" s="611"/>
    </row>
    <row r="2933">
      <c r="A2933" s="605"/>
      <c r="B2933" s="606"/>
      <c r="C2933" s="607"/>
      <c r="D2933" s="608"/>
      <c r="E2933" s="609"/>
      <c r="F2933" s="610"/>
      <c r="G2933" s="609"/>
      <c r="H2933" s="611"/>
    </row>
    <row r="2934">
      <c r="A2934" s="612"/>
      <c r="B2934" s="613"/>
      <c r="C2934" s="614"/>
      <c r="D2934" s="615"/>
      <c r="E2934" s="616"/>
      <c r="F2934" s="617"/>
      <c r="G2934" s="616"/>
      <c r="H2934" s="611"/>
    </row>
    <row r="2935">
      <c r="A2935" s="605"/>
      <c r="B2935" s="606"/>
      <c r="C2935" s="607"/>
      <c r="D2935" s="608"/>
      <c r="E2935" s="609"/>
      <c r="F2935" s="610"/>
      <c r="G2935" s="609"/>
      <c r="H2935" s="611"/>
    </row>
    <row r="2936">
      <c r="A2936" s="612"/>
      <c r="B2936" s="613"/>
      <c r="C2936" s="614"/>
      <c r="D2936" s="615"/>
      <c r="E2936" s="616"/>
      <c r="F2936" s="617"/>
      <c r="G2936" s="616"/>
      <c r="H2936" s="611"/>
    </row>
    <row r="2937">
      <c r="A2937" s="605"/>
      <c r="B2937" s="606"/>
      <c r="C2937" s="607"/>
      <c r="D2937" s="608"/>
      <c r="E2937" s="609"/>
      <c r="F2937" s="610"/>
      <c r="G2937" s="609"/>
      <c r="H2937" s="611"/>
    </row>
    <row r="2938">
      <c r="A2938" s="612"/>
      <c r="B2938" s="613"/>
      <c r="C2938" s="614"/>
      <c r="D2938" s="615"/>
      <c r="E2938" s="616"/>
      <c r="F2938" s="617"/>
      <c r="G2938" s="616"/>
      <c r="H2938" s="611"/>
    </row>
    <row r="2939">
      <c r="A2939" s="605"/>
      <c r="B2939" s="606"/>
      <c r="C2939" s="607"/>
      <c r="D2939" s="608"/>
      <c r="E2939" s="609"/>
      <c r="F2939" s="610"/>
      <c r="G2939" s="609"/>
      <c r="H2939" s="611"/>
    </row>
    <row r="2940">
      <c r="A2940" s="612"/>
      <c r="B2940" s="613"/>
      <c r="C2940" s="614"/>
      <c r="D2940" s="615"/>
      <c r="E2940" s="616"/>
      <c r="F2940" s="617"/>
      <c r="G2940" s="616"/>
      <c r="H2940" s="611"/>
    </row>
    <row r="2941">
      <c r="A2941" s="605"/>
      <c r="B2941" s="606"/>
      <c r="C2941" s="607"/>
      <c r="D2941" s="608"/>
      <c r="E2941" s="609"/>
      <c r="F2941" s="610"/>
      <c r="G2941" s="609"/>
      <c r="H2941" s="611"/>
    </row>
    <row r="2942">
      <c r="A2942" s="612"/>
      <c r="B2942" s="613"/>
      <c r="C2942" s="614"/>
      <c r="D2942" s="615"/>
      <c r="E2942" s="616"/>
      <c r="F2942" s="617"/>
      <c r="G2942" s="616"/>
      <c r="H2942" s="611"/>
    </row>
    <row r="2943">
      <c r="A2943" s="605"/>
      <c r="B2943" s="606"/>
      <c r="C2943" s="607"/>
      <c r="D2943" s="608"/>
      <c r="E2943" s="609"/>
      <c r="F2943" s="610"/>
      <c r="G2943" s="609"/>
      <c r="H2943" s="611"/>
    </row>
    <row r="2944">
      <c r="A2944" s="612"/>
      <c r="B2944" s="613"/>
      <c r="C2944" s="614"/>
      <c r="D2944" s="615"/>
      <c r="E2944" s="616"/>
      <c r="F2944" s="617"/>
      <c r="G2944" s="616"/>
      <c r="H2944" s="611"/>
    </row>
    <row r="2945">
      <c r="A2945" s="605"/>
      <c r="B2945" s="606"/>
      <c r="C2945" s="607"/>
      <c r="D2945" s="608"/>
      <c r="E2945" s="609"/>
      <c r="F2945" s="610"/>
      <c r="G2945" s="609"/>
      <c r="H2945" s="611"/>
    </row>
    <row r="2946">
      <c r="A2946" s="612"/>
      <c r="B2946" s="613"/>
      <c r="C2946" s="614"/>
      <c r="D2946" s="615"/>
      <c r="E2946" s="616"/>
      <c r="F2946" s="617"/>
      <c r="G2946" s="616"/>
      <c r="H2946" s="611"/>
    </row>
    <row r="2947">
      <c r="A2947" s="605"/>
      <c r="B2947" s="606"/>
      <c r="C2947" s="607"/>
      <c r="D2947" s="608"/>
      <c r="E2947" s="609"/>
      <c r="F2947" s="610"/>
      <c r="G2947" s="609"/>
      <c r="H2947" s="611"/>
    </row>
    <row r="2948">
      <c r="A2948" s="612"/>
      <c r="B2948" s="613"/>
      <c r="C2948" s="614"/>
      <c r="D2948" s="615"/>
      <c r="E2948" s="616"/>
      <c r="F2948" s="617"/>
      <c r="G2948" s="616"/>
      <c r="H2948" s="611"/>
    </row>
    <row r="2949">
      <c r="A2949" s="605"/>
      <c r="B2949" s="606"/>
      <c r="C2949" s="607"/>
      <c r="D2949" s="608"/>
      <c r="E2949" s="609"/>
      <c r="F2949" s="610"/>
      <c r="G2949" s="609"/>
      <c r="H2949" s="611"/>
    </row>
    <row r="2950">
      <c r="A2950" s="612"/>
      <c r="B2950" s="613"/>
      <c r="C2950" s="614"/>
      <c r="D2950" s="615"/>
      <c r="E2950" s="616"/>
      <c r="F2950" s="617"/>
      <c r="G2950" s="616"/>
      <c r="H2950" s="611"/>
    </row>
    <row r="2951">
      <c r="A2951" s="605"/>
      <c r="B2951" s="606"/>
      <c r="C2951" s="607"/>
      <c r="D2951" s="608"/>
      <c r="E2951" s="609"/>
      <c r="F2951" s="610"/>
      <c r="G2951" s="609"/>
      <c r="H2951" s="611"/>
    </row>
    <row r="2952">
      <c r="A2952" s="612"/>
      <c r="B2952" s="613"/>
      <c r="C2952" s="614"/>
      <c r="D2952" s="615"/>
      <c r="E2952" s="616"/>
      <c r="F2952" s="617"/>
      <c r="G2952" s="616"/>
      <c r="H2952" s="611"/>
    </row>
    <row r="2953">
      <c r="A2953" s="605"/>
      <c r="B2953" s="606"/>
      <c r="C2953" s="607"/>
      <c r="D2953" s="608"/>
      <c r="E2953" s="609"/>
      <c r="F2953" s="610"/>
      <c r="G2953" s="609"/>
      <c r="H2953" s="611"/>
    </row>
    <row r="2954">
      <c r="A2954" s="612"/>
      <c r="B2954" s="613"/>
      <c r="C2954" s="614"/>
      <c r="D2954" s="615"/>
      <c r="E2954" s="616"/>
      <c r="F2954" s="617"/>
      <c r="G2954" s="616"/>
      <c r="H2954" s="611"/>
    </row>
    <row r="2955">
      <c r="A2955" s="605"/>
      <c r="B2955" s="606"/>
      <c r="C2955" s="607"/>
      <c r="D2955" s="608"/>
      <c r="E2955" s="609"/>
      <c r="F2955" s="610"/>
      <c r="G2955" s="609"/>
      <c r="H2955" s="611"/>
    </row>
    <row r="2956">
      <c r="A2956" s="612"/>
      <c r="B2956" s="613"/>
      <c r="C2956" s="614"/>
      <c r="D2956" s="615"/>
      <c r="E2956" s="616"/>
      <c r="F2956" s="617"/>
      <c r="G2956" s="616"/>
      <c r="H2956" s="611"/>
    </row>
    <row r="2957">
      <c r="A2957" s="605"/>
      <c r="B2957" s="606"/>
      <c r="C2957" s="607"/>
      <c r="D2957" s="608"/>
      <c r="E2957" s="609"/>
      <c r="F2957" s="610"/>
      <c r="G2957" s="609"/>
      <c r="H2957" s="611"/>
    </row>
    <row r="2958">
      <c r="A2958" s="612"/>
      <c r="B2958" s="613"/>
      <c r="C2958" s="614"/>
      <c r="D2958" s="615"/>
      <c r="E2958" s="616"/>
      <c r="F2958" s="617"/>
      <c r="G2958" s="616"/>
      <c r="H2958" s="611"/>
    </row>
    <row r="2959">
      <c r="A2959" s="605"/>
      <c r="B2959" s="606"/>
      <c r="C2959" s="607"/>
      <c r="D2959" s="608"/>
      <c r="E2959" s="609"/>
      <c r="F2959" s="610"/>
      <c r="G2959" s="609"/>
      <c r="H2959" s="611"/>
    </row>
    <row r="2960">
      <c r="A2960" s="612"/>
      <c r="B2960" s="613"/>
      <c r="C2960" s="614"/>
      <c r="D2960" s="615"/>
      <c r="E2960" s="616"/>
      <c r="F2960" s="617"/>
      <c r="G2960" s="616"/>
      <c r="H2960" s="611"/>
    </row>
    <row r="2961">
      <c r="A2961" s="605"/>
      <c r="B2961" s="606"/>
      <c r="C2961" s="607"/>
      <c r="D2961" s="608"/>
      <c r="E2961" s="609"/>
      <c r="F2961" s="610"/>
      <c r="G2961" s="609"/>
      <c r="H2961" s="611"/>
    </row>
    <row r="2962">
      <c r="A2962" s="612"/>
      <c r="B2962" s="613"/>
      <c r="C2962" s="614"/>
      <c r="D2962" s="615"/>
      <c r="E2962" s="616"/>
      <c r="F2962" s="617"/>
      <c r="G2962" s="616"/>
      <c r="H2962" s="611"/>
    </row>
    <row r="2963">
      <c r="A2963" s="605"/>
      <c r="B2963" s="606"/>
      <c r="C2963" s="607"/>
      <c r="D2963" s="608"/>
      <c r="E2963" s="609"/>
      <c r="F2963" s="610"/>
      <c r="G2963" s="609"/>
      <c r="H2963" s="611"/>
    </row>
    <row r="2964">
      <c r="A2964" s="612"/>
      <c r="B2964" s="613"/>
      <c r="C2964" s="614"/>
      <c r="D2964" s="615"/>
      <c r="E2964" s="616"/>
      <c r="F2964" s="617"/>
      <c r="G2964" s="616"/>
      <c r="H2964" s="611"/>
    </row>
    <row r="2965">
      <c r="A2965" s="605"/>
      <c r="B2965" s="606"/>
      <c r="C2965" s="607"/>
      <c r="D2965" s="608"/>
      <c r="E2965" s="609"/>
      <c r="F2965" s="610"/>
      <c r="G2965" s="609"/>
      <c r="H2965" s="611"/>
    </row>
    <row r="2966">
      <c r="A2966" s="612"/>
      <c r="B2966" s="613"/>
      <c r="C2966" s="614"/>
      <c r="D2966" s="615"/>
      <c r="E2966" s="616"/>
      <c r="F2966" s="617"/>
      <c r="G2966" s="616"/>
      <c r="H2966" s="611"/>
    </row>
    <row r="2967">
      <c r="A2967" s="605"/>
      <c r="B2967" s="606"/>
      <c r="C2967" s="607"/>
      <c r="D2967" s="608"/>
      <c r="E2967" s="609"/>
      <c r="F2967" s="610"/>
      <c r="G2967" s="609"/>
      <c r="H2967" s="611"/>
    </row>
    <row r="2968">
      <c r="A2968" s="612"/>
      <c r="B2968" s="613"/>
      <c r="C2968" s="614"/>
      <c r="D2968" s="615"/>
      <c r="E2968" s="616"/>
      <c r="F2968" s="617"/>
      <c r="G2968" s="616"/>
      <c r="H2968" s="611"/>
    </row>
    <row r="2969">
      <c r="A2969" s="605"/>
      <c r="B2969" s="606"/>
      <c r="C2969" s="607"/>
      <c r="D2969" s="608"/>
      <c r="E2969" s="609"/>
      <c r="F2969" s="610"/>
      <c r="G2969" s="609"/>
      <c r="H2969" s="611"/>
    </row>
    <row r="2970">
      <c r="A2970" s="612"/>
      <c r="B2970" s="613"/>
      <c r="C2970" s="614"/>
      <c r="D2970" s="615"/>
      <c r="E2970" s="616"/>
      <c r="F2970" s="617"/>
      <c r="G2970" s="616"/>
      <c r="H2970" s="611"/>
    </row>
    <row r="2971">
      <c r="A2971" s="605"/>
      <c r="B2971" s="606"/>
      <c r="C2971" s="607"/>
      <c r="D2971" s="608"/>
      <c r="E2971" s="609"/>
      <c r="F2971" s="610"/>
      <c r="G2971" s="609"/>
      <c r="H2971" s="611"/>
    </row>
    <row r="2972">
      <c r="A2972" s="612"/>
      <c r="B2972" s="613"/>
      <c r="C2972" s="614"/>
      <c r="D2972" s="615"/>
      <c r="E2972" s="616"/>
      <c r="F2972" s="617"/>
      <c r="G2972" s="616"/>
      <c r="H2972" s="611"/>
    </row>
    <row r="2973">
      <c r="A2973" s="605"/>
      <c r="B2973" s="606"/>
      <c r="C2973" s="607"/>
      <c r="D2973" s="608"/>
      <c r="E2973" s="609"/>
      <c r="F2973" s="610"/>
      <c r="G2973" s="609"/>
      <c r="H2973" s="611"/>
    </row>
    <row r="2974">
      <c r="A2974" s="612"/>
      <c r="B2974" s="613"/>
      <c r="C2974" s="614"/>
      <c r="D2974" s="615"/>
      <c r="E2974" s="616"/>
      <c r="F2974" s="617"/>
      <c r="G2974" s="616"/>
      <c r="H2974" s="611"/>
    </row>
    <row r="2975">
      <c r="A2975" s="605"/>
      <c r="B2975" s="606"/>
      <c r="C2975" s="607"/>
      <c r="D2975" s="608"/>
      <c r="E2975" s="609"/>
      <c r="F2975" s="610"/>
      <c r="G2975" s="609"/>
      <c r="H2975" s="611"/>
    </row>
    <row r="2976">
      <c r="A2976" s="612"/>
      <c r="B2976" s="613"/>
      <c r="C2976" s="614"/>
      <c r="D2976" s="615"/>
      <c r="E2976" s="616"/>
      <c r="F2976" s="617"/>
      <c r="G2976" s="616"/>
      <c r="H2976" s="611"/>
    </row>
    <row r="2977">
      <c r="A2977" s="605"/>
      <c r="B2977" s="606"/>
      <c r="C2977" s="607"/>
      <c r="D2977" s="608"/>
      <c r="E2977" s="609"/>
      <c r="F2977" s="610"/>
      <c r="G2977" s="609"/>
      <c r="H2977" s="611"/>
    </row>
    <row r="2978">
      <c r="A2978" s="612"/>
      <c r="B2978" s="613"/>
      <c r="C2978" s="614"/>
      <c r="D2978" s="615"/>
      <c r="E2978" s="616"/>
      <c r="F2978" s="617"/>
      <c r="G2978" s="616"/>
      <c r="H2978" s="611"/>
    </row>
    <row r="2979">
      <c r="A2979" s="605"/>
      <c r="B2979" s="606"/>
      <c r="C2979" s="607"/>
      <c r="D2979" s="608"/>
      <c r="E2979" s="609"/>
      <c r="F2979" s="610"/>
      <c r="G2979" s="609"/>
      <c r="H2979" s="611"/>
    </row>
    <row r="2980">
      <c r="A2980" s="612"/>
      <c r="B2980" s="613"/>
      <c r="C2980" s="614"/>
      <c r="D2980" s="615"/>
      <c r="E2980" s="616"/>
      <c r="F2980" s="617"/>
      <c r="G2980" s="616"/>
      <c r="H2980" s="611"/>
    </row>
    <row r="2981">
      <c r="A2981" s="605"/>
      <c r="B2981" s="606"/>
      <c r="C2981" s="607"/>
      <c r="D2981" s="608"/>
      <c r="E2981" s="609"/>
      <c r="F2981" s="610"/>
      <c r="G2981" s="609"/>
      <c r="H2981" s="611"/>
    </row>
    <row r="2982">
      <c r="A2982" s="612"/>
      <c r="B2982" s="613"/>
      <c r="C2982" s="614"/>
      <c r="D2982" s="615"/>
      <c r="E2982" s="616"/>
      <c r="F2982" s="617"/>
      <c r="G2982" s="616"/>
      <c r="H2982" s="611"/>
    </row>
    <row r="2983">
      <c r="A2983" s="605"/>
      <c r="B2983" s="606"/>
      <c r="C2983" s="607"/>
      <c r="D2983" s="608"/>
      <c r="E2983" s="609"/>
      <c r="F2983" s="610"/>
      <c r="G2983" s="609"/>
      <c r="H2983" s="611"/>
    </row>
    <row r="2984">
      <c r="A2984" s="612"/>
      <c r="B2984" s="613"/>
      <c r="C2984" s="614"/>
      <c r="D2984" s="615"/>
      <c r="E2984" s="616"/>
      <c r="F2984" s="617"/>
      <c r="G2984" s="616"/>
      <c r="H2984" s="611"/>
    </row>
    <row r="2985">
      <c r="A2985" s="605"/>
      <c r="B2985" s="606"/>
      <c r="C2985" s="607"/>
      <c r="D2985" s="608"/>
      <c r="E2985" s="609"/>
      <c r="F2985" s="610"/>
      <c r="G2985" s="609"/>
      <c r="H2985" s="611"/>
    </row>
    <row r="2986">
      <c r="A2986" s="612"/>
      <c r="B2986" s="613"/>
      <c r="C2986" s="614"/>
      <c r="D2986" s="615"/>
      <c r="E2986" s="616"/>
      <c r="F2986" s="617"/>
      <c r="G2986" s="616"/>
      <c r="H2986" s="611"/>
    </row>
    <row r="2987">
      <c r="A2987" s="605"/>
      <c r="B2987" s="606"/>
      <c r="C2987" s="607"/>
      <c r="D2987" s="608"/>
      <c r="E2987" s="609"/>
      <c r="F2987" s="610"/>
      <c r="G2987" s="609"/>
      <c r="H2987" s="611"/>
    </row>
    <row r="2988">
      <c r="A2988" s="612"/>
      <c r="B2988" s="613"/>
      <c r="C2988" s="614"/>
      <c r="D2988" s="615"/>
      <c r="E2988" s="616"/>
      <c r="F2988" s="617"/>
      <c r="G2988" s="616"/>
      <c r="H2988" s="611"/>
    </row>
    <row r="2989">
      <c r="A2989" s="605"/>
      <c r="B2989" s="606"/>
      <c r="C2989" s="607"/>
      <c r="D2989" s="608"/>
      <c r="E2989" s="609"/>
      <c r="F2989" s="610"/>
      <c r="G2989" s="609"/>
      <c r="H2989" s="611"/>
    </row>
    <row r="2990">
      <c r="A2990" s="612"/>
      <c r="B2990" s="613"/>
      <c r="C2990" s="614"/>
      <c r="D2990" s="615"/>
      <c r="E2990" s="616"/>
      <c r="F2990" s="617"/>
      <c r="G2990" s="616"/>
      <c r="H2990" s="611"/>
    </row>
    <row r="2991">
      <c r="A2991" s="605"/>
      <c r="B2991" s="606"/>
      <c r="C2991" s="607"/>
      <c r="D2991" s="608"/>
      <c r="E2991" s="609"/>
      <c r="F2991" s="610"/>
      <c r="G2991" s="609"/>
      <c r="H2991" s="611"/>
    </row>
    <row r="2992">
      <c r="A2992" s="612"/>
      <c r="B2992" s="613"/>
      <c r="C2992" s="614"/>
      <c r="D2992" s="615"/>
      <c r="E2992" s="616"/>
      <c r="F2992" s="617"/>
      <c r="G2992" s="616"/>
      <c r="H2992" s="611"/>
    </row>
    <row r="2993">
      <c r="A2993" s="605"/>
      <c r="B2993" s="606"/>
      <c r="C2993" s="607"/>
      <c r="D2993" s="608"/>
      <c r="E2993" s="609"/>
      <c r="F2993" s="610"/>
      <c r="G2993" s="609"/>
      <c r="H2993" s="611"/>
    </row>
    <row r="2994">
      <c r="A2994" s="612"/>
      <c r="B2994" s="613"/>
      <c r="C2994" s="614"/>
      <c r="D2994" s="615"/>
      <c r="E2994" s="616"/>
      <c r="F2994" s="617"/>
      <c r="G2994" s="616"/>
      <c r="H2994" s="611"/>
    </row>
    <row r="2995">
      <c r="A2995" s="605"/>
      <c r="B2995" s="606"/>
      <c r="C2995" s="607"/>
      <c r="D2995" s="608"/>
      <c r="E2995" s="609"/>
      <c r="F2995" s="610"/>
      <c r="G2995" s="609"/>
      <c r="H2995" s="611"/>
    </row>
    <row r="2996">
      <c r="A2996" s="612"/>
      <c r="B2996" s="613"/>
      <c r="C2996" s="614"/>
      <c r="D2996" s="615"/>
      <c r="E2996" s="616"/>
      <c r="F2996" s="617"/>
      <c r="G2996" s="616"/>
      <c r="H2996" s="611"/>
    </row>
    <row r="2997">
      <c r="A2997" s="605"/>
      <c r="B2997" s="606"/>
      <c r="C2997" s="607"/>
      <c r="D2997" s="608"/>
      <c r="E2997" s="609"/>
      <c r="F2997" s="610"/>
      <c r="G2997" s="609"/>
      <c r="H2997" s="611"/>
    </row>
    <row r="2998">
      <c r="A2998" s="612"/>
      <c r="B2998" s="613"/>
      <c r="C2998" s="614"/>
      <c r="D2998" s="615"/>
      <c r="E2998" s="616"/>
      <c r="F2998" s="617"/>
      <c r="G2998" s="616"/>
      <c r="H2998" s="611"/>
    </row>
    <row r="2999">
      <c r="A2999" s="605"/>
      <c r="B2999" s="606"/>
      <c r="C2999" s="607"/>
      <c r="D2999" s="608"/>
      <c r="E2999" s="609"/>
      <c r="F2999" s="610"/>
      <c r="G2999" s="609"/>
      <c r="H2999" s="611"/>
    </row>
    <row r="3000">
      <c r="A3000" s="612"/>
      <c r="B3000" s="613"/>
      <c r="C3000" s="614"/>
      <c r="D3000" s="615"/>
      <c r="E3000" s="616"/>
      <c r="F3000" s="617"/>
      <c r="G3000" s="616"/>
      <c r="H3000" s="611"/>
    </row>
    <row r="3001">
      <c r="A3001" s="605"/>
      <c r="B3001" s="606"/>
      <c r="C3001" s="607"/>
      <c r="D3001" s="608"/>
      <c r="E3001" s="609"/>
      <c r="F3001" s="610"/>
      <c r="G3001" s="609"/>
      <c r="H3001" s="611"/>
    </row>
    <row r="3002">
      <c r="A3002" s="612"/>
      <c r="B3002" s="613"/>
      <c r="C3002" s="614"/>
      <c r="D3002" s="615"/>
      <c r="E3002" s="616"/>
      <c r="F3002" s="617"/>
      <c r="G3002" s="616"/>
      <c r="H3002" s="611"/>
    </row>
    <row r="3003">
      <c r="A3003" s="605"/>
      <c r="B3003" s="606"/>
      <c r="C3003" s="607"/>
      <c r="D3003" s="608"/>
      <c r="E3003" s="609"/>
      <c r="F3003" s="610"/>
      <c r="G3003" s="609"/>
      <c r="H3003" s="611"/>
    </row>
    <row r="3004">
      <c r="A3004" s="612"/>
      <c r="B3004" s="613"/>
      <c r="C3004" s="614"/>
      <c r="D3004" s="615"/>
      <c r="E3004" s="616"/>
      <c r="F3004" s="617"/>
      <c r="G3004" s="616"/>
      <c r="H3004" s="611"/>
    </row>
    <row r="3005">
      <c r="A3005" s="605"/>
      <c r="B3005" s="606"/>
      <c r="C3005" s="607"/>
      <c r="D3005" s="608"/>
      <c r="E3005" s="609"/>
      <c r="F3005" s="610"/>
      <c r="G3005" s="609"/>
      <c r="H3005" s="611"/>
    </row>
    <row r="3006">
      <c r="A3006" s="612"/>
      <c r="B3006" s="613"/>
      <c r="C3006" s="614"/>
      <c r="D3006" s="615"/>
      <c r="E3006" s="616"/>
      <c r="F3006" s="617"/>
      <c r="G3006" s="616"/>
      <c r="H3006" s="611"/>
    </row>
    <row r="3007">
      <c r="A3007" s="605"/>
      <c r="B3007" s="606"/>
      <c r="C3007" s="607"/>
      <c r="D3007" s="608"/>
      <c r="E3007" s="609"/>
      <c r="F3007" s="610"/>
      <c r="G3007" s="609"/>
      <c r="H3007" s="611"/>
    </row>
    <row r="3008">
      <c r="A3008" s="612"/>
      <c r="B3008" s="613"/>
      <c r="C3008" s="614"/>
      <c r="D3008" s="615"/>
      <c r="E3008" s="616"/>
      <c r="F3008" s="617"/>
      <c r="G3008" s="616"/>
      <c r="H3008" s="611"/>
    </row>
    <row r="3009">
      <c r="A3009" s="605"/>
      <c r="B3009" s="606"/>
      <c r="C3009" s="607"/>
      <c r="D3009" s="608"/>
      <c r="E3009" s="609"/>
      <c r="F3009" s="610"/>
      <c r="G3009" s="609"/>
      <c r="H3009" s="611"/>
    </row>
    <row r="3010">
      <c r="A3010" s="612"/>
      <c r="B3010" s="613"/>
      <c r="C3010" s="614"/>
      <c r="D3010" s="615"/>
      <c r="E3010" s="616"/>
      <c r="F3010" s="617"/>
      <c r="G3010" s="616"/>
      <c r="H3010" s="611"/>
    </row>
    <row r="3011">
      <c r="A3011" s="605"/>
      <c r="B3011" s="606"/>
      <c r="C3011" s="607"/>
      <c r="D3011" s="608"/>
      <c r="E3011" s="609"/>
      <c r="F3011" s="610"/>
      <c r="G3011" s="609"/>
      <c r="H3011" s="611"/>
    </row>
    <row r="3012">
      <c r="A3012" s="612"/>
      <c r="B3012" s="613"/>
      <c r="C3012" s="614"/>
      <c r="D3012" s="615"/>
      <c r="E3012" s="616"/>
      <c r="F3012" s="617"/>
      <c r="G3012" s="616"/>
      <c r="H3012" s="611"/>
    </row>
    <row r="3013">
      <c r="A3013" s="605"/>
      <c r="B3013" s="606"/>
      <c r="C3013" s="607"/>
      <c r="D3013" s="608"/>
      <c r="E3013" s="609"/>
      <c r="F3013" s="610"/>
      <c r="G3013" s="609"/>
      <c r="H3013" s="611"/>
    </row>
    <row r="3014">
      <c r="A3014" s="612"/>
      <c r="B3014" s="613"/>
      <c r="C3014" s="614"/>
      <c r="D3014" s="615"/>
      <c r="E3014" s="616"/>
      <c r="F3014" s="617"/>
      <c r="G3014" s="616"/>
      <c r="H3014" s="611"/>
    </row>
    <row r="3015">
      <c r="A3015" s="605"/>
      <c r="B3015" s="606"/>
      <c r="C3015" s="607"/>
      <c r="D3015" s="608"/>
      <c r="E3015" s="609"/>
      <c r="F3015" s="610"/>
      <c r="G3015" s="609"/>
      <c r="H3015" s="611"/>
    </row>
    <row r="3016">
      <c r="A3016" s="612"/>
      <c r="B3016" s="613"/>
      <c r="C3016" s="614"/>
      <c r="D3016" s="615"/>
      <c r="E3016" s="616"/>
      <c r="F3016" s="617"/>
      <c r="G3016" s="616"/>
      <c r="H3016" s="611"/>
    </row>
    <row r="3017">
      <c r="A3017" s="605"/>
      <c r="B3017" s="606"/>
      <c r="C3017" s="607"/>
      <c r="D3017" s="608"/>
      <c r="E3017" s="609"/>
      <c r="F3017" s="610"/>
      <c r="G3017" s="609"/>
      <c r="H3017" s="611"/>
    </row>
    <row r="3018">
      <c r="A3018" s="612"/>
      <c r="B3018" s="613"/>
      <c r="C3018" s="614"/>
      <c r="D3018" s="615"/>
      <c r="E3018" s="616"/>
      <c r="F3018" s="617"/>
      <c r="G3018" s="616"/>
      <c r="H3018" s="611"/>
    </row>
    <row r="3019">
      <c r="A3019" s="605"/>
      <c r="B3019" s="606"/>
      <c r="C3019" s="607"/>
      <c r="D3019" s="608"/>
      <c r="E3019" s="609"/>
      <c r="F3019" s="610"/>
      <c r="G3019" s="609"/>
      <c r="H3019" s="611"/>
    </row>
    <row r="3020">
      <c r="A3020" s="612"/>
      <c r="B3020" s="613"/>
      <c r="C3020" s="614"/>
      <c r="D3020" s="615"/>
      <c r="E3020" s="616"/>
      <c r="F3020" s="617"/>
      <c r="G3020" s="616"/>
      <c r="H3020" s="611"/>
    </row>
    <row r="3021">
      <c r="A3021" s="605"/>
      <c r="B3021" s="606"/>
      <c r="C3021" s="607"/>
      <c r="D3021" s="608"/>
      <c r="E3021" s="609"/>
      <c r="F3021" s="610"/>
      <c r="G3021" s="609"/>
      <c r="H3021" s="611"/>
    </row>
    <row r="3022">
      <c r="A3022" s="612"/>
      <c r="B3022" s="613"/>
      <c r="C3022" s="614"/>
      <c r="D3022" s="615"/>
      <c r="E3022" s="616"/>
      <c r="F3022" s="617"/>
      <c r="G3022" s="616"/>
      <c r="H3022" s="611"/>
    </row>
    <row r="3023">
      <c r="A3023" s="605"/>
      <c r="B3023" s="606"/>
      <c r="C3023" s="607"/>
      <c r="D3023" s="608"/>
      <c r="E3023" s="609"/>
      <c r="F3023" s="610"/>
      <c r="G3023" s="609"/>
      <c r="H3023" s="611"/>
    </row>
    <row r="3024">
      <c r="A3024" s="612"/>
      <c r="B3024" s="613"/>
      <c r="C3024" s="614"/>
      <c r="D3024" s="615"/>
      <c r="E3024" s="616"/>
      <c r="F3024" s="617"/>
      <c r="G3024" s="616"/>
      <c r="H3024" s="611"/>
    </row>
    <row r="3025">
      <c r="A3025" s="605"/>
      <c r="B3025" s="606"/>
      <c r="C3025" s="607"/>
      <c r="D3025" s="608"/>
      <c r="E3025" s="609"/>
      <c r="F3025" s="610"/>
      <c r="G3025" s="609"/>
      <c r="H3025" s="611"/>
    </row>
    <row r="3026">
      <c r="A3026" s="612"/>
      <c r="B3026" s="613"/>
      <c r="C3026" s="614"/>
      <c r="D3026" s="615"/>
      <c r="E3026" s="616"/>
      <c r="F3026" s="617"/>
      <c r="G3026" s="616"/>
      <c r="H3026" s="611"/>
    </row>
    <row r="3027">
      <c r="A3027" s="605"/>
      <c r="B3027" s="606"/>
      <c r="C3027" s="607"/>
      <c r="D3027" s="608"/>
      <c r="E3027" s="609"/>
      <c r="F3027" s="610"/>
      <c r="G3027" s="609"/>
      <c r="H3027" s="611"/>
    </row>
    <row r="3028">
      <c r="A3028" s="612"/>
      <c r="B3028" s="613"/>
      <c r="C3028" s="614"/>
      <c r="D3028" s="615"/>
      <c r="E3028" s="616"/>
      <c r="F3028" s="617"/>
      <c r="G3028" s="616"/>
      <c r="H3028" s="611"/>
    </row>
    <row r="3029">
      <c r="A3029" s="605"/>
      <c r="B3029" s="606"/>
      <c r="C3029" s="607"/>
      <c r="D3029" s="608"/>
      <c r="E3029" s="609"/>
      <c r="F3029" s="610"/>
      <c r="G3029" s="609"/>
      <c r="H3029" s="611"/>
    </row>
    <row r="3030">
      <c r="A3030" s="612"/>
      <c r="B3030" s="613"/>
      <c r="C3030" s="614"/>
      <c r="D3030" s="615"/>
      <c r="E3030" s="616"/>
      <c r="F3030" s="617"/>
      <c r="G3030" s="616"/>
      <c r="H3030" s="611"/>
    </row>
    <row r="3031">
      <c r="A3031" s="605"/>
      <c r="B3031" s="606"/>
      <c r="C3031" s="607"/>
      <c r="D3031" s="608"/>
      <c r="E3031" s="609"/>
      <c r="F3031" s="610"/>
      <c r="G3031" s="609"/>
      <c r="H3031" s="611"/>
    </row>
    <row r="3032">
      <c r="A3032" s="612"/>
      <c r="B3032" s="613"/>
      <c r="C3032" s="614"/>
      <c r="D3032" s="615"/>
      <c r="E3032" s="616"/>
      <c r="F3032" s="617"/>
      <c r="G3032" s="616"/>
      <c r="H3032" s="611"/>
    </row>
    <row r="3033">
      <c r="A3033" s="605"/>
      <c r="B3033" s="606"/>
      <c r="C3033" s="607"/>
      <c r="D3033" s="608"/>
      <c r="E3033" s="609"/>
      <c r="F3033" s="610"/>
      <c r="G3033" s="609"/>
      <c r="H3033" s="611"/>
    </row>
    <row r="3034">
      <c r="A3034" s="612"/>
      <c r="B3034" s="613"/>
      <c r="C3034" s="614"/>
      <c r="D3034" s="615"/>
      <c r="E3034" s="616"/>
      <c r="F3034" s="617"/>
      <c r="G3034" s="616"/>
      <c r="H3034" s="611"/>
    </row>
    <row r="3035">
      <c r="A3035" s="605"/>
      <c r="B3035" s="606"/>
      <c r="C3035" s="607"/>
      <c r="D3035" s="608"/>
      <c r="E3035" s="609"/>
      <c r="F3035" s="610"/>
      <c r="G3035" s="609"/>
      <c r="H3035" s="611"/>
    </row>
    <row r="3036">
      <c r="A3036" s="612"/>
      <c r="B3036" s="613"/>
      <c r="C3036" s="614"/>
      <c r="D3036" s="615"/>
      <c r="E3036" s="616"/>
      <c r="F3036" s="617"/>
      <c r="G3036" s="616"/>
      <c r="H3036" s="611"/>
    </row>
    <row r="3037">
      <c r="A3037" s="605"/>
      <c r="B3037" s="606"/>
      <c r="C3037" s="607"/>
      <c r="D3037" s="608"/>
      <c r="E3037" s="609"/>
      <c r="F3037" s="610"/>
      <c r="G3037" s="609"/>
      <c r="H3037" s="611"/>
    </row>
    <row r="3038">
      <c r="A3038" s="612"/>
      <c r="B3038" s="613"/>
      <c r="C3038" s="614"/>
      <c r="D3038" s="615"/>
      <c r="E3038" s="616"/>
      <c r="F3038" s="617"/>
      <c r="G3038" s="616"/>
      <c r="H3038" s="611"/>
    </row>
    <row r="3039">
      <c r="A3039" s="605"/>
      <c r="B3039" s="606"/>
      <c r="C3039" s="607"/>
      <c r="D3039" s="608"/>
      <c r="E3039" s="609"/>
      <c r="F3039" s="610"/>
      <c r="G3039" s="609"/>
      <c r="H3039" s="611"/>
    </row>
    <row r="3040">
      <c r="A3040" s="612"/>
      <c r="B3040" s="613"/>
      <c r="C3040" s="614"/>
      <c r="D3040" s="615"/>
      <c r="E3040" s="616"/>
      <c r="F3040" s="617"/>
      <c r="G3040" s="616"/>
      <c r="H3040" s="611"/>
    </row>
    <row r="3041">
      <c r="A3041" s="605"/>
      <c r="B3041" s="606"/>
      <c r="C3041" s="607"/>
      <c r="D3041" s="608"/>
      <c r="E3041" s="609"/>
      <c r="F3041" s="610"/>
      <c r="G3041" s="609"/>
      <c r="H3041" s="611"/>
    </row>
    <row r="3042">
      <c r="A3042" s="612"/>
      <c r="B3042" s="613"/>
      <c r="C3042" s="614"/>
      <c r="D3042" s="615"/>
      <c r="E3042" s="616"/>
      <c r="F3042" s="617"/>
      <c r="G3042" s="616"/>
      <c r="H3042" s="611"/>
    </row>
    <row r="3043">
      <c r="A3043" s="605"/>
      <c r="B3043" s="606"/>
      <c r="C3043" s="607"/>
      <c r="D3043" s="608"/>
      <c r="E3043" s="609"/>
      <c r="F3043" s="610"/>
      <c r="G3043" s="609"/>
      <c r="H3043" s="611"/>
    </row>
    <row r="3044">
      <c r="A3044" s="612"/>
      <c r="B3044" s="613"/>
      <c r="C3044" s="614"/>
      <c r="D3044" s="615"/>
      <c r="E3044" s="616"/>
      <c r="F3044" s="617"/>
      <c r="G3044" s="616"/>
      <c r="H3044" s="611"/>
    </row>
    <row r="3045">
      <c r="A3045" s="605"/>
      <c r="B3045" s="606"/>
      <c r="C3045" s="607"/>
      <c r="D3045" s="608"/>
      <c r="E3045" s="609"/>
      <c r="F3045" s="610"/>
      <c r="G3045" s="609"/>
      <c r="H3045" s="611"/>
    </row>
    <row r="3046">
      <c r="A3046" s="612"/>
      <c r="B3046" s="613"/>
      <c r="C3046" s="614"/>
      <c r="D3046" s="615"/>
      <c r="E3046" s="616"/>
      <c r="F3046" s="617"/>
      <c r="G3046" s="616"/>
      <c r="H3046" s="611"/>
    </row>
    <row r="3047">
      <c r="A3047" s="605"/>
      <c r="B3047" s="606"/>
      <c r="C3047" s="607"/>
      <c r="D3047" s="608"/>
      <c r="E3047" s="609"/>
      <c r="F3047" s="610"/>
      <c r="G3047" s="609"/>
      <c r="H3047" s="611"/>
    </row>
    <row r="3048">
      <c r="A3048" s="612"/>
      <c r="B3048" s="613"/>
      <c r="C3048" s="614"/>
      <c r="D3048" s="615"/>
      <c r="E3048" s="616"/>
      <c r="F3048" s="617"/>
      <c r="G3048" s="616"/>
      <c r="H3048" s="611"/>
    </row>
    <row r="3049">
      <c r="A3049" s="605"/>
      <c r="B3049" s="606"/>
      <c r="C3049" s="607"/>
      <c r="D3049" s="608"/>
      <c r="E3049" s="609"/>
      <c r="F3049" s="610"/>
      <c r="G3049" s="609"/>
      <c r="H3049" s="611"/>
    </row>
    <row r="3050">
      <c r="A3050" s="612"/>
      <c r="B3050" s="613"/>
      <c r="C3050" s="614"/>
      <c r="D3050" s="615"/>
      <c r="E3050" s="616"/>
      <c r="F3050" s="617"/>
      <c r="G3050" s="616"/>
      <c r="H3050" s="611"/>
    </row>
    <row r="3051">
      <c r="A3051" s="605"/>
      <c r="B3051" s="606"/>
      <c r="C3051" s="607"/>
      <c r="D3051" s="608"/>
      <c r="E3051" s="609"/>
      <c r="F3051" s="610"/>
      <c r="G3051" s="609"/>
      <c r="H3051" s="611"/>
    </row>
    <row r="3052">
      <c r="A3052" s="612"/>
      <c r="B3052" s="613"/>
      <c r="C3052" s="614"/>
      <c r="D3052" s="615"/>
      <c r="E3052" s="616"/>
      <c r="F3052" s="617"/>
      <c r="G3052" s="616"/>
      <c r="H3052" s="611"/>
    </row>
    <row r="3053">
      <c r="A3053" s="605"/>
      <c r="B3053" s="606"/>
      <c r="C3053" s="607"/>
      <c r="D3053" s="608"/>
      <c r="E3053" s="609"/>
      <c r="F3053" s="610"/>
      <c r="G3053" s="609"/>
      <c r="H3053" s="611"/>
    </row>
    <row r="3054">
      <c r="A3054" s="612"/>
      <c r="B3054" s="613"/>
      <c r="C3054" s="614"/>
      <c r="D3054" s="615"/>
      <c r="E3054" s="616"/>
      <c r="F3054" s="617"/>
      <c r="G3054" s="616"/>
      <c r="H3054" s="611"/>
    </row>
    <row r="3055">
      <c r="A3055" s="605"/>
      <c r="B3055" s="606"/>
      <c r="C3055" s="607"/>
      <c r="D3055" s="608"/>
      <c r="E3055" s="609"/>
      <c r="F3055" s="610"/>
      <c r="G3055" s="609"/>
      <c r="H3055" s="611"/>
    </row>
    <row r="3056">
      <c r="A3056" s="612"/>
      <c r="B3056" s="613"/>
      <c r="C3056" s="614"/>
      <c r="D3056" s="615"/>
      <c r="E3056" s="616"/>
      <c r="F3056" s="617"/>
      <c r="G3056" s="616"/>
      <c r="H3056" s="611"/>
    </row>
    <row r="3057">
      <c r="A3057" s="605"/>
      <c r="B3057" s="606"/>
      <c r="C3057" s="607"/>
      <c r="D3057" s="608"/>
      <c r="E3057" s="609"/>
      <c r="F3057" s="610"/>
      <c r="G3057" s="609"/>
      <c r="H3057" s="611"/>
    </row>
    <row r="3058">
      <c r="A3058" s="612"/>
      <c r="B3058" s="613"/>
      <c r="C3058" s="614"/>
      <c r="D3058" s="615"/>
      <c r="E3058" s="616"/>
      <c r="F3058" s="617"/>
      <c r="G3058" s="616"/>
      <c r="H3058" s="611"/>
    </row>
    <row r="3059">
      <c r="A3059" s="605"/>
      <c r="B3059" s="606"/>
      <c r="C3059" s="607"/>
      <c r="D3059" s="608"/>
      <c r="E3059" s="609"/>
      <c r="F3059" s="610"/>
      <c r="G3059" s="609"/>
      <c r="H3059" s="611"/>
    </row>
    <row r="3060">
      <c r="A3060" s="612"/>
      <c r="B3060" s="613"/>
      <c r="C3060" s="614"/>
      <c r="D3060" s="615"/>
      <c r="E3060" s="616"/>
      <c r="F3060" s="617"/>
      <c r="G3060" s="616"/>
      <c r="H3060" s="611"/>
    </row>
    <row r="3061">
      <c r="A3061" s="605"/>
      <c r="B3061" s="606"/>
      <c r="C3061" s="607"/>
      <c r="D3061" s="608"/>
      <c r="E3061" s="609"/>
      <c r="F3061" s="610"/>
      <c r="G3061" s="609"/>
      <c r="H3061" s="611"/>
    </row>
    <row r="3062">
      <c r="A3062" s="612"/>
      <c r="B3062" s="613"/>
      <c r="C3062" s="614"/>
      <c r="D3062" s="615"/>
      <c r="E3062" s="616"/>
      <c r="F3062" s="617"/>
      <c r="G3062" s="616"/>
      <c r="H3062" s="611"/>
    </row>
    <row r="3063">
      <c r="A3063" s="605"/>
      <c r="B3063" s="606"/>
      <c r="C3063" s="607"/>
      <c r="D3063" s="608"/>
      <c r="E3063" s="609"/>
      <c r="F3063" s="610"/>
      <c r="G3063" s="609"/>
      <c r="H3063" s="611"/>
    </row>
    <row r="3064">
      <c r="A3064" s="612"/>
      <c r="B3064" s="613"/>
      <c r="C3064" s="614"/>
      <c r="D3064" s="615"/>
      <c r="E3064" s="616"/>
      <c r="F3064" s="617"/>
      <c r="G3064" s="616"/>
      <c r="H3064" s="611"/>
    </row>
    <row r="3065">
      <c r="A3065" s="605"/>
      <c r="B3065" s="606"/>
      <c r="C3065" s="607"/>
      <c r="D3065" s="608"/>
      <c r="E3065" s="609"/>
      <c r="F3065" s="610"/>
      <c r="G3065" s="609"/>
      <c r="H3065" s="611"/>
    </row>
    <row r="3066">
      <c r="A3066" s="612"/>
      <c r="B3066" s="613"/>
      <c r="C3066" s="614"/>
      <c r="D3066" s="615"/>
      <c r="E3066" s="616"/>
      <c r="F3066" s="617"/>
      <c r="G3066" s="616"/>
      <c r="H3066" s="611"/>
    </row>
    <row r="3067">
      <c r="A3067" s="605"/>
      <c r="B3067" s="606"/>
      <c r="C3067" s="607"/>
      <c r="D3067" s="608"/>
      <c r="E3067" s="609"/>
      <c r="F3067" s="610"/>
      <c r="G3067" s="609"/>
      <c r="H3067" s="611"/>
    </row>
    <row r="3068">
      <c r="A3068" s="612"/>
      <c r="B3068" s="613"/>
      <c r="C3068" s="614"/>
      <c r="D3068" s="615"/>
      <c r="E3068" s="616"/>
      <c r="F3068" s="617"/>
      <c r="G3068" s="616"/>
      <c r="H3068" s="611"/>
    </row>
    <row r="3069">
      <c r="A3069" s="605"/>
      <c r="B3069" s="606"/>
      <c r="C3069" s="607"/>
      <c r="D3069" s="608"/>
      <c r="E3069" s="609"/>
      <c r="F3069" s="610"/>
      <c r="G3069" s="609"/>
      <c r="H3069" s="611"/>
    </row>
    <row r="3070">
      <c r="A3070" s="612"/>
      <c r="B3070" s="613"/>
      <c r="C3070" s="614"/>
      <c r="D3070" s="615"/>
      <c r="E3070" s="616"/>
      <c r="F3070" s="617"/>
      <c r="G3070" s="616"/>
      <c r="H3070" s="611"/>
    </row>
    <row r="3071">
      <c r="A3071" s="605"/>
      <c r="B3071" s="606"/>
      <c r="C3071" s="607"/>
      <c r="D3071" s="608"/>
      <c r="E3071" s="609"/>
      <c r="F3071" s="610"/>
      <c r="G3071" s="609"/>
      <c r="H3071" s="611"/>
    </row>
    <row r="3072">
      <c r="A3072" s="612"/>
      <c r="B3072" s="613"/>
      <c r="C3072" s="614"/>
      <c r="D3072" s="615"/>
      <c r="E3072" s="616"/>
      <c r="F3072" s="617"/>
      <c r="G3072" s="616"/>
      <c r="H3072" s="611"/>
    </row>
    <row r="3073">
      <c r="A3073" s="605"/>
      <c r="B3073" s="606"/>
      <c r="C3073" s="607"/>
      <c r="D3073" s="608"/>
      <c r="E3073" s="609"/>
      <c r="F3073" s="610"/>
      <c r="G3073" s="609"/>
      <c r="H3073" s="611"/>
    </row>
    <row r="3074">
      <c r="A3074" s="612"/>
      <c r="B3074" s="613"/>
      <c r="C3074" s="614"/>
      <c r="D3074" s="615"/>
      <c r="E3074" s="616"/>
      <c r="F3074" s="617"/>
      <c r="G3074" s="616"/>
      <c r="H3074" s="611"/>
    </row>
    <row r="3075">
      <c r="A3075" s="605"/>
      <c r="B3075" s="606"/>
      <c r="C3075" s="607"/>
      <c r="D3075" s="608"/>
      <c r="E3075" s="609"/>
      <c r="F3075" s="610"/>
      <c r="G3075" s="609"/>
      <c r="H3075" s="611"/>
    </row>
    <row r="3076">
      <c r="A3076" s="612"/>
      <c r="B3076" s="613"/>
      <c r="C3076" s="614"/>
      <c r="D3076" s="615"/>
      <c r="E3076" s="616"/>
      <c r="F3076" s="617"/>
      <c r="G3076" s="616"/>
      <c r="H3076" s="611"/>
    </row>
    <row r="3077">
      <c r="A3077" s="605"/>
      <c r="B3077" s="606"/>
      <c r="C3077" s="607"/>
      <c r="D3077" s="608"/>
      <c r="E3077" s="609"/>
      <c r="F3077" s="610"/>
      <c r="G3077" s="609"/>
      <c r="H3077" s="611"/>
    </row>
    <row r="3078">
      <c r="A3078" s="612"/>
      <c r="B3078" s="613"/>
      <c r="C3078" s="614"/>
      <c r="D3078" s="615"/>
      <c r="E3078" s="616"/>
      <c r="F3078" s="617"/>
      <c r="G3078" s="616"/>
      <c r="H3078" s="611"/>
    </row>
    <row r="3079">
      <c r="A3079" s="605"/>
      <c r="B3079" s="606"/>
      <c r="C3079" s="607"/>
      <c r="D3079" s="608"/>
      <c r="E3079" s="609"/>
      <c r="F3079" s="610"/>
      <c r="G3079" s="609"/>
      <c r="H3079" s="611"/>
    </row>
    <row r="3080">
      <c r="A3080" s="612"/>
      <c r="B3080" s="613"/>
      <c r="C3080" s="614"/>
      <c r="D3080" s="615"/>
      <c r="E3080" s="616"/>
      <c r="F3080" s="617"/>
      <c r="G3080" s="616"/>
      <c r="H3080" s="611"/>
    </row>
    <row r="3081">
      <c r="A3081" s="605"/>
      <c r="B3081" s="606"/>
      <c r="C3081" s="607"/>
      <c r="D3081" s="608"/>
      <c r="E3081" s="609"/>
      <c r="F3081" s="610"/>
      <c r="G3081" s="609"/>
      <c r="H3081" s="611"/>
    </row>
    <row r="3082">
      <c r="A3082" s="612"/>
      <c r="B3082" s="613"/>
      <c r="C3082" s="614"/>
      <c r="D3082" s="615"/>
      <c r="E3082" s="616"/>
      <c r="F3082" s="617"/>
      <c r="G3082" s="616"/>
      <c r="H3082" s="611"/>
    </row>
    <row r="3083">
      <c r="A3083" s="605"/>
      <c r="B3083" s="606"/>
      <c r="C3083" s="607"/>
      <c r="D3083" s="608"/>
      <c r="E3083" s="609"/>
      <c r="F3083" s="610"/>
      <c r="G3083" s="609"/>
      <c r="H3083" s="611"/>
    </row>
    <row r="3084">
      <c r="A3084" s="612"/>
      <c r="B3084" s="613"/>
      <c r="C3084" s="614"/>
      <c r="D3084" s="615"/>
      <c r="E3084" s="616"/>
      <c r="F3084" s="617"/>
      <c r="G3084" s="616"/>
      <c r="H3084" s="611"/>
    </row>
    <row r="3085">
      <c r="A3085" s="605"/>
      <c r="B3085" s="606"/>
      <c r="C3085" s="607"/>
      <c r="D3085" s="608"/>
      <c r="E3085" s="609"/>
      <c r="F3085" s="610"/>
      <c r="G3085" s="609"/>
      <c r="H3085" s="611"/>
    </row>
    <row r="3086">
      <c r="A3086" s="612"/>
      <c r="B3086" s="613"/>
      <c r="C3086" s="614"/>
      <c r="D3086" s="615"/>
      <c r="E3086" s="616"/>
      <c r="F3086" s="617"/>
      <c r="G3086" s="616"/>
      <c r="H3086" s="611"/>
    </row>
    <row r="3087">
      <c r="A3087" s="605"/>
      <c r="B3087" s="606"/>
      <c r="C3087" s="607"/>
      <c r="D3087" s="608"/>
      <c r="E3087" s="609"/>
      <c r="F3087" s="610"/>
      <c r="G3087" s="609"/>
      <c r="H3087" s="611"/>
    </row>
  </sheetData>
  <autoFilter ref="$K$49:$Q$61"/>
  <mergeCells count="1636">
    <mergeCell ref="A1268:A1270"/>
    <mergeCell ref="B1268:B1270"/>
    <mergeCell ref="A1271:A1272"/>
    <mergeCell ref="B1271:B1272"/>
    <mergeCell ref="A1273:A1275"/>
    <mergeCell ref="B1273:B1275"/>
    <mergeCell ref="C1273:C1274"/>
    <mergeCell ref="A1283:E1283"/>
    <mergeCell ref="G1283:H1283"/>
    <mergeCell ref="A1284:H1284"/>
    <mergeCell ref="A1276:A1277"/>
    <mergeCell ref="B1276:B1277"/>
    <mergeCell ref="A1278:A1279"/>
    <mergeCell ref="B1278:B1279"/>
    <mergeCell ref="A1280:A1282"/>
    <mergeCell ref="B1280:B1282"/>
    <mergeCell ref="C1280:C1281"/>
    <mergeCell ref="A1286:A1288"/>
    <mergeCell ref="B1286:B1288"/>
    <mergeCell ref="A1289:A1290"/>
    <mergeCell ref="B1289:B1290"/>
    <mergeCell ref="A1291:A1293"/>
    <mergeCell ref="B1291:B1293"/>
    <mergeCell ref="C1291:C1292"/>
    <mergeCell ref="A1294:A1295"/>
    <mergeCell ref="B1294:B1295"/>
    <mergeCell ref="A1296:A1297"/>
    <mergeCell ref="B1296:B1297"/>
    <mergeCell ref="A1298:A1300"/>
    <mergeCell ref="B1298:B1300"/>
    <mergeCell ref="C1298:C1299"/>
    <mergeCell ref="A1302:A1304"/>
    <mergeCell ref="B1302:B1304"/>
    <mergeCell ref="A1305:A1306"/>
    <mergeCell ref="B1305:B1306"/>
    <mergeCell ref="A1307:A1309"/>
    <mergeCell ref="B1307:B1309"/>
    <mergeCell ref="C1307:C1308"/>
    <mergeCell ref="A1310:A1312"/>
    <mergeCell ref="B1310:B1312"/>
    <mergeCell ref="A1313:A1314"/>
    <mergeCell ref="B1313:B1314"/>
    <mergeCell ref="A1315:A1317"/>
    <mergeCell ref="B1315:B1317"/>
    <mergeCell ref="C1315:C1316"/>
    <mergeCell ref="A1319:A1321"/>
    <mergeCell ref="B1319:B1321"/>
    <mergeCell ref="A1322:A1323"/>
    <mergeCell ref="B1322:B1323"/>
    <mergeCell ref="A1324:A1326"/>
    <mergeCell ref="B1324:B1326"/>
    <mergeCell ref="C1324:C1325"/>
    <mergeCell ref="A1327:A1328"/>
    <mergeCell ref="B1327:B1328"/>
    <mergeCell ref="A1330:A1332"/>
    <mergeCell ref="B1330:B1332"/>
    <mergeCell ref="C1330:C1331"/>
    <mergeCell ref="A1334:A1336"/>
    <mergeCell ref="B1334:B1336"/>
    <mergeCell ref="A1337:A1338"/>
    <mergeCell ref="B1337:B1338"/>
    <mergeCell ref="A1339:A1341"/>
    <mergeCell ref="B1339:B1341"/>
    <mergeCell ref="C1339:C1340"/>
    <mergeCell ref="A1342:A1343"/>
    <mergeCell ref="B1342:B1343"/>
    <mergeCell ref="A1353:E1353"/>
    <mergeCell ref="G1353:H1353"/>
    <mergeCell ref="A1354:H1354"/>
    <mergeCell ref="A1355:A1356"/>
    <mergeCell ref="B1355:B1356"/>
    <mergeCell ref="K1355:Q1355"/>
    <mergeCell ref="A1344:A1345"/>
    <mergeCell ref="B1344:B1345"/>
    <mergeCell ref="A1346:A1348"/>
    <mergeCell ref="B1346:B1348"/>
    <mergeCell ref="C1346:C1347"/>
    <mergeCell ref="A1350:A1352"/>
    <mergeCell ref="B1350:B1352"/>
    <mergeCell ref="A1373:A1375"/>
    <mergeCell ref="B1373:B1375"/>
    <mergeCell ref="C1373:C1374"/>
    <mergeCell ref="A1421:A1423"/>
    <mergeCell ref="B1421:B1423"/>
    <mergeCell ref="C1421:C1422"/>
    <mergeCell ref="A1425:E1425"/>
    <mergeCell ref="G1425:H1425"/>
    <mergeCell ref="A1426:H1426"/>
    <mergeCell ref="K1427:Q1427"/>
    <mergeCell ref="A1428:A1430"/>
    <mergeCell ref="B1428:B1430"/>
    <mergeCell ref="C1428:C1429"/>
    <mergeCell ref="A1412:A1414"/>
    <mergeCell ref="B1412:B1414"/>
    <mergeCell ref="C1412:C1413"/>
    <mergeCell ref="A1416:A1418"/>
    <mergeCell ref="B1416:B1418"/>
    <mergeCell ref="A1419:A1420"/>
    <mergeCell ref="B1419:B1420"/>
    <mergeCell ref="A1357:A1359"/>
    <mergeCell ref="B1357:B1359"/>
    <mergeCell ref="C1357:C1358"/>
    <mergeCell ref="A1360:A1361"/>
    <mergeCell ref="B1360:B1361"/>
    <mergeCell ref="A1362:A1363"/>
    <mergeCell ref="B1362:B1363"/>
    <mergeCell ref="A1364:A1366"/>
    <mergeCell ref="B1364:B1366"/>
    <mergeCell ref="C1364:C1365"/>
    <mergeCell ref="A1368:A1370"/>
    <mergeCell ref="B1368:B1370"/>
    <mergeCell ref="A1371:A1372"/>
    <mergeCell ref="B1371:B1372"/>
    <mergeCell ref="A1376:A1378"/>
    <mergeCell ref="B1376:B1378"/>
    <mergeCell ref="A1379:A1380"/>
    <mergeCell ref="B1379:B1380"/>
    <mergeCell ref="A1381:A1383"/>
    <mergeCell ref="B1381:B1383"/>
    <mergeCell ref="C1381:C1382"/>
    <mergeCell ref="B1391:B1393"/>
    <mergeCell ref="C1391:C1392"/>
    <mergeCell ref="A1384:A1385"/>
    <mergeCell ref="B1384:B1385"/>
    <mergeCell ref="A1386:A1388"/>
    <mergeCell ref="B1386:B1388"/>
    <mergeCell ref="A1389:A1390"/>
    <mergeCell ref="B1389:B1390"/>
    <mergeCell ref="A1391:A1393"/>
    <mergeCell ref="A1394:A1395"/>
    <mergeCell ref="B1394:B1395"/>
    <mergeCell ref="A1396:A1397"/>
    <mergeCell ref="B1396:B1397"/>
    <mergeCell ref="A1398:A1400"/>
    <mergeCell ref="B1398:B1400"/>
    <mergeCell ref="C1398:C1399"/>
    <mergeCell ref="A1402:A1404"/>
    <mergeCell ref="B1402:B1404"/>
    <mergeCell ref="A1405:A1406"/>
    <mergeCell ref="B1405:B1406"/>
    <mergeCell ref="A1407:A1409"/>
    <mergeCell ref="B1407:B1409"/>
    <mergeCell ref="C1407:C1408"/>
    <mergeCell ref="A1433:A1435"/>
    <mergeCell ref="B1433:B1435"/>
    <mergeCell ref="A1436:A1437"/>
    <mergeCell ref="B1436:B1437"/>
    <mergeCell ref="A1438:A1440"/>
    <mergeCell ref="B1438:B1440"/>
    <mergeCell ref="C1438:C1439"/>
    <mergeCell ref="A1441:A1442"/>
    <mergeCell ref="B1441:B1442"/>
    <mergeCell ref="A1443:A1444"/>
    <mergeCell ref="B1443:B1444"/>
    <mergeCell ref="A1445:A1447"/>
    <mergeCell ref="B1445:B1447"/>
    <mergeCell ref="C1445:C1446"/>
    <mergeCell ref="A1449:A1451"/>
    <mergeCell ref="B1449:B1451"/>
    <mergeCell ref="A1452:A1453"/>
    <mergeCell ref="B1452:B1453"/>
    <mergeCell ref="A1454:A1456"/>
    <mergeCell ref="B1454:B1456"/>
    <mergeCell ref="C1454:C1455"/>
    <mergeCell ref="A1457:A1458"/>
    <mergeCell ref="B1457:B1458"/>
    <mergeCell ref="A1459:A1460"/>
    <mergeCell ref="B1459:B1460"/>
    <mergeCell ref="A1461:A1463"/>
    <mergeCell ref="B1461:B1463"/>
    <mergeCell ref="C1461:C1462"/>
    <mergeCell ref="A1465:A1467"/>
    <mergeCell ref="B1465:B1467"/>
    <mergeCell ref="A1468:A1469"/>
    <mergeCell ref="B1468:B1469"/>
    <mergeCell ref="A1470:A1472"/>
    <mergeCell ref="B1470:B1472"/>
    <mergeCell ref="C1470:C1471"/>
    <mergeCell ref="A1473:A1474"/>
    <mergeCell ref="B1473:B1474"/>
    <mergeCell ref="A1475:A1476"/>
    <mergeCell ref="B1475:B1476"/>
    <mergeCell ref="A1477:A1479"/>
    <mergeCell ref="B1477:B1479"/>
    <mergeCell ref="C1477:C1478"/>
    <mergeCell ref="A1497:E1497"/>
    <mergeCell ref="G1497:H1497"/>
    <mergeCell ref="A1498:H1498"/>
    <mergeCell ref="A1481:A1483"/>
    <mergeCell ref="B1481:B1483"/>
    <mergeCell ref="A1484:A1485"/>
    <mergeCell ref="B1484:B1485"/>
    <mergeCell ref="A1486:A1488"/>
    <mergeCell ref="B1486:B1488"/>
    <mergeCell ref="C1486:C1487"/>
    <mergeCell ref="A1499:A1501"/>
    <mergeCell ref="B1499:B1501"/>
    <mergeCell ref="K1499:Q1499"/>
    <mergeCell ref="A1489:A1490"/>
    <mergeCell ref="B1489:B1490"/>
    <mergeCell ref="A1491:A1492"/>
    <mergeCell ref="B1491:B1492"/>
    <mergeCell ref="A1493:A1495"/>
    <mergeCell ref="B1493:B1495"/>
    <mergeCell ref="C1493:C1494"/>
    <mergeCell ref="A1502:A1503"/>
    <mergeCell ref="B1502:B1503"/>
    <mergeCell ref="A1504:A1506"/>
    <mergeCell ref="B1504:B1506"/>
    <mergeCell ref="C1504:C1505"/>
    <mergeCell ref="A1507:A1508"/>
    <mergeCell ref="B1507:B1508"/>
    <mergeCell ref="A1509:A1510"/>
    <mergeCell ref="B1509:B1510"/>
    <mergeCell ref="A1511:A1513"/>
    <mergeCell ref="B1511:B1513"/>
    <mergeCell ref="C1511:C1512"/>
    <mergeCell ref="B1514:B1515"/>
    <mergeCell ref="C1514:C1515"/>
    <mergeCell ref="A1514:A1515"/>
    <mergeCell ref="A1516:A1518"/>
    <mergeCell ref="B1516:B1518"/>
    <mergeCell ref="A1519:A1520"/>
    <mergeCell ref="B1519:B1520"/>
    <mergeCell ref="B1521:B1523"/>
    <mergeCell ref="C1521:C1522"/>
    <mergeCell ref="A1539:A1540"/>
    <mergeCell ref="A1541:A1543"/>
    <mergeCell ref="B1541:B1543"/>
    <mergeCell ref="C1541:C1542"/>
    <mergeCell ref="K1564:Q1564"/>
    <mergeCell ref="A1521:A1523"/>
    <mergeCell ref="A1524:A1525"/>
    <mergeCell ref="B1524:B1525"/>
    <mergeCell ref="A1526:A1527"/>
    <mergeCell ref="B1526:B1527"/>
    <mergeCell ref="B1528:B1530"/>
    <mergeCell ref="C1528:C1529"/>
    <mergeCell ref="A1528:A1530"/>
    <mergeCell ref="A1532:A1534"/>
    <mergeCell ref="B1532:B1534"/>
    <mergeCell ref="A1536:A1537"/>
    <mergeCell ref="B1536:B1537"/>
    <mergeCell ref="C1536:C1537"/>
    <mergeCell ref="B1539:B1540"/>
    <mergeCell ref="A1545:A1547"/>
    <mergeCell ref="B1545:B1547"/>
    <mergeCell ref="A1548:A1549"/>
    <mergeCell ref="B1548:B1549"/>
    <mergeCell ref="A1550:A1552"/>
    <mergeCell ref="B1550:B1552"/>
    <mergeCell ref="C1550:C1551"/>
    <mergeCell ref="A1560:A1561"/>
    <mergeCell ref="B1560:B1561"/>
    <mergeCell ref="A1562:E1562"/>
    <mergeCell ref="G1562:H1562"/>
    <mergeCell ref="A1563:H1563"/>
    <mergeCell ref="A1553:A1554"/>
    <mergeCell ref="B1553:B1554"/>
    <mergeCell ref="A1555:A1556"/>
    <mergeCell ref="B1555:B1556"/>
    <mergeCell ref="A1557:A1559"/>
    <mergeCell ref="B1557:B1559"/>
    <mergeCell ref="C1557:C1558"/>
    <mergeCell ref="A1564:A1566"/>
    <mergeCell ref="B1564:B1566"/>
    <mergeCell ref="A1567:A1568"/>
    <mergeCell ref="B1567:B1568"/>
    <mergeCell ref="A1569:A1571"/>
    <mergeCell ref="B1569:B1571"/>
    <mergeCell ref="C1569:C1570"/>
    <mergeCell ref="A1572:A1573"/>
    <mergeCell ref="B1572:B1573"/>
    <mergeCell ref="A1574:A1575"/>
    <mergeCell ref="B1574:B1575"/>
    <mergeCell ref="A1576:A1578"/>
    <mergeCell ref="B1576:B1578"/>
    <mergeCell ref="C1576:C1577"/>
    <mergeCell ref="A1617:A1619"/>
    <mergeCell ref="B1617:B1619"/>
    <mergeCell ref="C1617:C1618"/>
    <mergeCell ref="A1620:A1621"/>
    <mergeCell ref="B1620:B1621"/>
    <mergeCell ref="A1622:A1623"/>
    <mergeCell ref="B1622:B1623"/>
    <mergeCell ref="A1624:A1626"/>
    <mergeCell ref="B1624:B1626"/>
    <mergeCell ref="C1624:C1625"/>
    <mergeCell ref="A1628:A1630"/>
    <mergeCell ref="B1628:B1630"/>
    <mergeCell ref="A1631:A1632"/>
    <mergeCell ref="B1631:B1632"/>
    <mergeCell ref="K1638:Q1638"/>
    <mergeCell ref="B1586:B1588"/>
    <mergeCell ref="C1586:C1587"/>
    <mergeCell ref="A1579:A1580"/>
    <mergeCell ref="B1579:B1580"/>
    <mergeCell ref="A1581:A1583"/>
    <mergeCell ref="B1581:B1583"/>
    <mergeCell ref="A1584:A1585"/>
    <mergeCell ref="B1584:B1585"/>
    <mergeCell ref="A1586:A1588"/>
    <mergeCell ref="A1589:A1590"/>
    <mergeCell ref="B1589:B1590"/>
    <mergeCell ref="A1591:A1592"/>
    <mergeCell ref="B1591:B1592"/>
    <mergeCell ref="A1593:A1595"/>
    <mergeCell ref="B1593:B1595"/>
    <mergeCell ref="C1593:C1594"/>
    <mergeCell ref="A1597:A1599"/>
    <mergeCell ref="B1597:B1599"/>
    <mergeCell ref="A1601:A1603"/>
    <mergeCell ref="B1601:B1603"/>
    <mergeCell ref="C1601:C1602"/>
    <mergeCell ref="A1604:A1605"/>
    <mergeCell ref="B1604:B1605"/>
    <mergeCell ref="A1607:A1609"/>
    <mergeCell ref="B1607:B1609"/>
    <mergeCell ref="C1607:C1608"/>
    <mergeCell ref="A1611:A1614"/>
    <mergeCell ref="B1611:B1614"/>
    <mergeCell ref="A1615:A1616"/>
    <mergeCell ref="B1615:B1616"/>
    <mergeCell ref="A1633:A1635"/>
    <mergeCell ref="B1633:B1635"/>
    <mergeCell ref="C1633:C1634"/>
    <mergeCell ref="A1636:E1636"/>
    <mergeCell ref="G1636:H1636"/>
    <mergeCell ref="A1637:H1637"/>
    <mergeCell ref="B1649:B1651"/>
    <mergeCell ref="C1649:C1650"/>
    <mergeCell ref="A1705:A1707"/>
    <mergeCell ref="B1705:B1707"/>
    <mergeCell ref="C1705:C1706"/>
    <mergeCell ref="K1705:O1705"/>
    <mergeCell ref="A1708:A1709"/>
    <mergeCell ref="B1708:B1709"/>
    <mergeCell ref="A1699:A1700"/>
    <mergeCell ref="B1699:B1700"/>
    <mergeCell ref="A1701:A1702"/>
    <mergeCell ref="B1701:B1702"/>
    <mergeCell ref="A1703:E1703"/>
    <mergeCell ref="G1703:H1703"/>
    <mergeCell ref="A1704:H1704"/>
    <mergeCell ref="A1638:A1640"/>
    <mergeCell ref="B1638:B1640"/>
    <mergeCell ref="A1644:A1646"/>
    <mergeCell ref="B1644:B1646"/>
    <mergeCell ref="A1647:A1648"/>
    <mergeCell ref="B1647:B1648"/>
    <mergeCell ref="A1649:A1651"/>
    <mergeCell ref="A1652:A1653"/>
    <mergeCell ref="B1652:B1653"/>
    <mergeCell ref="A1654:A1655"/>
    <mergeCell ref="B1654:B1655"/>
    <mergeCell ref="A1656:A1658"/>
    <mergeCell ref="B1656:B1658"/>
    <mergeCell ref="C1656:C1657"/>
    <mergeCell ref="A1659:A1660"/>
    <mergeCell ref="B1659:B1660"/>
    <mergeCell ref="A1661:A1663"/>
    <mergeCell ref="B1661:B1663"/>
    <mergeCell ref="A1665:A1667"/>
    <mergeCell ref="B1665:B1667"/>
    <mergeCell ref="C1665:C1666"/>
    <mergeCell ref="A1668:A1669"/>
    <mergeCell ref="B1668:B1669"/>
    <mergeCell ref="A1670:A1671"/>
    <mergeCell ref="B1670:B1671"/>
    <mergeCell ref="A1672:A1674"/>
    <mergeCell ref="B1672:B1674"/>
    <mergeCell ref="C1672:C1673"/>
    <mergeCell ref="A1676:A1678"/>
    <mergeCell ref="B1676:B1678"/>
    <mergeCell ref="A1679:A1680"/>
    <mergeCell ref="B1679:B1680"/>
    <mergeCell ref="A1681:A1682"/>
    <mergeCell ref="B1681:B1682"/>
    <mergeCell ref="C1681:C1682"/>
    <mergeCell ref="A1683:A1684"/>
    <mergeCell ref="B1683:B1684"/>
    <mergeCell ref="A1685:A1686"/>
    <mergeCell ref="B1685:B1686"/>
    <mergeCell ref="A1687:A1689"/>
    <mergeCell ref="B1687:B1689"/>
    <mergeCell ref="C1687:C1688"/>
    <mergeCell ref="A1691:A1693"/>
    <mergeCell ref="B1691:B1693"/>
    <mergeCell ref="A1694:A1695"/>
    <mergeCell ref="B1694:B1695"/>
    <mergeCell ref="A1696:A1698"/>
    <mergeCell ref="B1696:B1698"/>
    <mergeCell ref="C1696:C1697"/>
    <mergeCell ref="A1758:A1760"/>
    <mergeCell ref="B1758:B1760"/>
    <mergeCell ref="A1761:A1762"/>
    <mergeCell ref="B1761:B1762"/>
    <mergeCell ref="A1763:A1765"/>
    <mergeCell ref="B1763:B1765"/>
    <mergeCell ref="C1763:C1764"/>
    <mergeCell ref="A1777:E1777"/>
    <mergeCell ref="G1777:H1777"/>
    <mergeCell ref="A1778:H1778"/>
    <mergeCell ref="K1779:O1779"/>
    <mergeCell ref="A1766:A1767"/>
    <mergeCell ref="B1766:B1767"/>
    <mergeCell ref="A1768:A1769"/>
    <mergeCell ref="B1768:B1769"/>
    <mergeCell ref="A1770:A1772"/>
    <mergeCell ref="B1770:B1772"/>
    <mergeCell ref="C1770:C1771"/>
    <mergeCell ref="A1774:A1776"/>
    <mergeCell ref="B1774:B1776"/>
    <mergeCell ref="A1779:A1780"/>
    <mergeCell ref="B1779:B1780"/>
    <mergeCell ref="A1781:A1783"/>
    <mergeCell ref="B1781:B1783"/>
    <mergeCell ref="C1781:C1782"/>
    <mergeCell ref="A1784:A1785"/>
    <mergeCell ref="B1784:B1785"/>
    <mergeCell ref="A1786:A1787"/>
    <mergeCell ref="B1786:B1787"/>
    <mergeCell ref="A1788:A1790"/>
    <mergeCell ref="B1788:B1790"/>
    <mergeCell ref="C1788:C1789"/>
    <mergeCell ref="A1710:A1712"/>
    <mergeCell ref="B1710:B1712"/>
    <mergeCell ref="A1713:A1714"/>
    <mergeCell ref="B1713:B1714"/>
    <mergeCell ref="A1715:A1717"/>
    <mergeCell ref="B1715:B1717"/>
    <mergeCell ref="C1715:C1716"/>
    <mergeCell ref="A1718:A1719"/>
    <mergeCell ref="B1718:B1719"/>
    <mergeCell ref="A1720:A1721"/>
    <mergeCell ref="B1720:B1721"/>
    <mergeCell ref="A1722:A1724"/>
    <mergeCell ref="B1722:B1724"/>
    <mergeCell ref="C1722:C1723"/>
    <mergeCell ref="A1726:A1728"/>
    <mergeCell ref="B1726:B1728"/>
    <mergeCell ref="A1729:A1730"/>
    <mergeCell ref="B1729:B1730"/>
    <mergeCell ref="A1731:A1733"/>
    <mergeCell ref="B1731:B1733"/>
    <mergeCell ref="C1731:C1732"/>
    <mergeCell ref="A1734:A1735"/>
    <mergeCell ref="B1734:B1735"/>
    <mergeCell ref="A1736:A1737"/>
    <mergeCell ref="B1736:B1737"/>
    <mergeCell ref="A1738:A1740"/>
    <mergeCell ref="B1738:B1740"/>
    <mergeCell ref="C1738:C1739"/>
    <mergeCell ref="A1742:A1744"/>
    <mergeCell ref="B1742:B1744"/>
    <mergeCell ref="A1745:A1746"/>
    <mergeCell ref="B1745:B1746"/>
    <mergeCell ref="A1747:A1749"/>
    <mergeCell ref="B1747:B1749"/>
    <mergeCell ref="C1747:C1748"/>
    <mergeCell ref="A1750:A1751"/>
    <mergeCell ref="B1750:B1751"/>
    <mergeCell ref="A1752:A1753"/>
    <mergeCell ref="B1752:B1753"/>
    <mergeCell ref="A1754:A1756"/>
    <mergeCell ref="B1754:B1756"/>
    <mergeCell ref="C1754:C1755"/>
    <mergeCell ref="B1798:B1800"/>
    <mergeCell ref="C1798:C1799"/>
    <mergeCell ref="A364:A365"/>
    <mergeCell ref="B364:B365"/>
    <mergeCell ref="A368:A370"/>
    <mergeCell ref="B368:B370"/>
    <mergeCell ref="A372:A373"/>
    <mergeCell ref="B372:B373"/>
    <mergeCell ref="B375:B376"/>
    <mergeCell ref="A375:A376"/>
    <mergeCell ref="A379:A380"/>
    <mergeCell ref="B379:B380"/>
    <mergeCell ref="A382:A383"/>
    <mergeCell ref="B382:B383"/>
    <mergeCell ref="A385:A386"/>
    <mergeCell ref="B385:B386"/>
    <mergeCell ref="A402:A403"/>
    <mergeCell ref="A405:A406"/>
    <mergeCell ref="B405:B406"/>
    <mergeCell ref="A408:E408"/>
    <mergeCell ref="G408:H408"/>
    <mergeCell ref="A409:H409"/>
    <mergeCell ref="K410:Q410"/>
    <mergeCell ref="A392:A393"/>
    <mergeCell ref="B392:B393"/>
    <mergeCell ref="A395:A396"/>
    <mergeCell ref="B395:B396"/>
    <mergeCell ref="A399:A400"/>
    <mergeCell ref="B399:B400"/>
    <mergeCell ref="B402:B403"/>
    <mergeCell ref="A411:A413"/>
    <mergeCell ref="B411:B413"/>
    <mergeCell ref="A415:A416"/>
    <mergeCell ref="B415:B416"/>
    <mergeCell ref="A418:A419"/>
    <mergeCell ref="B418:B419"/>
    <mergeCell ref="B422:B423"/>
    <mergeCell ref="A422:A423"/>
    <mergeCell ref="A425:A426"/>
    <mergeCell ref="B425:B426"/>
    <mergeCell ref="A428:A429"/>
    <mergeCell ref="B428:B429"/>
    <mergeCell ref="A432:A433"/>
    <mergeCell ref="B432:B433"/>
    <mergeCell ref="A435:A436"/>
    <mergeCell ref="B435:B436"/>
    <mergeCell ref="A438:A439"/>
    <mergeCell ref="B438:B439"/>
    <mergeCell ref="A442:A443"/>
    <mergeCell ref="B442:B443"/>
    <mergeCell ref="B445:B446"/>
    <mergeCell ref="A452:A453"/>
    <mergeCell ref="A457:A458"/>
    <mergeCell ref="B457:B458"/>
    <mergeCell ref="K457:Q457"/>
    <mergeCell ref="A445:A446"/>
    <mergeCell ref="A448:A449"/>
    <mergeCell ref="B448:B449"/>
    <mergeCell ref="B452:B453"/>
    <mergeCell ref="A455:E455"/>
    <mergeCell ref="G455:H455"/>
    <mergeCell ref="A456:H456"/>
    <mergeCell ref="A460:A461"/>
    <mergeCell ref="B460:B461"/>
    <mergeCell ref="C460:C461"/>
    <mergeCell ref="A464:A466"/>
    <mergeCell ref="B464:B466"/>
    <mergeCell ref="C464:C465"/>
    <mergeCell ref="B468:B469"/>
    <mergeCell ref="A468:A469"/>
    <mergeCell ref="A471:A472"/>
    <mergeCell ref="B471:B472"/>
    <mergeCell ref="C471:C472"/>
    <mergeCell ref="A475:A476"/>
    <mergeCell ref="B475:B476"/>
    <mergeCell ref="C475:C476"/>
    <mergeCell ref="A478:A479"/>
    <mergeCell ref="B478:B479"/>
    <mergeCell ref="A481:A482"/>
    <mergeCell ref="B481:B482"/>
    <mergeCell ref="C481:C482"/>
    <mergeCell ref="B485:B486"/>
    <mergeCell ref="C485:C486"/>
    <mergeCell ref="A485:A486"/>
    <mergeCell ref="A488:A489"/>
    <mergeCell ref="B488:B489"/>
    <mergeCell ref="A491:A492"/>
    <mergeCell ref="B491:B492"/>
    <mergeCell ref="B495:B496"/>
    <mergeCell ref="C495:C496"/>
    <mergeCell ref="A502:H502"/>
    <mergeCell ref="K503:Q503"/>
    <mergeCell ref="A495:A496"/>
    <mergeCell ref="A498:A499"/>
    <mergeCell ref="B498:B499"/>
    <mergeCell ref="A501:E501"/>
    <mergeCell ref="G501:H501"/>
    <mergeCell ref="A503:A505"/>
    <mergeCell ref="B503:B505"/>
    <mergeCell ref="A508:A510"/>
    <mergeCell ref="B508:B510"/>
    <mergeCell ref="A512:A513"/>
    <mergeCell ref="B512:B513"/>
    <mergeCell ref="A515:A516"/>
    <mergeCell ref="B515:B516"/>
    <mergeCell ref="B519:B520"/>
    <mergeCell ref="A519:A520"/>
    <mergeCell ref="A522:A523"/>
    <mergeCell ref="B522:B523"/>
    <mergeCell ref="A525:A526"/>
    <mergeCell ref="B525:B526"/>
    <mergeCell ref="A529:A531"/>
    <mergeCell ref="B529:B531"/>
    <mergeCell ref="A533:A534"/>
    <mergeCell ref="B533:B534"/>
    <mergeCell ref="A536:A538"/>
    <mergeCell ref="B536:B538"/>
    <mergeCell ref="A541:A542"/>
    <mergeCell ref="B541:B542"/>
    <mergeCell ref="B544:B545"/>
    <mergeCell ref="B553:B554"/>
    <mergeCell ref="C553:C554"/>
    <mergeCell ref="K553:Q553"/>
    <mergeCell ref="A544:A545"/>
    <mergeCell ref="A547:A548"/>
    <mergeCell ref="B547:B548"/>
    <mergeCell ref="A551:E551"/>
    <mergeCell ref="G551:H551"/>
    <mergeCell ref="A552:H552"/>
    <mergeCell ref="A553:A554"/>
    <mergeCell ref="A556:A557"/>
    <mergeCell ref="B556:B557"/>
    <mergeCell ref="A559:A560"/>
    <mergeCell ref="B559:B560"/>
    <mergeCell ref="C559:C560"/>
    <mergeCell ref="B563:B564"/>
    <mergeCell ref="C563:C564"/>
    <mergeCell ref="A563:A564"/>
    <mergeCell ref="A566:A567"/>
    <mergeCell ref="B566:B567"/>
    <mergeCell ref="A569:A570"/>
    <mergeCell ref="B569:B570"/>
    <mergeCell ref="A573:A574"/>
    <mergeCell ref="B573:B574"/>
    <mergeCell ref="B588:B589"/>
    <mergeCell ref="B590:B591"/>
    <mergeCell ref="C590:C591"/>
    <mergeCell ref="B594:B595"/>
    <mergeCell ref="A597:E597"/>
    <mergeCell ref="G597:H597"/>
    <mergeCell ref="A598:H598"/>
    <mergeCell ref="K599:Q599"/>
    <mergeCell ref="A576:A577"/>
    <mergeCell ref="B576:B577"/>
    <mergeCell ref="A579:A580"/>
    <mergeCell ref="B579:B580"/>
    <mergeCell ref="A583:A584"/>
    <mergeCell ref="B583:B584"/>
    <mergeCell ref="B586:B587"/>
    <mergeCell ref="A586:A587"/>
    <mergeCell ref="A588:A589"/>
    <mergeCell ref="A590:A591"/>
    <mergeCell ref="A594:A595"/>
    <mergeCell ref="A599:A600"/>
    <mergeCell ref="B599:B600"/>
    <mergeCell ref="B603:B604"/>
    <mergeCell ref="B612:B613"/>
    <mergeCell ref="C612:C613"/>
    <mergeCell ref="A603:A604"/>
    <mergeCell ref="A606:A607"/>
    <mergeCell ref="B606:B607"/>
    <mergeCell ref="C606:C607"/>
    <mergeCell ref="A609:A610"/>
    <mergeCell ref="B609:B610"/>
    <mergeCell ref="A612:A613"/>
    <mergeCell ref="A614:A615"/>
    <mergeCell ref="B614:B615"/>
    <mergeCell ref="A617:A618"/>
    <mergeCell ref="B617:B618"/>
    <mergeCell ref="C617:C618"/>
    <mergeCell ref="A620:A621"/>
    <mergeCell ref="B620:B621"/>
    <mergeCell ref="A2:H2"/>
    <mergeCell ref="A5:A7"/>
    <mergeCell ref="B5:B7"/>
    <mergeCell ref="C5:C6"/>
    <mergeCell ref="K6:Q6"/>
    <mergeCell ref="A8:A9"/>
    <mergeCell ref="B8:B9"/>
    <mergeCell ref="A11:A12"/>
    <mergeCell ref="B11:B12"/>
    <mergeCell ref="A15:A16"/>
    <mergeCell ref="B15:B16"/>
    <mergeCell ref="C15:C16"/>
    <mergeCell ref="A17:A18"/>
    <mergeCell ref="B17:B18"/>
    <mergeCell ref="A20:A21"/>
    <mergeCell ref="B20:B21"/>
    <mergeCell ref="C20:C21"/>
    <mergeCell ref="A24:A25"/>
    <mergeCell ref="B24:B25"/>
    <mergeCell ref="A26:A27"/>
    <mergeCell ref="B26:B27"/>
    <mergeCell ref="A43:E43"/>
    <mergeCell ref="A44:H44"/>
    <mergeCell ref="A45:A46"/>
    <mergeCell ref="B45:B46"/>
    <mergeCell ref="A48:A49"/>
    <mergeCell ref="B48:B49"/>
    <mergeCell ref="K48:Q48"/>
    <mergeCell ref="A35:A36"/>
    <mergeCell ref="A38:A39"/>
    <mergeCell ref="B38:B39"/>
    <mergeCell ref="C38:C39"/>
    <mergeCell ref="A40:A41"/>
    <mergeCell ref="B40:B41"/>
    <mergeCell ref="G43:H43"/>
    <mergeCell ref="A29:A30"/>
    <mergeCell ref="B29:B30"/>
    <mergeCell ref="C29:C30"/>
    <mergeCell ref="A33:A34"/>
    <mergeCell ref="B33:B34"/>
    <mergeCell ref="C33:C34"/>
    <mergeCell ref="B35:B36"/>
    <mergeCell ref="A60:A61"/>
    <mergeCell ref="A62:A63"/>
    <mergeCell ref="C62:C63"/>
    <mergeCell ref="A51:A52"/>
    <mergeCell ref="B51:B52"/>
    <mergeCell ref="A55:A56"/>
    <mergeCell ref="B55:B56"/>
    <mergeCell ref="A57:A58"/>
    <mergeCell ref="B57:B58"/>
    <mergeCell ref="B60:B61"/>
    <mergeCell ref="B62:B63"/>
    <mergeCell ref="A65:A66"/>
    <mergeCell ref="B65:B66"/>
    <mergeCell ref="A67:A68"/>
    <mergeCell ref="B67:B68"/>
    <mergeCell ref="A70:A71"/>
    <mergeCell ref="B70:B71"/>
    <mergeCell ref="A84:A85"/>
    <mergeCell ref="A86:A87"/>
    <mergeCell ref="A88:E88"/>
    <mergeCell ref="G88:H88"/>
    <mergeCell ref="A89:H89"/>
    <mergeCell ref="B91:B92"/>
    <mergeCell ref="C91:C92"/>
    <mergeCell ref="K94:Q94"/>
    <mergeCell ref="A74:A75"/>
    <mergeCell ref="B74:B75"/>
    <mergeCell ref="A77:A78"/>
    <mergeCell ref="B77:B78"/>
    <mergeCell ref="B80:B81"/>
    <mergeCell ref="B84:B85"/>
    <mergeCell ref="B86:B87"/>
    <mergeCell ref="B101:B102"/>
    <mergeCell ref="C101:C102"/>
    <mergeCell ref="A80:A81"/>
    <mergeCell ref="A91:A92"/>
    <mergeCell ref="A95:A97"/>
    <mergeCell ref="B95:B97"/>
    <mergeCell ref="A98:A99"/>
    <mergeCell ref="B98:B99"/>
    <mergeCell ref="A101:A102"/>
    <mergeCell ref="A105:A106"/>
    <mergeCell ref="B105:B106"/>
    <mergeCell ref="C105:C106"/>
    <mergeCell ref="A108:A109"/>
    <mergeCell ref="B108:B109"/>
    <mergeCell ref="B111:B112"/>
    <mergeCell ref="C111:C112"/>
    <mergeCell ref="A111:A112"/>
    <mergeCell ref="A115:A116"/>
    <mergeCell ref="B115:B116"/>
    <mergeCell ref="A118:A119"/>
    <mergeCell ref="B118:B119"/>
    <mergeCell ref="A121:A122"/>
    <mergeCell ref="B121:B122"/>
    <mergeCell ref="A134:E134"/>
    <mergeCell ref="G134:H134"/>
    <mergeCell ref="A135:H135"/>
    <mergeCell ref="A137:A139"/>
    <mergeCell ref="B137:B139"/>
    <mergeCell ref="A141:A142"/>
    <mergeCell ref="B141:B142"/>
    <mergeCell ref="K142:Q142"/>
    <mergeCell ref="A125:A126"/>
    <mergeCell ref="B125:B126"/>
    <mergeCell ref="A128:A129"/>
    <mergeCell ref="B128:B129"/>
    <mergeCell ref="A131:A132"/>
    <mergeCell ref="B131:B132"/>
    <mergeCell ref="C131:C132"/>
    <mergeCell ref="A172:A173"/>
    <mergeCell ref="B172:B173"/>
    <mergeCell ref="A176:E176"/>
    <mergeCell ref="G176:H176"/>
    <mergeCell ref="A177:H177"/>
    <mergeCell ref="A178:A180"/>
    <mergeCell ref="B178:B180"/>
    <mergeCell ref="C178:C179"/>
    <mergeCell ref="K182:Q182"/>
    <mergeCell ref="K223:Q223"/>
    <mergeCell ref="A144:A145"/>
    <mergeCell ref="B144:B145"/>
    <mergeCell ref="A148:A149"/>
    <mergeCell ref="B148:B149"/>
    <mergeCell ref="A156:A157"/>
    <mergeCell ref="B156:B157"/>
    <mergeCell ref="B159:B160"/>
    <mergeCell ref="A159:A160"/>
    <mergeCell ref="A162:A163"/>
    <mergeCell ref="B162:B163"/>
    <mergeCell ref="A166:A167"/>
    <mergeCell ref="B166:B167"/>
    <mergeCell ref="A169:A170"/>
    <mergeCell ref="B169:B170"/>
    <mergeCell ref="A183:A184"/>
    <mergeCell ref="B183:B184"/>
    <mergeCell ref="A187:A188"/>
    <mergeCell ref="B187:B188"/>
    <mergeCell ref="A189:A190"/>
    <mergeCell ref="B189:B190"/>
    <mergeCell ref="B192:B193"/>
    <mergeCell ref="A192:A193"/>
    <mergeCell ref="A196:A197"/>
    <mergeCell ref="B196:B197"/>
    <mergeCell ref="A198:A199"/>
    <mergeCell ref="B198:B199"/>
    <mergeCell ref="A201:A202"/>
    <mergeCell ref="B201:B202"/>
    <mergeCell ref="A212:A214"/>
    <mergeCell ref="A218:A219"/>
    <mergeCell ref="B218:B219"/>
    <mergeCell ref="A220:E220"/>
    <mergeCell ref="G220:H220"/>
    <mergeCell ref="A221:H221"/>
    <mergeCell ref="A205:A206"/>
    <mergeCell ref="B205:B206"/>
    <mergeCell ref="A207:A208"/>
    <mergeCell ref="B207:B208"/>
    <mergeCell ref="A210:A211"/>
    <mergeCell ref="B210:B211"/>
    <mergeCell ref="B212:B214"/>
    <mergeCell ref="A248:A249"/>
    <mergeCell ref="B248:B249"/>
    <mergeCell ref="A223:A224"/>
    <mergeCell ref="B223:B224"/>
    <mergeCell ref="A227:A229"/>
    <mergeCell ref="B227:B229"/>
    <mergeCell ref="A231:A232"/>
    <mergeCell ref="B231:B232"/>
    <mergeCell ref="B234:B235"/>
    <mergeCell ref="A234:A235"/>
    <mergeCell ref="A238:A239"/>
    <mergeCell ref="B238:B239"/>
    <mergeCell ref="A241:A242"/>
    <mergeCell ref="B241:B242"/>
    <mergeCell ref="A244:A245"/>
    <mergeCell ref="B244:B245"/>
    <mergeCell ref="A261:A263"/>
    <mergeCell ref="A265:A266"/>
    <mergeCell ref="A267:E267"/>
    <mergeCell ref="G267:H267"/>
    <mergeCell ref="A268:H268"/>
    <mergeCell ref="K269:Q269"/>
    <mergeCell ref="A251:A252"/>
    <mergeCell ref="B251:B252"/>
    <mergeCell ref="A254:A255"/>
    <mergeCell ref="B254:B255"/>
    <mergeCell ref="B258:B259"/>
    <mergeCell ref="B261:B263"/>
    <mergeCell ref="B265:B266"/>
    <mergeCell ref="A258:A259"/>
    <mergeCell ref="A271:A273"/>
    <mergeCell ref="A275:A276"/>
    <mergeCell ref="A278:A279"/>
    <mergeCell ref="A282:A283"/>
    <mergeCell ref="A285:A286"/>
    <mergeCell ref="A288:A289"/>
    <mergeCell ref="A315:E315"/>
    <mergeCell ref="G315:H315"/>
    <mergeCell ref="A316:H316"/>
    <mergeCell ref="K317:Q317"/>
    <mergeCell ref="K363:Q363"/>
    <mergeCell ref="A313:A314"/>
    <mergeCell ref="A318:A319"/>
    <mergeCell ref="B318:B319"/>
    <mergeCell ref="A321:A322"/>
    <mergeCell ref="B321:B322"/>
    <mergeCell ref="A292:A293"/>
    <mergeCell ref="A294:A295"/>
    <mergeCell ref="A296:A297"/>
    <mergeCell ref="A299:A300"/>
    <mergeCell ref="A303:A304"/>
    <mergeCell ref="A306:A307"/>
    <mergeCell ref="A309:A310"/>
    <mergeCell ref="B271:B273"/>
    <mergeCell ref="B275:B276"/>
    <mergeCell ref="B278:B279"/>
    <mergeCell ref="B282:B283"/>
    <mergeCell ref="B285:B286"/>
    <mergeCell ref="B288:B289"/>
    <mergeCell ref="B292:B293"/>
    <mergeCell ref="B294:B295"/>
    <mergeCell ref="B296:B297"/>
    <mergeCell ref="B299:B300"/>
    <mergeCell ref="B303:B304"/>
    <mergeCell ref="B306:B307"/>
    <mergeCell ref="B309:B310"/>
    <mergeCell ref="B313:B314"/>
    <mergeCell ref="A325:A327"/>
    <mergeCell ref="B325:B327"/>
    <mergeCell ref="A329:A330"/>
    <mergeCell ref="B329:B330"/>
    <mergeCell ref="A332:A333"/>
    <mergeCell ref="B332:B333"/>
    <mergeCell ref="B336:B337"/>
    <mergeCell ref="A336:A337"/>
    <mergeCell ref="A339:A340"/>
    <mergeCell ref="B339:B340"/>
    <mergeCell ref="A342:A343"/>
    <mergeCell ref="B342:B343"/>
    <mergeCell ref="A346:A347"/>
    <mergeCell ref="B346:B347"/>
    <mergeCell ref="B359:B360"/>
    <mergeCell ref="A361:E361"/>
    <mergeCell ref="G361:H361"/>
    <mergeCell ref="A362:H362"/>
    <mergeCell ref="A349:A350"/>
    <mergeCell ref="B349:B350"/>
    <mergeCell ref="A352:A353"/>
    <mergeCell ref="B352:B353"/>
    <mergeCell ref="A356:A357"/>
    <mergeCell ref="B356:B357"/>
    <mergeCell ref="A359:A360"/>
    <mergeCell ref="A389:A390"/>
    <mergeCell ref="B389:B390"/>
    <mergeCell ref="A736:A737"/>
    <mergeCell ref="B736:B737"/>
    <mergeCell ref="A739:A740"/>
    <mergeCell ref="B739:B740"/>
    <mergeCell ref="A743:A744"/>
    <mergeCell ref="B743:B744"/>
    <mergeCell ref="B746:B747"/>
    <mergeCell ref="A746:A747"/>
    <mergeCell ref="A749:A750"/>
    <mergeCell ref="B749:B750"/>
    <mergeCell ref="A753:A754"/>
    <mergeCell ref="B753:B754"/>
    <mergeCell ref="A756:A757"/>
    <mergeCell ref="B756:B757"/>
    <mergeCell ref="A623:A624"/>
    <mergeCell ref="B623:B624"/>
    <mergeCell ref="C623:C624"/>
    <mergeCell ref="A627:A628"/>
    <mergeCell ref="B627:B628"/>
    <mergeCell ref="C627:C628"/>
    <mergeCell ref="B629:B630"/>
    <mergeCell ref="A644:E644"/>
    <mergeCell ref="G644:H644"/>
    <mergeCell ref="A645:H645"/>
    <mergeCell ref="K646:Q646"/>
    <mergeCell ref="A629:A630"/>
    <mergeCell ref="A631:A632"/>
    <mergeCell ref="B631:B632"/>
    <mergeCell ref="A637:A638"/>
    <mergeCell ref="B637:B638"/>
    <mergeCell ref="A640:A641"/>
    <mergeCell ref="B640:B641"/>
    <mergeCell ref="A648:A649"/>
    <mergeCell ref="B648:B649"/>
    <mergeCell ref="A651:A652"/>
    <mergeCell ref="B651:B652"/>
    <mergeCell ref="A654:A655"/>
    <mergeCell ref="B654:B655"/>
    <mergeCell ref="B658:B659"/>
    <mergeCell ref="A691:H691"/>
    <mergeCell ref="K692:Q692"/>
    <mergeCell ref="A681:A682"/>
    <mergeCell ref="A684:A685"/>
    <mergeCell ref="B684:B685"/>
    <mergeCell ref="A688:A689"/>
    <mergeCell ref="B688:B689"/>
    <mergeCell ref="A690:E690"/>
    <mergeCell ref="G690:H690"/>
    <mergeCell ref="A693:A694"/>
    <mergeCell ref="B693:B694"/>
    <mergeCell ref="K735:Q735"/>
    <mergeCell ref="A658:A659"/>
    <mergeCell ref="A661:A662"/>
    <mergeCell ref="B661:B662"/>
    <mergeCell ref="A664:A665"/>
    <mergeCell ref="B664:B665"/>
    <mergeCell ref="A668:A669"/>
    <mergeCell ref="B668:B669"/>
    <mergeCell ref="A671:A672"/>
    <mergeCell ref="B671:B672"/>
    <mergeCell ref="A674:A675"/>
    <mergeCell ref="B674:B675"/>
    <mergeCell ref="A678:A679"/>
    <mergeCell ref="B678:B679"/>
    <mergeCell ref="B681:B682"/>
    <mergeCell ref="A696:A697"/>
    <mergeCell ref="B696:B697"/>
    <mergeCell ref="A700:A701"/>
    <mergeCell ref="B700:B701"/>
    <mergeCell ref="A703:A704"/>
    <mergeCell ref="B703:B704"/>
    <mergeCell ref="B706:B707"/>
    <mergeCell ref="A706:A707"/>
    <mergeCell ref="A710:A711"/>
    <mergeCell ref="B710:B711"/>
    <mergeCell ref="A712:A713"/>
    <mergeCell ref="B712:B713"/>
    <mergeCell ref="A714:A715"/>
    <mergeCell ref="B714:B715"/>
    <mergeCell ref="A727:A728"/>
    <mergeCell ref="A731:A732"/>
    <mergeCell ref="B731:B732"/>
    <mergeCell ref="A733:E733"/>
    <mergeCell ref="G733:H733"/>
    <mergeCell ref="A734:H734"/>
    <mergeCell ref="A717:A718"/>
    <mergeCell ref="B717:B718"/>
    <mergeCell ref="A721:A722"/>
    <mergeCell ref="B721:B722"/>
    <mergeCell ref="A724:A725"/>
    <mergeCell ref="B724:B725"/>
    <mergeCell ref="B727:B728"/>
    <mergeCell ref="A759:A760"/>
    <mergeCell ref="B759:B760"/>
    <mergeCell ref="A763:A764"/>
    <mergeCell ref="B763:B764"/>
    <mergeCell ref="A766:A767"/>
    <mergeCell ref="B766:B767"/>
    <mergeCell ref="B769:B770"/>
    <mergeCell ref="A769:A770"/>
    <mergeCell ref="A773:A774"/>
    <mergeCell ref="B773:B774"/>
    <mergeCell ref="B776:B777"/>
    <mergeCell ref="A779:E779"/>
    <mergeCell ref="G779:H779"/>
    <mergeCell ref="A780:H780"/>
    <mergeCell ref="A776:A777"/>
    <mergeCell ref="A781:A783"/>
    <mergeCell ref="B781:B783"/>
    <mergeCell ref="K781:Q781"/>
    <mergeCell ref="A784:A785"/>
    <mergeCell ref="B784:B785"/>
    <mergeCell ref="B786:B787"/>
    <mergeCell ref="A786:A787"/>
    <mergeCell ref="A788:A790"/>
    <mergeCell ref="B788:B790"/>
    <mergeCell ref="A792:A793"/>
    <mergeCell ref="B792:B793"/>
    <mergeCell ref="A794:A795"/>
    <mergeCell ref="B794:B795"/>
    <mergeCell ref="A796:A798"/>
    <mergeCell ref="B796:B798"/>
    <mergeCell ref="A799:A800"/>
    <mergeCell ref="B799:B800"/>
    <mergeCell ref="A801:A802"/>
    <mergeCell ref="B801:B802"/>
    <mergeCell ref="B803:B805"/>
    <mergeCell ref="A803:A805"/>
    <mergeCell ref="A807:A809"/>
    <mergeCell ref="B807:B809"/>
    <mergeCell ref="A810:A812"/>
    <mergeCell ref="B810:B812"/>
    <mergeCell ref="A813:A815"/>
    <mergeCell ref="B813:B815"/>
    <mergeCell ref="A816:A818"/>
    <mergeCell ref="B816:B818"/>
    <mergeCell ref="A822:A824"/>
    <mergeCell ref="B822:B824"/>
    <mergeCell ref="A825:A826"/>
    <mergeCell ref="B825:B826"/>
    <mergeCell ref="B827:B829"/>
    <mergeCell ref="A848:E848"/>
    <mergeCell ref="G848:H848"/>
    <mergeCell ref="A849:H849"/>
    <mergeCell ref="K850:Q850"/>
    <mergeCell ref="A827:A829"/>
    <mergeCell ref="A830:A831"/>
    <mergeCell ref="A832:A833"/>
    <mergeCell ref="A834:A836"/>
    <mergeCell ref="A838:A840"/>
    <mergeCell ref="A841:A842"/>
    <mergeCell ref="A843:A845"/>
    <mergeCell ref="B830:B831"/>
    <mergeCell ref="B832:B833"/>
    <mergeCell ref="B834:B836"/>
    <mergeCell ref="B838:B840"/>
    <mergeCell ref="B841:B842"/>
    <mergeCell ref="B843:B845"/>
    <mergeCell ref="B846:B847"/>
    <mergeCell ref="B850:B851"/>
    <mergeCell ref="B852:B854"/>
    <mergeCell ref="C852:C853"/>
    <mergeCell ref="B856:B858"/>
    <mergeCell ref="B859:B860"/>
    <mergeCell ref="B861:B863"/>
    <mergeCell ref="C861:C862"/>
    <mergeCell ref="A846:A847"/>
    <mergeCell ref="A850:A851"/>
    <mergeCell ref="A852:A854"/>
    <mergeCell ref="A856:A858"/>
    <mergeCell ref="A859:A860"/>
    <mergeCell ref="A861:A863"/>
    <mergeCell ref="A864:A865"/>
    <mergeCell ref="B877:B879"/>
    <mergeCell ref="B880:B881"/>
    <mergeCell ref="B882:B883"/>
    <mergeCell ref="B884:B886"/>
    <mergeCell ref="C884:C885"/>
    <mergeCell ref="B864:B865"/>
    <mergeCell ref="B866:B867"/>
    <mergeCell ref="B868:B870"/>
    <mergeCell ref="C868:C869"/>
    <mergeCell ref="B872:B874"/>
    <mergeCell ref="B875:B876"/>
    <mergeCell ref="C877:C878"/>
    <mergeCell ref="A866:A867"/>
    <mergeCell ref="A868:A870"/>
    <mergeCell ref="A872:A874"/>
    <mergeCell ref="A875:A876"/>
    <mergeCell ref="A877:A879"/>
    <mergeCell ref="A880:A881"/>
    <mergeCell ref="A882:A883"/>
    <mergeCell ref="A884:A886"/>
    <mergeCell ref="A888:A890"/>
    <mergeCell ref="B888:B890"/>
    <mergeCell ref="A891:A892"/>
    <mergeCell ref="B891:B892"/>
    <mergeCell ref="B893:B895"/>
    <mergeCell ref="C893:C894"/>
    <mergeCell ref="A893:A895"/>
    <mergeCell ref="A896:A897"/>
    <mergeCell ref="B896:B897"/>
    <mergeCell ref="A898:A899"/>
    <mergeCell ref="B898:B899"/>
    <mergeCell ref="B900:B902"/>
    <mergeCell ref="C900:C901"/>
    <mergeCell ref="A900:A902"/>
    <mergeCell ref="A904:A906"/>
    <mergeCell ref="B904:B906"/>
    <mergeCell ref="A907:A908"/>
    <mergeCell ref="B907:B908"/>
    <mergeCell ref="B909:B911"/>
    <mergeCell ref="C909:C910"/>
    <mergeCell ref="B916:B918"/>
    <mergeCell ref="A920:E920"/>
    <mergeCell ref="G920:H920"/>
    <mergeCell ref="A921:H921"/>
    <mergeCell ref="A922:A924"/>
    <mergeCell ref="B922:B924"/>
    <mergeCell ref="K922:Q922"/>
    <mergeCell ref="A909:A911"/>
    <mergeCell ref="A912:A913"/>
    <mergeCell ref="B912:B913"/>
    <mergeCell ref="A914:A915"/>
    <mergeCell ref="B914:B915"/>
    <mergeCell ref="A916:A918"/>
    <mergeCell ref="C916:C917"/>
    <mergeCell ref="A941:A942"/>
    <mergeCell ref="B941:B942"/>
    <mergeCell ref="A981:A983"/>
    <mergeCell ref="A985:A987"/>
    <mergeCell ref="B985:B987"/>
    <mergeCell ref="B988:B989"/>
    <mergeCell ref="A990:E990"/>
    <mergeCell ref="G990:H990"/>
    <mergeCell ref="A991:H991"/>
    <mergeCell ref="A997:A998"/>
    <mergeCell ref="B997:B998"/>
    <mergeCell ref="A999:A1001"/>
    <mergeCell ref="B999:B1001"/>
    <mergeCell ref="C999:C1000"/>
    <mergeCell ref="A988:A989"/>
    <mergeCell ref="A992:A994"/>
    <mergeCell ref="B992:B994"/>
    <mergeCell ref="C992:C993"/>
    <mergeCell ref="K992:Q992"/>
    <mergeCell ref="A995:A996"/>
    <mergeCell ref="B995:B996"/>
    <mergeCell ref="A1065:A1067"/>
    <mergeCell ref="B1065:B1067"/>
    <mergeCell ref="C1065:C1066"/>
    <mergeCell ref="K1065:Q1065"/>
    <mergeCell ref="K1137:Q1137"/>
    <mergeCell ref="K1208:Q1208"/>
    <mergeCell ref="K1285:Q1285"/>
    <mergeCell ref="A1059:A1060"/>
    <mergeCell ref="B1059:B1060"/>
    <mergeCell ref="A1061:A1062"/>
    <mergeCell ref="B1061:B1062"/>
    <mergeCell ref="A1063:E1063"/>
    <mergeCell ref="G1063:H1063"/>
    <mergeCell ref="A1064:H1064"/>
    <mergeCell ref="A1132:A1134"/>
    <mergeCell ref="B1132:B1134"/>
    <mergeCell ref="A1137:A1138"/>
    <mergeCell ref="B1137:B1138"/>
    <mergeCell ref="A1139:A1141"/>
    <mergeCell ref="B1139:B1141"/>
    <mergeCell ref="C1139:C1140"/>
    <mergeCell ref="A1142:A1143"/>
    <mergeCell ref="B1142:B1143"/>
    <mergeCell ref="A1144:A1145"/>
    <mergeCell ref="B1144:B1145"/>
    <mergeCell ref="A1146:A1148"/>
    <mergeCell ref="B1146:B1148"/>
    <mergeCell ref="C1146:C1147"/>
    <mergeCell ref="A1069:A1071"/>
    <mergeCell ref="B1069:B1071"/>
    <mergeCell ref="A1072:A1073"/>
    <mergeCell ref="B1072:B1073"/>
    <mergeCell ref="A1074:A1076"/>
    <mergeCell ref="B1074:B1076"/>
    <mergeCell ref="C1074:C1075"/>
    <mergeCell ref="A1077:A1078"/>
    <mergeCell ref="B1077:B1078"/>
    <mergeCell ref="A1079:A1080"/>
    <mergeCell ref="B1079:B1080"/>
    <mergeCell ref="A1081:A1083"/>
    <mergeCell ref="B1081:B1083"/>
    <mergeCell ref="C1081:C1082"/>
    <mergeCell ref="A1085:A1087"/>
    <mergeCell ref="B1085:B1087"/>
    <mergeCell ref="A1088:A1089"/>
    <mergeCell ref="B1088:B1089"/>
    <mergeCell ref="A1090:A1092"/>
    <mergeCell ref="B1090:B1092"/>
    <mergeCell ref="C1090:C1091"/>
    <mergeCell ref="A1093:A1094"/>
    <mergeCell ref="B1093:B1094"/>
    <mergeCell ref="A1095:A1096"/>
    <mergeCell ref="B1095:B1096"/>
    <mergeCell ref="A1097:A1098"/>
    <mergeCell ref="B1097:B1098"/>
    <mergeCell ref="C1097:C1098"/>
    <mergeCell ref="A1100:A1102"/>
    <mergeCell ref="B1100:B1102"/>
    <mergeCell ref="A1103:A1104"/>
    <mergeCell ref="B1103:B1104"/>
    <mergeCell ref="A1105:A1107"/>
    <mergeCell ref="B1105:B1107"/>
    <mergeCell ref="C1105:C1106"/>
    <mergeCell ref="A1108:A1109"/>
    <mergeCell ref="B1108:B1109"/>
    <mergeCell ref="A1110:A1111"/>
    <mergeCell ref="B1110:B1111"/>
    <mergeCell ref="A1112:A1114"/>
    <mergeCell ref="B1112:B1114"/>
    <mergeCell ref="C1112:C1113"/>
    <mergeCell ref="A1198:A1200"/>
    <mergeCell ref="B1198:B1200"/>
    <mergeCell ref="A1201:A1202"/>
    <mergeCell ref="B1201:B1202"/>
    <mergeCell ref="A1203:A1205"/>
    <mergeCell ref="B1203:B1205"/>
    <mergeCell ref="C1203:C1204"/>
    <mergeCell ref="A925:A926"/>
    <mergeCell ref="B925:B926"/>
    <mergeCell ref="A927:A929"/>
    <mergeCell ref="B927:B929"/>
    <mergeCell ref="C927:C928"/>
    <mergeCell ref="A930:A931"/>
    <mergeCell ref="B930:B931"/>
    <mergeCell ref="A932:A933"/>
    <mergeCell ref="B932:B933"/>
    <mergeCell ref="A934:A936"/>
    <mergeCell ref="B934:B936"/>
    <mergeCell ref="C934:C935"/>
    <mergeCell ref="A938:A940"/>
    <mergeCell ref="B938:B940"/>
    <mergeCell ref="A943:A945"/>
    <mergeCell ref="B943:B945"/>
    <mergeCell ref="C943:C944"/>
    <mergeCell ref="A946:A947"/>
    <mergeCell ref="B946:B947"/>
    <mergeCell ref="A948:A949"/>
    <mergeCell ref="B948:B949"/>
    <mergeCell ref="A950:A952"/>
    <mergeCell ref="B950:B952"/>
    <mergeCell ref="C950:C951"/>
    <mergeCell ref="A954:A956"/>
    <mergeCell ref="B954:B956"/>
    <mergeCell ref="A957:A958"/>
    <mergeCell ref="B957:B958"/>
    <mergeCell ref="A959:A961"/>
    <mergeCell ref="B959:B961"/>
    <mergeCell ref="C959:C960"/>
    <mergeCell ref="A962:A963"/>
    <mergeCell ref="B962:B963"/>
    <mergeCell ref="B965:B967"/>
    <mergeCell ref="C965:C966"/>
    <mergeCell ref="A965:A967"/>
    <mergeCell ref="A969:A971"/>
    <mergeCell ref="B969:B971"/>
    <mergeCell ref="A972:A973"/>
    <mergeCell ref="B972:B973"/>
    <mergeCell ref="B974:B976"/>
    <mergeCell ref="C974:C975"/>
    <mergeCell ref="A974:A976"/>
    <mergeCell ref="A977:A978"/>
    <mergeCell ref="B977:B978"/>
    <mergeCell ref="A979:A980"/>
    <mergeCell ref="B979:B980"/>
    <mergeCell ref="B981:B983"/>
    <mergeCell ref="C981:C982"/>
    <mergeCell ref="A1003:A1005"/>
    <mergeCell ref="B1003:B1005"/>
    <mergeCell ref="A1006:A1007"/>
    <mergeCell ref="B1006:B1007"/>
    <mergeCell ref="A1008:A1010"/>
    <mergeCell ref="B1008:B1010"/>
    <mergeCell ref="C1008:C1009"/>
    <mergeCell ref="A1011:A1012"/>
    <mergeCell ref="B1011:B1012"/>
    <mergeCell ref="A1013:A1014"/>
    <mergeCell ref="B1013:B1014"/>
    <mergeCell ref="A1015:A1017"/>
    <mergeCell ref="B1015:B1017"/>
    <mergeCell ref="C1015:C1016"/>
    <mergeCell ref="A1019:A1021"/>
    <mergeCell ref="B1019:B1021"/>
    <mergeCell ref="A1022:A1023"/>
    <mergeCell ref="B1022:B1023"/>
    <mergeCell ref="A1024:A1026"/>
    <mergeCell ref="B1024:B1026"/>
    <mergeCell ref="C1024:C1025"/>
    <mergeCell ref="A1027:A1028"/>
    <mergeCell ref="B1027:B1028"/>
    <mergeCell ref="A1029:A1030"/>
    <mergeCell ref="B1029:B1030"/>
    <mergeCell ref="A1031:A1033"/>
    <mergeCell ref="B1031:B1033"/>
    <mergeCell ref="C1031:C1032"/>
    <mergeCell ref="A1035:A1037"/>
    <mergeCell ref="B1035:B1037"/>
    <mergeCell ref="A1038:A1039"/>
    <mergeCell ref="B1038:B1039"/>
    <mergeCell ref="A1040:A1042"/>
    <mergeCell ref="B1040:B1042"/>
    <mergeCell ref="C1040:C1041"/>
    <mergeCell ref="A1043:A1044"/>
    <mergeCell ref="B1043:B1044"/>
    <mergeCell ref="A1045:A1046"/>
    <mergeCell ref="B1045:B1046"/>
    <mergeCell ref="A1047:A1049"/>
    <mergeCell ref="B1047:B1049"/>
    <mergeCell ref="C1047:C1048"/>
    <mergeCell ref="A1051:A1053"/>
    <mergeCell ref="B1051:B1053"/>
    <mergeCell ref="A1054:A1055"/>
    <mergeCell ref="B1054:B1055"/>
    <mergeCell ref="A1056:A1058"/>
    <mergeCell ref="B1056:B1058"/>
    <mergeCell ref="C1056:C1057"/>
    <mergeCell ref="A1116:A1118"/>
    <mergeCell ref="B1116:B1118"/>
    <mergeCell ref="A1119:A1120"/>
    <mergeCell ref="B1119:B1120"/>
    <mergeCell ref="A1121:A1123"/>
    <mergeCell ref="B1121:B1123"/>
    <mergeCell ref="C1121:C1122"/>
    <mergeCell ref="A1135:E1135"/>
    <mergeCell ref="G1135:H1135"/>
    <mergeCell ref="A1136:H1136"/>
    <mergeCell ref="A1124:A1125"/>
    <mergeCell ref="B1124:B1125"/>
    <mergeCell ref="A1126:A1127"/>
    <mergeCell ref="B1126:B1127"/>
    <mergeCell ref="A1128:A1130"/>
    <mergeCell ref="B1128:B1130"/>
    <mergeCell ref="C1128:C1129"/>
    <mergeCell ref="A1150:A1152"/>
    <mergeCell ref="B1150:B1152"/>
    <mergeCell ref="A1153:A1154"/>
    <mergeCell ref="B1153:B1154"/>
    <mergeCell ref="A1155:A1157"/>
    <mergeCell ref="B1155:B1157"/>
    <mergeCell ref="C1155:C1156"/>
    <mergeCell ref="A1158:A1159"/>
    <mergeCell ref="B1158:B1159"/>
    <mergeCell ref="A1160:A1161"/>
    <mergeCell ref="B1160:B1161"/>
    <mergeCell ref="A1162:A1164"/>
    <mergeCell ref="B1162:B1164"/>
    <mergeCell ref="C1162:C1163"/>
    <mergeCell ref="A1166:A1168"/>
    <mergeCell ref="B1166:B1168"/>
    <mergeCell ref="A1169:A1170"/>
    <mergeCell ref="B1169:B1170"/>
    <mergeCell ref="A1171:A1173"/>
    <mergeCell ref="B1171:B1173"/>
    <mergeCell ref="C1171:C1172"/>
    <mergeCell ref="A1174:A1175"/>
    <mergeCell ref="B1174:B1175"/>
    <mergeCell ref="A1176:A1177"/>
    <mergeCell ref="B1176:B1177"/>
    <mergeCell ref="A1178:A1180"/>
    <mergeCell ref="B1178:B1180"/>
    <mergeCell ref="C1178:C1179"/>
    <mergeCell ref="A1182:A1184"/>
    <mergeCell ref="B1182:B1184"/>
    <mergeCell ref="A1185:A1186"/>
    <mergeCell ref="B1185:B1186"/>
    <mergeCell ref="A1187:A1189"/>
    <mergeCell ref="B1187:B1189"/>
    <mergeCell ref="C1187:C1188"/>
    <mergeCell ref="A1206:E1206"/>
    <mergeCell ref="G1206:H1206"/>
    <mergeCell ref="A1207:H1207"/>
    <mergeCell ref="A1190:A1191"/>
    <mergeCell ref="B1190:B1191"/>
    <mergeCell ref="A1192:A1193"/>
    <mergeCell ref="B1192:B1193"/>
    <mergeCell ref="A1194:A1196"/>
    <mergeCell ref="B1194:B1196"/>
    <mergeCell ref="C1194:C1195"/>
    <mergeCell ref="A1208:A1210"/>
    <mergeCell ref="B1208:B1210"/>
    <mergeCell ref="A1211:A1212"/>
    <mergeCell ref="B1211:B1212"/>
    <mergeCell ref="A1213:A1215"/>
    <mergeCell ref="B1213:B1215"/>
    <mergeCell ref="C1213:C1214"/>
    <mergeCell ref="A1217:A1219"/>
    <mergeCell ref="B1217:B1219"/>
    <mergeCell ref="A1220:A1222"/>
    <mergeCell ref="B1220:B1222"/>
    <mergeCell ref="A1223:A1225"/>
    <mergeCell ref="B1223:B1225"/>
    <mergeCell ref="C1223:C1224"/>
    <mergeCell ref="A1226:A1227"/>
    <mergeCell ref="B1226:B1227"/>
    <mergeCell ref="A1228:A1229"/>
    <mergeCell ref="B1228:B1229"/>
    <mergeCell ref="A1230:A1232"/>
    <mergeCell ref="B1230:B1232"/>
    <mergeCell ref="C1230:C1231"/>
    <mergeCell ref="A1234:A1236"/>
    <mergeCell ref="B1234:B1236"/>
    <mergeCell ref="A1237:A1239"/>
    <mergeCell ref="B1237:B1239"/>
    <mergeCell ref="A1240:A1242"/>
    <mergeCell ref="B1240:B1242"/>
    <mergeCell ref="C1240:C1241"/>
    <mergeCell ref="A1243:A1244"/>
    <mergeCell ref="B1243:B1244"/>
    <mergeCell ref="A1245:A1246"/>
    <mergeCell ref="B1245:B1246"/>
    <mergeCell ref="A1247:A1249"/>
    <mergeCell ref="B1247:B1249"/>
    <mergeCell ref="C1247:C1248"/>
    <mergeCell ref="A1251:A1253"/>
    <mergeCell ref="B1251:B1253"/>
    <mergeCell ref="A1254:A1255"/>
    <mergeCell ref="B1254:B1255"/>
    <mergeCell ref="A1256:A1258"/>
    <mergeCell ref="B1256:B1258"/>
    <mergeCell ref="C1256:C1257"/>
    <mergeCell ref="A1259:A1261"/>
    <mergeCell ref="B1259:B1261"/>
    <mergeCell ref="A1262:A1263"/>
    <mergeCell ref="B1262:B1263"/>
    <mergeCell ref="A1264:A1266"/>
    <mergeCell ref="B1264:B1266"/>
    <mergeCell ref="C1264:C1265"/>
    <mergeCell ref="A1791:A1792"/>
    <mergeCell ref="B1791:B1792"/>
    <mergeCell ref="A1793:A1795"/>
    <mergeCell ref="B1793:B1795"/>
    <mergeCell ref="A1796:A1797"/>
    <mergeCell ref="B1796:B1797"/>
    <mergeCell ref="A1798:A1800"/>
    <mergeCell ref="A1801:A1802"/>
    <mergeCell ref="B1801:B1802"/>
    <mergeCell ref="A1803:A1804"/>
    <mergeCell ref="B1803:B1804"/>
    <mergeCell ref="A1805:A1807"/>
    <mergeCell ref="B1805:B1807"/>
    <mergeCell ref="C1805:C1806"/>
    <mergeCell ref="B1815:B1817"/>
    <mergeCell ref="C1815:C1816"/>
    <mergeCell ref="A1808:A1809"/>
    <mergeCell ref="B1808:B1809"/>
    <mergeCell ref="A1810:A1812"/>
    <mergeCell ref="B1810:B1812"/>
    <mergeCell ref="A1813:A1814"/>
    <mergeCell ref="B1813:B1814"/>
    <mergeCell ref="A1815:A1817"/>
    <mergeCell ref="A1818:A1819"/>
    <mergeCell ref="B1818:B1819"/>
    <mergeCell ref="A1820:A1821"/>
    <mergeCell ref="B1820:B1821"/>
    <mergeCell ref="A1822:A1824"/>
    <mergeCell ref="B1822:B1824"/>
    <mergeCell ref="C1822:C1823"/>
    <mergeCell ref="A1826:A1828"/>
    <mergeCell ref="B1826:B1828"/>
    <mergeCell ref="A1829:A1830"/>
    <mergeCell ref="B1829:B1830"/>
    <mergeCell ref="A1831:A1833"/>
    <mergeCell ref="B1831:B1833"/>
    <mergeCell ref="C1831:C1832"/>
    <mergeCell ref="A1850:E1850"/>
    <mergeCell ref="G1850:H1850"/>
    <mergeCell ref="A1851:H1851"/>
    <mergeCell ref="A1834:A1835"/>
    <mergeCell ref="B1834:B1835"/>
    <mergeCell ref="A1836:A1837"/>
    <mergeCell ref="B1836:B1837"/>
    <mergeCell ref="A1838:A1840"/>
    <mergeCell ref="B1838:B1840"/>
    <mergeCell ref="C1838:C1839"/>
    <mergeCell ref="A1852:A1853"/>
    <mergeCell ref="B1852:B1853"/>
    <mergeCell ref="K1852:O1852"/>
    <mergeCell ref="A1842:A1844"/>
    <mergeCell ref="B1842:B1844"/>
    <mergeCell ref="A1845:A1846"/>
    <mergeCell ref="B1845:B1846"/>
    <mergeCell ref="A1847:A1849"/>
    <mergeCell ref="B1847:B1849"/>
    <mergeCell ref="C1847:C1848"/>
    <mergeCell ref="A1854:A1855"/>
    <mergeCell ref="B1854:B1855"/>
    <mergeCell ref="A1856:A1858"/>
    <mergeCell ref="B1856:B1858"/>
    <mergeCell ref="C1856:C1857"/>
    <mergeCell ref="A1859:A1862"/>
    <mergeCell ref="B1859:B1862"/>
    <mergeCell ref="A1863:A1865"/>
    <mergeCell ref="B1863:B1865"/>
    <mergeCell ref="A1866:A1867"/>
    <mergeCell ref="B1866:B1867"/>
    <mergeCell ref="A1868:A1870"/>
    <mergeCell ref="B1868:B1870"/>
    <mergeCell ref="C1868:C1869"/>
    <mergeCell ref="A1871:A1872"/>
    <mergeCell ref="B1871:B1872"/>
    <mergeCell ref="A1873:A1874"/>
    <mergeCell ref="B1873:B1874"/>
    <mergeCell ref="A1875:A1878"/>
    <mergeCell ref="B1875:B1878"/>
    <mergeCell ref="C1875:C1876"/>
    <mergeCell ref="A1897:A1899"/>
    <mergeCell ref="B1897:B1899"/>
    <mergeCell ref="A1880:A1882"/>
    <mergeCell ref="B1880:B1882"/>
    <mergeCell ref="A1883:A1884"/>
    <mergeCell ref="B1883:B1884"/>
    <mergeCell ref="A1885:A1887"/>
    <mergeCell ref="B1885:B1887"/>
    <mergeCell ref="C1885:C1886"/>
    <mergeCell ref="A1888:A1889"/>
    <mergeCell ref="B1888:B1889"/>
    <mergeCell ref="A1890:A1892"/>
    <mergeCell ref="B1890:B1892"/>
    <mergeCell ref="A1893:A1895"/>
    <mergeCell ref="B1893:B1895"/>
    <mergeCell ref="C1893:C1894"/>
    <mergeCell ref="A1900:A1901"/>
    <mergeCell ref="B1900:B1901"/>
    <mergeCell ref="A1902:A1904"/>
    <mergeCell ref="B1902:B1904"/>
    <mergeCell ref="C1902:C1903"/>
    <mergeCell ref="A1905:A1906"/>
    <mergeCell ref="B1905:B1906"/>
    <mergeCell ref="A1907:A1908"/>
    <mergeCell ref="B1907:B1908"/>
    <mergeCell ref="A1909:A1911"/>
    <mergeCell ref="B1909:B1911"/>
    <mergeCell ref="C1909:C1910"/>
    <mergeCell ref="A1913:A1915"/>
    <mergeCell ref="B1913:B1915"/>
    <mergeCell ref="A1929:H1929"/>
    <mergeCell ref="K1930:O1930"/>
    <mergeCell ref="A1923:A1924"/>
    <mergeCell ref="B1923:B1924"/>
    <mergeCell ref="A1925:A1927"/>
    <mergeCell ref="B1925:B1927"/>
    <mergeCell ref="C1925:C1926"/>
    <mergeCell ref="A1928:E1928"/>
    <mergeCell ref="G1928:H1928"/>
    <mergeCell ref="A1916:A1917"/>
    <mergeCell ref="B1916:B1917"/>
    <mergeCell ref="A1918:A1920"/>
    <mergeCell ref="B1918:B1920"/>
    <mergeCell ref="C1918:C1919"/>
    <mergeCell ref="A1921:A1922"/>
    <mergeCell ref="B1921:B1922"/>
    <mergeCell ref="A1981:A1983"/>
    <mergeCell ref="B1981:B1983"/>
    <mergeCell ref="A1984:A1985"/>
    <mergeCell ref="B1984:B1985"/>
    <mergeCell ref="A1986:A1988"/>
    <mergeCell ref="B1986:B1988"/>
    <mergeCell ref="C1986:C1987"/>
    <mergeCell ref="A1997:A1999"/>
    <mergeCell ref="B1997:B1999"/>
    <mergeCell ref="A2000:A2001"/>
    <mergeCell ref="B2000:B2001"/>
    <mergeCell ref="A2002:E2002"/>
    <mergeCell ref="G2002:H2002"/>
    <mergeCell ref="A2003:H2003"/>
    <mergeCell ref="K2004:O2004"/>
    <mergeCell ref="A1989:A1990"/>
    <mergeCell ref="B1989:B1990"/>
    <mergeCell ref="A1991:A1992"/>
    <mergeCell ref="B1991:B1992"/>
    <mergeCell ref="A1993:A1995"/>
    <mergeCell ref="B1993:B1995"/>
    <mergeCell ref="C1993:C1994"/>
    <mergeCell ref="A1965:A1967"/>
    <mergeCell ref="B1965:B1967"/>
    <mergeCell ref="A1968:A1969"/>
    <mergeCell ref="B1968:B1969"/>
    <mergeCell ref="A1970:A1972"/>
    <mergeCell ref="B1970:B1972"/>
    <mergeCell ref="C1970:C1971"/>
    <mergeCell ref="A1973:A1974"/>
    <mergeCell ref="B1973:B1974"/>
    <mergeCell ref="A1975:A1976"/>
    <mergeCell ref="B1975:B1976"/>
    <mergeCell ref="A1977:A1979"/>
    <mergeCell ref="B1977:B1979"/>
    <mergeCell ref="C1977:C1978"/>
    <mergeCell ref="A1931:A1933"/>
    <mergeCell ref="B1931:B1933"/>
    <mergeCell ref="A1934:A1935"/>
    <mergeCell ref="B1934:B1935"/>
    <mergeCell ref="A1936:A1938"/>
    <mergeCell ref="B1936:B1938"/>
    <mergeCell ref="C1936:C1937"/>
    <mergeCell ref="A1939:A1940"/>
    <mergeCell ref="B1939:B1940"/>
    <mergeCell ref="A1941:A1942"/>
    <mergeCell ref="B1941:B1942"/>
    <mergeCell ref="A1943:A1945"/>
    <mergeCell ref="B1943:B1945"/>
    <mergeCell ref="C1943:C1944"/>
    <mergeCell ref="B1954:B1956"/>
    <mergeCell ref="C1954:C1955"/>
    <mergeCell ref="A1946:A1948"/>
    <mergeCell ref="B1946:B1948"/>
    <mergeCell ref="A1949:A1951"/>
    <mergeCell ref="B1949:B1951"/>
    <mergeCell ref="A1952:A1953"/>
    <mergeCell ref="B1952:B1953"/>
    <mergeCell ref="A1954:A1956"/>
    <mergeCell ref="A1957:A1958"/>
    <mergeCell ref="B1957:B1958"/>
    <mergeCell ref="A1959:A1960"/>
    <mergeCell ref="B1959:B1960"/>
    <mergeCell ref="A1961:A1963"/>
    <mergeCell ref="B1961:B1963"/>
    <mergeCell ref="C1961:C1962"/>
    <mergeCell ref="A2081:E2081"/>
    <mergeCell ref="G2081:H2081"/>
    <mergeCell ref="A2082:H2082"/>
    <mergeCell ref="K2083:O2083"/>
    <mergeCell ref="A2162:E2162"/>
    <mergeCell ref="G2162:H2162"/>
  </mergeCells>
  <conditionalFormatting sqref="F457:F500 F503:F550 F553:F596 F599:F643 F646:F689 F692:F732 F735:F778 F781:F847 F850:F919 F922:F989 F992:F1062 F1065:F1134 F1137:F1205 F1208:F1282 F1285:F1352 F1355:F1424 F1427:F1496 F1499:F1561 F1564:F1635 F1638:F1702 F1705:F1776 F1779:F1849 F1852:F1927 F1930:F2001 F2004:F2080 F2083:F3087">
    <cfRule type="cellIs" dxfId="7" priority="1" operator="equal">
      <formula>200</formula>
    </cfRule>
  </conditionalFormatting>
  <conditionalFormatting sqref="F457:F500 F503:F550 F553:F596 F599:F643 F646:F689 F692:F732 F735:F778 F781:F847 F850:F919 F922:F989 F992:F1062 F1065:F1134 F1137:F1205 F1208:F1282 F1285:F1352 F1355:F1424 F1427:F1496 F1499:F1561 F1564:F1635 F1638:F1702 F1705:F1776 F1779:F1849 F1852:F1927 F1930:F2001 F2004:F2080 F2083:F3087">
    <cfRule type="cellIs" dxfId="8" priority="2" operator="equal">
      <formula>150</formula>
    </cfRule>
  </conditionalFormatting>
  <dataValidations>
    <dataValidation type="list" allowBlank="1" showErrorMessage="1" sqref="C850:C852 C854:C861 C863:C868 C870:C877 C879:C884 C886:C893 C895:C900 C902:C909 C911:C916 C918:C919 C922:C927 C929:C934 C936:C943 C945:C950 C952:C959 C961:C965 C967:C974 C976:C981 C983:C989 C992 C994:C999 C1001:C1008 C1010:C1015 C1017:C1024 C1026:C1031 C1033:C1040 C1042:C1047 C1049:C1056 C1058:C1062 C1065 C1067:C1074 C1076:C1081 C1083:C1090 C1092:C1097 C1099:C1105 C1107:C1112 C1114:C1121 C1123:C1128 C1130:C1134 C1137:C1139 C1141:C1146 C1148:C1155 C1157:C1162 C1164:C1171 C1173:C1178 C1180:C1187 C1189:C1194 C1196:C1203 C1205 C1208:C1213 C1215:C1223 C1225:C1230 C1232:C1240 C1242:C1247 C1249:C1256 C1258:C1264 C1266:C1273 C1275:C1280 C1282 C1285:C1291 C1293:C1298 C1300:C1307 C1309:C1315 C1317:C1324 C1326:C1330 C1332:C1339 C1341:C1346 C1348:C1352 C1355:C1357 C1359:C1364 C1366:C1373 C1375:C1381 C1383:C1391 C1393:C1398 C1400:C1407 C1409:C1412 C1414:C1421 C1423:C1424 C1427:C1428 C1430:C1438 C1440:C1445 C1447:C1454 C1456:C1461 C1463:C1470 C1472:C1477 C1479:C1486 C1488:C1493 C1495:C1496 C1499:C1504 C1506:C1511 C1513:C1514 C1516:C1521 C1523:C1528 C1530:C1536 C1538:C1541 C1543:C1550 C1552:C1557 C1559:C1561 C1564:C1569 C1571:C1576 C1578:C1586 C1588:C1593 C1595:C1601 C1603:C1607 C1609:C1617 C1619:C1624 C1626:C1633 C1635 C1638:C1649 C1651:C1656 C1658:C1665 C1667:C1672 C1674:C1681 C1683:C1687 C1689:C1696 C1698:C1702 C1705 C1707:C1715 C1717:C1722 C1724:C1731 C1733:C1738 C1740:C1747 C1749:C1754 C1756:C1763 C1765:C1770 C1772:C1776 C1779:C1781 C1783:C1788 C1790:C1798 C1800:C1805 C1807:C1815 C1817:C1822 C1824:C1831 C1833:C1838 C1840:C1847 C1849 C1852:C1856 C1858:C1868 C1870:C1875 C1877:C1885 C1887:C1893 C1895:C1902 C1904:C1909 C1911:C1918 C1920:C1925 C1927 C1930:C1936 C1938:C1943 C1945:C1954 C1956:C1961 C1963:C1970 C1972:C1977 C1979:C1986 C1988:C1993 C1995:C2001 C2004:C2080 C2083:C2161">
      <formula1>"07:00,12:10,08:00,11:00,18:30,19:00,17:30,09:30,15:00,18:00,18:15"</formula1>
    </dataValidation>
    <dataValidation type="list" allowBlank="1" showErrorMessage="1" sqref="D1742">
      <formula1>'Tabelas Básicas'!$E$2:$E$100</formula1>
    </dataValidation>
    <dataValidation type="list" allowBlank="1" showErrorMessage="1" sqref="D3:D42 D45:D87 D90:D116 D118:D126 D128:D133 D136:D175 D178:D219 D222:D266 D269:D314 D317:D360 D363:D407 D410:D454 D457:D500 D503:D550 D553:D596 D599:D643 D646:D689 D692:D732 D735:D778 D781:D847 D850:D919 D922:D989 D992:D1062 D1065:D1134 D1137:D1205 D1208:D1282 D1285:D1352 D1355:D1424 D1427:D1496 D1499:D1561 D1564:D1635 D1638:D1702 D1705:D1741 D1743:D1776 D1779:D1849 D1852:D1927 D1930:D2001 D2004:D2080 D2083:D2161">
      <formula1>'Tabelas Básicas'!$E$2:$E$100</formula1>
    </dataValidation>
    <dataValidation type="list" allowBlank="1" showErrorMessage="1" sqref="E3:E42 E45:E87 E90:E116 E118:E126 E128:E133 E136:E175 E178:E219 E222:E266 E269:E314 E317:E360 E363:E407 E410:E454 E457:E500 E503:E550 E553:E596 E599:E643 E646:E689 E692:E732 E735:E778 E781:E847 E850:E919 E922:E989 E992:E1062 E1065:E1134 E1137:E1205 E1208:E1282 E1285:E1352 E1355:E1424 E1427:E1496 E1499:E1561 E1564:E1635 E1638:E1702 E1705:E1776 E1779:E1849 E1852:E1927 E1930:E2001 E2004:E2080 E2083:E2161">
      <formula1>'Tabelas Básicas'!$H$2:$H$7</formula1>
    </dataValidation>
  </dataValidations>
  <printOptions horizontalCentered="1"/>
  <pageMargins bottom="0.75" footer="0.0" header="0.0" left="0.7" right="0.7" top="0.75"/>
  <pageSetup paperSize="9" cellComments="atEnd" orientation="portrait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6.75"/>
    <col customWidth="1" min="3" max="3" width="25.13"/>
    <col customWidth="1" min="5" max="5" width="5.75"/>
    <col customWidth="1" min="6" max="6" width="17.88"/>
  </cols>
  <sheetData>
    <row r="1">
      <c r="A1" s="283" t="s">
        <v>1698</v>
      </c>
    </row>
    <row r="2">
      <c r="A2" s="417" t="s">
        <v>1533</v>
      </c>
      <c r="B2" s="27"/>
      <c r="C2" s="27"/>
      <c r="D2" s="27"/>
      <c r="E2" s="27"/>
      <c r="F2" s="27"/>
      <c r="G2" s="28"/>
      <c r="H2" s="274"/>
      <c r="I2" s="274"/>
      <c r="J2" s="274"/>
    </row>
    <row r="3">
      <c r="A3" s="125">
        <v>46119.0</v>
      </c>
      <c r="B3" s="126">
        <f t="shared" ref="B3:B10" si="1">A3</f>
        <v>46119</v>
      </c>
      <c r="C3" s="129" t="s">
        <v>1702</v>
      </c>
      <c r="D3" s="302">
        <v>170.0</v>
      </c>
      <c r="E3" s="44" t="b">
        <v>1</v>
      </c>
      <c r="F3" s="44"/>
      <c r="G3" s="418" t="s">
        <v>1704</v>
      </c>
    </row>
    <row r="4">
      <c r="A4" s="125">
        <v>46121.0</v>
      </c>
      <c r="B4" s="126">
        <f t="shared" si="1"/>
        <v>46121</v>
      </c>
      <c r="C4" s="129" t="s">
        <v>1702</v>
      </c>
      <c r="D4" s="302">
        <v>170.0</v>
      </c>
      <c r="E4" s="44" t="b">
        <v>1</v>
      </c>
      <c r="F4" s="44"/>
      <c r="G4" s="419">
        <f>SUMIF($E$1:$E$10, TRUE, $D$1:$D$10)</f>
        <v>1360</v>
      </c>
    </row>
    <row r="5">
      <c r="A5" s="125">
        <v>46126.0</v>
      </c>
      <c r="B5" s="126">
        <f t="shared" si="1"/>
        <v>46126</v>
      </c>
      <c r="C5" s="129" t="s">
        <v>1702</v>
      </c>
      <c r="D5" s="302">
        <v>170.0</v>
      </c>
      <c r="E5" s="44" t="b">
        <v>1</v>
      </c>
      <c r="F5" s="44"/>
      <c r="G5" s="58"/>
      <c r="K5" s="420"/>
    </row>
    <row r="6">
      <c r="A6" s="125">
        <v>46128.0</v>
      </c>
      <c r="B6" s="126">
        <f t="shared" si="1"/>
        <v>46128</v>
      </c>
      <c r="C6" s="129" t="s">
        <v>1702</v>
      </c>
      <c r="D6" s="302">
        <v>170.0</v>
      </c>
      <c r="E6" s="44" t="b">
        <v>1</v>
      </c>
      <c r="F6" s="44"/>
      <c r="G6" s="10"/>
      <c r="K6" s="420"/>
    </row>
    <row r="7">
      <c r="A7" s="125">
        <v>46134.0</v>
      </c>
      <c r="B7" s="126">
        <f t="shared" si="1"/>
        <v>46134</v>
      </c>
      <c r="C7" s="129" t="s">
        <v>1702</v>
      </c>
      <c r="D7" s="302">
        <v>170.0</v>
      </c>
      <c r="E7" s="44" t="b">
        <v>1</v>
      </c>
      <c r="F7" s="94"/>
      <c r="G7" s="421" t="s">
        <v>1709</v>
      </c>
      <c r="K7" s="420"/>
    </row>
    <row r="8">
      <c r="A8" s="125">
        <v>46135.0</v>
      </c>
      <c r="B8" s="126">
        <f t="shared" si="1"/>
        <v>46135</v>
      </c>
      <c r="C8" s="129" t="s">
        <v>1702</v>
      </c>
      <c r="D8" s="302">
        <v>170.0</v>
      </c>
      <c r="E8" s="44" t="b">
        <v>1</v>
      </c>
      <c r="F8" s="44"/>
      <c r="G8" s="422">
        <f>D11-G4</f>
        <v>0</v>
      </c>
      <c r="K8" s="420"/>
    </row>
    <row r="9">
      <c r="A9" s="125">
        <v>46140.0</v>
      </c>
      <c r="B9" s="126">
        <f t="shared" si="1"/>
        <v>46140</v>
      </c>
      <c r="C9" s="129" t="s">
        <v>1702</v>
      </c>
      <c r="D9" s="302">
        <v>170.0</v>
      </c>
      <c r="E9" s="44" t="b">
        <v>1</v>
      </c>
      <c r="F9" s="44"/>
      <c r="G9" s="58"/>
      <c r="K9" s="420"/>
    </row>
    <row r="10">
      <c r="A10" s="125">
        <v>46142.0</v>
      </c>
      <c r="B10" s="126">
        <f t="shared" si="1"/>
        <v>46142</v>
      </c>
      <c r="C10" s="129" t="s">
        <v>1702</v>
      </c>
      <c r="D10" s="302">
        <v>170.0</v>
      </c>
      <c r="E10" s="44" t="b">
        <v>1</v>
      </c>
      <c r="F10" s="44"/>
      <c r="G10" s="10"/>
      <c r="K10" s="420"/>
    </row>
    <row r="11">
      <c r="A11" s="423" t="s">
        <v>195</v>
      </c>
      <c r="B11" s="28"/>
      <c r="C11" s="276"/>
      <c r="D11" s="424">
        <f>SUM(D3:D10)</f>
        <v>1360</v>
      </c>
      <c r="E11" s="425"/>
      <c r="F11" s="27"/>
      <c r="G11" s="28"/>
    </row>
    <row r="13">
      <c r="A13" s="417" t="s">
        <v>1587</v>
      </c>
      <c r="B13" s="27"/>
      <c r="C13" s="27"/>
      <c r="D13" s="27"/>
      <c r="E13" s="27"/>
      <c r="F13" s="27"/>
      <c r="G13" s="28"/>
    </row>
    <row r="14">
      <c r="A14" s="125">
        <v>46147.0</v>
      </c>
      <c r="B14" s="126">
        <f t="shared" ref="B14:B21" si="2">A14</f>
        <v>46147</v>
      </c>
      <c r="C14" s="129" t="s">
        <v>1702</v>
      </c>
      <c r="D14" s="302">
        <v>0.0</v>
      </c>
      <c r="E14" s="44" t="b">
        <v>1</v>
      </c>
      <c r="F14" s="426" t="s">
        <v>1721</v>
      </c>
      <c r="G14" s="418" t="s">
        <v>1704</v>
      </c>
    </row>
    <row r="15">
      <c r="A15" s="125">
        <v>46150.0</v>
      </c>
      <c r="B15" s="126">
        <f t="shared" si="2"/>
        <v>46150</v>
      </c>
      <c r="C15" s="129" t="s">
        <v>1702</v>
      </c>
      <c r="D15" s="302">
        <v>170.0</v>
      </c>
      <c r="E15" s="44" t="b">
        <v>1</v>
      </c>
      <c r="F15" s="44"/>
      <c r="G15" s="419">
        <f>SUMIF($E$14:$E$21, TRUE, $D$14:$D$21)</f>
        <v>1020</v>
      </c>
    </row>
    <row r="16">
      <c r="A16" s="125">
        <v>46155.0</v>
      </c>
      <c r="B16" s="126">
        <f t="shared" si="2"/>
        <v>46155</v>
      </c>
      <c r="C16" s="129" t="s">
        <v>1702</v>
      </c>
      <c r="D16" s="302">
        <v>170.0</v>
      </c>
      <c r="E16" s="44" t="b">
        <v>1</v>
      </c>
      <c r="F16" s="44"/>
      <c r="G16" s="58"/>
    </row>
    <row r="17">
      <c r="A17" s="125">
        <v>46157.0</v>
      </c>
      <c r="B17" s="126">
        <f t="shared" si="2"/>
        <v>46157</v>
      </c>
      <c r="C17" s="129" t="s">
        <v>1702</v>
      </c>
      <c r="D17" s="302">
        <v>170.0</v>
      </c>
      <c r="E17" s="44" t="b">
        <v>1</v>
      </c>
      <c r="F17" s="44"/>
      <c r="G17" s="10"/>
    </row>
    <row r="18">
      <c r="A18" s="125">
        <v>46162.0</v>
      </c>
      <c r="B18" s="126">
        <f t="shared" si="2"/>
        <v>46162</v>
      </c>
      <c r="C18" s="129" t="s">
        <v>1702</v>
      </c>
      <c r="D18" s="302">
        <v>170.0</v>
      </c>
      <c r="E18" s="44" t="b">
        <v>1</v>
      </c>
      <c r="F18" s="44"/>
      <c r="G18" s="421" t="s">
        <v>1709</v>
      </c>
    </row>
    <row r="19">
      <c r="A19" s="125">
        <v>46164.0</v>
      </c>
      <c r="B19" s="126">
        <f t="shared" si="2"/>
        <v>46164</v>
      </c>
      <c r="C19" s="129" t="s">
        <v>1702</v>
      </c>
      <c r="D19" s="302">
        <v>170.0</v>
      </c>
      <c r="E19" s="44" t="b">
        <v>1</v>
      </c>
      <c r="F19" s="44"/>
      <c r="G19" s="422">
        <f>D22-G15</f>
        <v>170</v>
      </c>
    </row>
    <row r="20">
      <c r="A20" s="125">
        <v>46169.0</v>
      </c>
      <c r="B20" s="126">
        <f t="shared" si="2"/>
        <v>46169</v>
      </c>
      <c r="C20" s="129" t="s">
        <v>1702</v>
      </c>
      <c r="D20" s="302">
        <v>170.0</v>
      </c>
      <c r="E20" s="44" t="b">
        <v>1</v>
      </c>
      <c r="F20" s="44"/>
      <c r="G20" s="58"/>
    </row>
    <row r="21">
      <c r="A21" s="125">
        <v>46170.0</v>
      </c>
      <c r="B21" s="126">
        <f t="shared" si="2"/>
        <v>46170</v>
      </c>
      <c r="C21" s="129" t="s">
        <v>1702</v>
      </c>
      <c r="D21" s="302">
        <v>170.0</v>
      </c>
      <c r="E21" s="44" t="b">
        <v>0</v>
      </c>
      <c r="F21" s="44"/>
      <c r="G21" s="10"/>
    </row>
    <row r="22">
      <c r="A22" s="423" t="s">
        <v>195</v>
      </c>
      <c r="B22" s="28"/>
      <c r="C22" s="276"/>
      <c r="D22" s="424">
        <f>SUM(D14:D21)</f>
        <v>1190</v>
      </c>
      <c r="E22" s="425"/>
      <c r="F22" s="27"/>
      <c r="G22" s="28"/>
    </row>
  </sheetData>
  <mergeCells count="10">
    <mergeCell ref="A11:B11"/>
    <mergeCell ref="A22:B22"/>
    <mergeCell ref="A2:G2"/>
    <mergeCell ref="G4:G6"/>
    <mergeCell ref="G8:G10"/>
    <mergeCell ref="E11:G11"/>
    <mergeCell ref="A13:G13"/>
    <mergeCell ref="G15:G17"/>
    <mergeCell ref="G19:G21"/>
    <mergeCell ref="E22:G22"/>
  </mergeCells>
  <dataValidations>
    <dataValidation type="list" allowBlank="1" showErrorMessage="1" sqref="C3:C10 C14:C21">
      <formula1>'Tabelas Básicas'!$H$16:$H$18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1"/>
  <cols>
    <col customWidth="1" min="1" max="1" width="4.0"/>
    <col customWidth="1" min="2" max="2" width="32.88"/>
    <col customWidth="1" min="3" max="3" width="3.0"/>
    <col customWidth="1" min="4" max="4" width="2.75"/>
    <col customWidth="1" min="5" max="5" width="14.75"/>
    <col customWidth="1" min="6" max="6" width="4.75"/>
    <col customWidth="1" min="7" max="7" width="3.0"/>
    <col customWidth="1" min="8" max="8" width="14.38"/>
    <col customWidth="1" min="9" max="9" width="17.38"/>
    <col customWidth="1" min="10" max="10" width="21.63"/>
    <col customWidth="1" min="11" max="11" width="20.0"/>
    <col customWidth="1" min="12" max="12" width="25.75"/>
    <col customWidth="1" min="13" max="13" width="9.75"/>
    <col customWidth="1" min="14" max="14" width="10.38"/>
    <col customWidth="1" min="15" max="15" width="6.88"/>
    <col customWidth="1" min="16" max="16" width="44.5"/>
    <col customWidth="1" min="17" max="26" width="7.63"/>
  </cols>
  <sheetData>
    <row r="1" ht="14.25" customHeight="1">
      <c r="A1" s="442" t="s">
        <v>669</v>
      </c>
      <c r="B1" s="28"/>
      <c r="E1" s="444" t="s">
        <v>1768</v>
      </c>
      <c r="H1" s="444" t="s">
        <v>1770</v>
      </c>
      <c r="J1" s="448" t="s">
        <v>1771</v>
      </c>
      <c r="K1" s="27"/>
      <c r="L1" s="27"/>
      <c r="M1" s="27"/>
      <c r="N1" s="27"/>
      <c r="O1" s="27"/>
      <c r="P1" s="28"/>
    </row>
    <row r="2" ht="14.25" customHeight="1">
      <c r="A2" s="451" t="s">
        <v>1774</v>
      </c>
      <c r="B2" s="453" t="s">
        <v>3</v>
      </c>
      <c r="C2" s="454"/>
      <c r="D2" s="454"/>
      <c r="E2" s="455" t="s">
        <v>1775</v>
      </c>
      <c r="F2" s="454"/>
      <c r="G2" s="454"/>
      <c r="H2" s="455" t="s">
        <v>1758</v>
      </c>
      <c r="J2" s="456" t="s">
        <v>1776</v>
      </c>
      <c r="K2" s="456" t="s">
        <v>1777</v>
      </c>
      <c r="L2" s="456" t="s">
        <v>1779</v>
      </c>
      <c r="M2" s="456" t="s">
        <v>1780</v>
      </c>
      <c r="N2" s="456" t="s">
        <v>1781</v>
      </c>
      <c r="O2" s="456" t="s">
        <v>1783</v>
      </c>
      <c r="P2" s="456" t="s">
        <v>13</v>
      </c>
    </row>
    <row r="3" ht="14.25" customHeight="1">
      <c r="A3" s="457">
        <v>1.0</v>
      </c>
      <c r="B3" s="454" t="s">
        <v>1784</v>
      </c>
      <c r="C3" s="454"/>
      <c r="D3" s="454"/>
      <c r="E3" s="455" t="s">
        <v>1785</v>
      </c>
      <c r="F3" s="454"/>
      <c r="G3" s="454"/>
      <c r="H3" s="455" t="s">
        <v>469</v>
      </c>
      <c r="J3" s="458" t="s">
        <v>1786</v>
      </c>
      <c r="K3" s="458" t="s">
        <v>1787</v>
      </c>
      <c r="L3" s="458" t="s">
        <v>1788</v>
      </c>
      <c r="M3" s="458" t="s">
        <v>1789</v>
      </c>
      <c r="N3" s="458" t="s">
        <v>1790</v>
      </c>
      <c r="O3" s="458"/>
      <c r="P3" s="458"/>
      <c r="Q3" s="457"/>
    </row>
    <row r="4" ht="14.25" customHeight="1">
      <c r="A4" s="457">
        <v>2.0</v>
      </c>
      <c r="B4" s="454" t="s">
        <v>315</v>
      </c>
      <c r="C4" s="454"/>
      <c r="D4" s="454"/>
      <c r="E4" s="455" t="s">
        <v>1792</v>
      </c>
      <c r="F4" s="454"/>
      <c r="G4" s="454"/>
      <c r="H4" s="455" t="s">
        <v>1793</v>
      </c>
      <c r="J4" s="458" t="s">
        <v>333</v>
      </c>
      <c r="K4" s="458" t="s">
        <v>1787</v>
      </c>
      <c r="L4" s="458" t="s">
        <v>1788</v>
      </c>
      <c r="M4" s="458" t="s">
        <v>1789</v>
      </c>
      <c r="N4" s="458" t="s">
        <v>1790</v>
      </c>
      <c r="O4" s="458"/>
      <c r="P4" s="458"/>
      <c r="Q4" s="457"/>
    </row>
    <row r="5" ht="14.25" customHeight="1">
      <c r="A5" s="457">
        <v>3.0</v>
      </c>
      <c r="B5" s="454" t="s">
        <v>75</v>
      </c>
      <c r="C5" s="454"/>
      <c r="D5" s="454"/>
      <c r="E5" s="455" t="s">
        <v>1794</v>
      </c>
      <c r="F5" s="454"/>
      <c r="G5" s="454"/>
      <c r="H5" s="455" t="s">
        <v>1795</v>
      </c>
      <c r="J5" s="458" t="s">
        <v>1796</v>
      </c>
      <c r="K5" s="458" t="s">
        <v>1787</v>
      </c>
      <c r="L5" s="458" t="s">
        <v>1788</v>
      </c>
      <c r="M5" s="458" t="s">
        <v>1789</v>
      </c>
      <c r="N5" s="458" t="s">
        <v>1790</v>
      </c>
      <c r="O5" s="458"/>
      <c r="P5" s="458"/>
      <c r="Q5" s="457"/>
    </row>
    <row r="6" ht="14.25" customHeight="1">
      <c r="A6" s="457">
        <v>4.0</v>
      </c>
      <c r="B6" s="454" t="s">
        <v>80</v>
      </c>
      <c r="C6" s="454"/>
      <c r="D6" s="454"/>
      <c r="E6" s="459" t="s">
        <v>1798</v>
      </c>
      <c r="F6" s="454"/>
      <c r="G6" s="454"/>
      <c r="H6" s="454"/>
      <c r="J6" s="458" t="s">
        <v>1800</v>
      </c>
      <c r="K6" s="458" t="s">
        <v>1801</v>
      </c>
      <c r="L6" s="458" t="s">
        <v>1802</v>
      </c>
      <c r="M6" s="458"/>
      <c r="N6" s="458" t="s">
        <v>1803</v>
      </c>
      <c r="O6" s="458"/>
      <c r="P6" s="458"/>
      <c r="Q6" s="457"/>
    </row>
    <row r="7" ht="14.25" customHeight="1">
      <c r="A7" s="457">
        <v>5.0</v>
      </c>
      <c r="B7" s="454" t="s">
        <v>1804</v>
      </c>
      <c r="C7" s="454"/>
      <c r="D7" s="454"/>
      <c r="E7" s="455" t="s">
        <v>1805</v>
      </c>
      <c r="F7" s="454"/>
      <c r="G7" s="454"/>
      <c r="H7" s="454"/>
      <c r="J7" s="458" t="s">
        <v>333</v>
      </c>
      <c r="K7" s="458" t="s">
        <v>1806</v>
      </c>
      <c r="L7" s="458" t="s">
        <v>1807</v>
      </c>
      <c r="M7" s="458" t="s">
        <v>1808</v>
      </c>
      <c r="N7" s="458" t="s">
        <v>1809</v>
      </c>
      <c r="O7" s="458"/>
      <c r="P7" s="458"/>
      <c r="Q7" s="457"/>
    </row>
    <row r="8" ht="14.25" customHeight="1">
      <c r="A8" s="457">
        <v>6.0</v>
      </c>
      <c r="B8" s="454" t="s">
        <v>69</v>
      </c>
      <c r="C8" s="454"/>
      <c r="D8" s="454"/>
      <c r="E8" s="455" t="s">
        <v>1810</v>
      </c>
      <c r="F8" s="454"/>
      <c r="G8" s="454"/>
      <c r="H8" s="444" t="s">
        <v>1811</v>
      </c>
      <c r="J8" s="458" t="s">
        <v>1813</v>
      </c>
      <c r="K8" s="458" t="s">
        <v>1814</v>
      </c>
      <c r="L8" s="458"/>
      <c r="M8" s="458"/>
      <c r="N8" s="458"/>
      <c r="O8" s="458"/>
      <c r="P8" s="458"/>
      <c r="Q8" s="457"/>
    </row>
    <row r="9" ht="14.25" customHeight="1">
      <c r="A9" s="457">
        <v>7.0</v>
      </c>
      <c r="B9" s="454" t="s">
        <v>74</v>
      </c>
      <c r="C9" s="454"/>
      <c r="D9" s="454"/>
      <c r="E9" s="455" t="s">
        <v>1815</v>
      </c>
      <c r="F9" s="454"/>
      <c r="G9" s="454"/>
      <c r="H9" s="460">
        <v>2023.0</v>
      </c>
      <c r="J9" s="458" t="s">
        <v>1813</v>
      </c>
      <c r="K9" s="458" t="s">
        <v>1787</v>
      </c>
      <c r="L9" s="458" t="s">
        <v>1788</v>
      </c>
      <c r="M9" s="458" t="s">
        <v>1789</v>
      </c>
      <c r="N9" s="458" t="s">
        <v>1790</v>
      </c>
      <c r="O9" s="458"/>
      <c r="P9" s="458"/>
      <c r="Q9" s="457"/>
    </row>
    <row r="10" ht="14.25" customHeight="1">
      <c r="A10" s="457">
        <v>8.0</v>
      </c>
      <c r="B10" s="461" t="s">
        <v>1026</v>
      </c>
      <c r="C10" s="454"/>
      <c r="D10" s="454"/>
      <c r="E10" s="455" t="s">
        <v>1818</v>
      </c>
      <c r="F10" s="454"/>
      <c r="G10" s="454"/>
      <c r="H10" s="460">
        <v>2024.0</v>
      </c>
      <c r="J10" s="458" t="s">
        <v>1813</v>
      </c>
      <c r="K10" s="458" t="s">
        <v>59</v>
      </c>
      <c r="L10" s="458"/>
      <c r="M10" s="458"/>
      <c r="N10" s="458"/>
      <c r="O10" s="458"/>
      <c r="P10" s="458"/>
      <c r="Q10" s="457"/>
    </row>
    <row r="11" ht="14.25" customHeight="1">
      <c r="A11" s="457">
        <v>9.0</v>
      </c>
      <c r="B11" s="454" t="s">
        <v>58</v>
      </c>
      <c r="C11" s="454"/>
      <c r="D11" s="454"/>
      <c r="E11" s="455" t="s">
        <v>1820</v>
      </c>
      <c r="F11" s="454"/>
      <c r="G11" s="454"/>
      <c r="H11" s="460">
        <v>2025.0</v>
      </c>
      <c r="J11" s="458" t="s">
        <v>1821</v>
      </c>
      <c r="K11" s="458" t="s">
        <v>1787</v>
      </c>
      <c r="L11" s="458" t="s">
        <v>1788</v>
      </c>
      <c r="M11" s="458" t="s">
        <v>1789</v>
      </c>
      <c r="N11" s="458" t="s">
        <v>1790</v>
      </c>
      <c r="O11" s="458"/>
      <c r="P11" s="458"/>
      <c r="Q11" s="457"/>
    </row>
    <row r="12" ht="14.25" customHeight="1">
      <c r="A12" s="457">
        <v>10.0</v>
      </c>
      <c r="B12" s="454" t="s">
        <v>55</v>
      </c>
      <c r="C12" s="454"/>
      <c r="D12" s="454"/>
      <c r="E12" s="455" t="s">
        <v>1822</v>
      </c>
      <c r="F12" s="454"/>
      <c r="G12" s="454"/>
      <c r="H12" s="460">
        <v>2026.0</v>
      </c>
      <c r="J12" s="458" t="s">
        <v>1823</v>
      </c>
      <c r="K12" s="458" t="s">
        <v>56</v>
      </c>
      <c r="L12" s="458" t="s">
        <v>1824</v>
      </c>
      <c r="M12" s="458" t="s">
        <v>1789</v>
      </c>
      <c r="N12" s="458" t="s">
        <v>1825</v>
      </c>
      <c r="O12" s="458"/>
      <c r="P12" s="458" t="s">
        <v>1826</v>
      </c>
      <c r="Q12" s="457"/>
    </row>
    <row r="13" ht="14.25" customHeight="1">
      <c r="A13" s="457">
        <v>11.0</v>
      </c>
      <c r="B13" s="454" t="s">
        <v>1134</v>
      </c>
      <c r="C13" s="454"/>
      <c r="D13" s="454"/>
      <c r="E13" s="459" t="s">
        <v>1827</v>
      </c>
      <c r="F13" s="454"/>
      <c r="G13" s="454"/>
      <c r="H13" s="454"/>
    </row>
    <row r="14" ht="14.25" customHeight="1">
      <c r="A14" s="457">
        <v>12.0</v>
      </c>
      <c r="B14" s="454" t="s">
        <v>93</v>
      </c>
      <c r="C14" s="454"/>
      <c r="D14" s="454"/>
      <c r="E14" s="455" t="s">
        <v>1828</v>
      </c>
      <c r="F14" s="454"/>
      <c r="G14" s="454"/>
      <c r="H14" s="454"/>
    </row>
    <row r="15" ht="14.25" customHeight="1">
      <c r="A15" s="457">
        <v>13.0</v>
      </c>
      <c r="B15" s="454" t="s">
        <v>1829</v>
      </c>
      <c r="C15" s="454"/>
      <c r="D15" s="454"/>
      <c r="E15" s="455" t="s">
        <v>1830</v>
      </c>
      <c r="F15" s="454"/>
      <c r="G15" s="454"/>
      <c r="H15" s="444" t="s">
        <v>1831</v>
      </c>
      <c r="I15" s="444" t="s">
        <v>1832</v>
      </c>
    </row>
    <row r="16" ht="14.25" customHeight="1">
      <c r="A16" s="457">
        <v>14.0</v>
      </c>
      <c r="B16" s="454" t="s">
        <v>680</v>
      </c>
      <c r="C16" s="454"/>
      <c r="D16" s="454"/>
      <c r="E16" s="459" t="s">
        <v>1833</v>
      </c>
      <c r="F16" s="454"/>
      <c r="G16" s="454"/>
      <c r="H16" s="455" t="s">
        <v>1702</v>
      </c>
      <c r="I16" s="455" t="s">
        <v>1834</v>
      </c>
    </row>
    <row r="17" ht="14.25" customHeight="1">
      <c r="A17" s="457">
        <v>15.0</v>
      </c>
      <c r="B17" s="454" t="s">
        <v>1836</v>
      </c>
      <c r="C17" s="454"/>
      <c r="D17" s="454"/>
      <c r="E17" s="455" t="s">
        <v>1756</v>
      </c>
      <c r="F17" s="454"/>
      <c r="G17" s="454"/>
      <c r="H17" s="455"/>
      <c r="I17" s="276"/>
    </row>
    <row r="18" ht="14.25" customHeight="1">
      <c r="A18" s="457">
        <v>16.0</v>
      </c>
      <c r="B18" s="461" t="s">
        <v>1837</v>
      </c>
      <c r="C18" s="454"/>
      <c r="D18" s="454"/>
      <c r="E18" s="455" t="s">
        <v>562</v>
      </c>
      <c r="F18" s="454"/>
      <c r="G18" s="454"/>
      <c r="H18" s="455"/>
      <c r="I18" s="276"/>
    </row>
    <row r="19" ht="14.25" customHeight="1">
      <c r="A19" s="464">
        <v>17.0</v>
      </c>
      <c r="B19" s="461" t="s">
        <v>98</v>
      </c>
      <c r="C19" s="454"/>
      <c r="D19" s="454"/>
      <c r="E19" s="455" t="s">
        <v>1838</v>
      </c>
      <c r="F19" s="454"/>
      <c r="G19" s="454"/>
      <c r="H19" s="454"/>
    </row>
    <row r="20" ht="14.25" customHeight="1">
      <c r="B20" s="454"/>
      <c r="C20" s="454"/>
      <c r="D20" s="454"/>
      <c r="E20" s="455" t="s">
        <v>998</v>
      </c>
      <c r="F20" s="454"/>
      <c r="G20" s="454"/>
      <c r="H20" s="454"/>
    </row>
    <row r="21" ht="14.25" customHeight="1">
      <c r="E21" s="455" t="s">
        <v>1840</v>
      </c>
    </row>
    <row r="22" ht="14.25" customHeight="1">
      <c r="E22" s="455" t="s">
        <v>1841</v>
      </c>
    </row>
    <row r="23" ht="14.25" customHeight="1">
      <c r="E23" s="455" t="s">
        <v>1761</v>
      </c>
    </row>
    <row r="24" ht="14.25" customHeight="1">
      <c r="E24" s="455" t="s">
        <v>183</v>
      </c>
    </row>
    <row r="25" ht="14.25" customHeight="1">
      <c r="E25" s="455" t="s">
        <v>1842</v>
      </c>
    </row>
    <row r="26" ht="14.25" customHeight="1">
      <c r="E26" s="459" t="s">
        <v>1843</v>
      </c>
    </row>
    <row r="27" ht="14.25" customHeight="1">
      <c r="E27" s="455" t="s">
        <v>1844</v>
      </c>
    </row>
    <row r="28" ht="14.25" customHeight="1">
      <c r="E28" s="455" t="s">
        <v>363</v>
      </c>
    </row>
    <row r="29" ht="14.25" customHeight="1">
      <c r="E29" s="455" t="s">
        <v>1816</v>
      </c>
    </row>
    <row r="30" ht="14.25" customHeight="1">
      <c r="E30" s="455" t="s">
        <v>1846</v>
      </c>
    </row>
    <row r="31" ht="14.25" customHeight="1">
      <c r="E31" s="459" t="s">
        <v>1848</v>
      </c>
    </row>
    <row r="32" ht="14.25" customHeight="1">
      <c r="E32" s="455" t="s">
        <v>1849</v>
      </c>
    </row>
    <row r="33" ht="14.25" customHeight="1">
      <c r="E33" s="455" t="s">
        <v>1850</v>
      </c>
    </row>
    <row r="34" ht="14.25" customHeight="1">
      <c r="E34" s="455" t="s">
        <v>1845</v>
      </c>
    </row>
    <row r="35" ht="14.25" customHeight="1">
      <c r="E35" s="455" t="s">
        <v>1851</v>
      </c>
    </row>
    <row r="36" ht="14.25" customHeight="1">
      <c r="E36" s="459" t="s">
        <v>1853</v>
      </c>
    </row>
    <row r="37" ht="14.25" customHeight="1">
      <c r="E37" s="459" t="s">
        <v>1854</v>
      </c>
    </row>
    <row r="38" ht="14.25" customHeight="1">
      <c r="E38" s="459" t="s">
        <v>1855</v>
      </c>
    </row>
    <row r="39" ht="14.25" customHeight="1">
      <c r="E39" s="459" t="s">
        <v>1856</v>
      </c>
    </row>
    <row r="40" ht="14.25" customHeight="1">
      <c r="E40" s="459" t="s">
        <v>1107</v>
      </c>
    </row>
    <row r="41" ht="14.25" customHeight="1">
      <c r="E41" s="459" t="s">
        <v>1857</v>
      </c>
    </row>
    <row r="42" ht="14.25" customHeight="1">
      <c r="E42" s="459" t="s">
        <v>1858</v>
      </c>
    </row>
    <row r="43" ht="14.25" customHeight="1">
      <c r="E43" s="459" t="s">
        <v>1859</v>
      </c>
    </row>
    <row r="44" ht="14.25" customHeight="1">
      <c r="E44" s="459" t="s">
        <v>1636</v>
      </c>
    </row>
    <row r="45" ht="14.25" customHeight="1">
      <c r="E45" s="459" t="s">
        <v>1860</v>
      </c>
    </row>
    <row r="46" ht="14.25" customHeight="1">
      <c r="E46" s="459" t="s">
        <v>1861</v>
      </c>
    </row>
    <row r="47" ht="14.25" customHeight="1">
      <c r="E47" s="459" t="s">
        <v>1862</v>
      </c>
    </row>
    <row r="48" ht="14.25" customHeight="1">
      <c r="E48" s="459" t="s">
        <v>1863</v>
      </c>
    </row>
    <row r="49" ht="14.25" customHeight="1">
      <c r="E49" s="459" t="s">
        <v>1865</v>
      </c>
    </row>
    <row r="50" ht="14.25" customHeight="1">
      <c r="E50" s="459" t="s">
        <v>1866</v>
      </c>
    </row>
    <row r="51" ht="14.25" customHeight="1">
      <c r="E51" s="459" t="s">
        <v>1867</v>
      </c>
    </row>
    <row r="52" ht="14.25" customHeight="1">
      <c r="E52" s="459" t="s">
        <v>1868</v>
      </c>
    </row>
    <row r="53" ht="14.25" customHeight="1">
      <c r="E53" s="459" t="s">
        <v>1869</v>
      </c>
    </row>
    <row r="54" ht="14.25" customHeight="1">
      <c r="E54" s="459" t="s">
        <v>1871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2">
    <mergeCell ref="A1:B1"/>
    <mergeCell ref="J1:P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7.88"/>
    <col customWidth="1" min="2" max="2" width="34.0"/>
    <col customWidth="1" min="3" max="3" width="31.0"/>
    <col customWidth="1" min="4" max="4" width="6.88"/>
    <col customWidth="1" min="5" max="5" width="6.0"/>
    <col customWidth="1" min="6" max="6" width="12.88"/>
    <col customWidth="1" min="8" max="8" width="35.88"/>
    <col customWidth="1" min="14" max="14" width="5.63"/>
    <col customWidth="1" min="15" max="15" width="8.0"/>
    <col customWidth="1" min="16" max="16" width="10.0"/>
    <col customWidth="1" min="17" max="17" width="17.13"/>
    <col customWidth="1" min="18" max="18" width="9.25"/>
    <col customWidth="1" min="19" max="19" width="17.5"/>
  </cols>
  <sheetData>
    <row r="1" ht="17.25" customHeight="1">
      <c r="A1" s="498" t="s">
        <v>1922</v>
      </c>
      <c r="B1" s="498" t="s">
        <v>12</v>
      </c>
      <c r="C1" s="498" t="s">
        <v>1924</v>
      </c>
      <c r="D1" s="498" t="s">
        <v>7</v>
      </c>
      <c r="E1" s="498" t="s">
        <v>1925</v>
      </c>
      <c r="F1" s="498" t="s">
        <v>1926</v>
      </c>
      <c r="G1" s="498" t="s">
        <v>1927</v>
      </c>
      <c r="H1" s="498" t="s">
        <v>13</v>
      </c>
    </row>
    <row r="2">
      <c r="A2" s="502">
        <v>2024.0</v>
      </c>
      <c r="B2" s="305" t="s">
        <v>628</v>
      </c>
      <c r="C2" s="41" t="s">
        <v>629</v>
      </c>
      <c r="D2" s="503">
        <v>17.0</v>
      </c>
      <c r="E2" s="504" t="s">
        <v>1932</v>
      </c>
      <c r="F2" s="504">
        <v>5.0</v>
      </c>
      <c r="G2" s="504">
        <f>D2*F2</f>
        <v>85</v>
      </c>
      <c r="H2" s="150"/>
    </row>
    <row r="3">
      <c r="A3" s="58"/>
      <c r="B3" s="41" t="s">
        <v>1274</v>
      </c>
      <c r="C3" s="41" t="s">
        <v>633</v>
      </c>
      <c r="D3" s="505">
        <v>1.0</v>
      </c>
      <c r="E3" s="506" t="s">
        <v>1936</v>
      </c>
      <c r="F3" s="506">
        <v>5.0</v>
      </c>
      <c r="G3" s="506">
        <v>5.0</v>
      </c>
      <c r="H3" s="507"/>
    </row>
    <row r="4">
      <c r="A4" s="58"/>
      <c r="B4" s="91" t="s">
        <v>405</v>
      </c>
      <c r="C4" s="41" t="s">
        <v>635</v>
      </c>
      <c r="D4" s="505">
        <v>1.0</v>
      </c>
      <c r="E4" s="506" t="s">
        <v>1938</v>
      </c>
      <c r="F4" s="506">
        <v>29.0</v>
      </c>
      <c r="G4" s="506">
        <v>29.0</v>
      </c>
      <c r="H4" s="508" t="s">
        <v>1939</v>
      </c>
    </row>
    <row r="5">
      <c r="A5" s="58"/>
      <c r="B5" s="509" t="s">
        <v>1274</v>
      </c>
      <c r="C5" s="41" t="s">
        <v>639</v>
      </c>
      <c r="D5" s="182">
        <v>3.0</v>
      </c>
      <c r="E5" s="183"/>
      <c r="F5" s="183">
        <v>4.5</v>
      </c>
      <c r="G5" s="183">
        <f t="shared" ref="G5:G12" si="1">D5*F5</f>
        <v>13.5</v>
      </c>
      <c r="H5" s="508" t="s">
        <v>1943</v>
      </c>
    </row>
    <row r="6">
      <c r="A6" s="58"/>
      <c r="B6" s="58"/>
      <c r="C6" s="41" t="s">
        <v>642</v>
      </c>
      <c r="D6" s="182">
        <v>1.0</v>
      </c>
      <c r="E6" s="183"/>
      <c r="F6" s="183">
        <v>5.0</v>
      </c>
      <c r="G6" s="183">
        <f t="shared" si="1"/>
        <v>5</v>
      </c>
      <c r="H6" s="508" t="s">
        <v>1945</v>
      </c>
    </row>
    <row r="7">
      <c r="A7" s="58"/>
      <c r="B7" s="58"/>
      <c r="C7" s="41" t="s">
        <v>644</v>
      </c>
      <c r="D7" s="182">
        <v>1.0</v>
      </c>
      <c r="E7" s="183"/>
      <c r="F7" s="183">
        <v>13.5</v>
      </c>
      <c r="G7" s="183">
        <f t="shared" si="1"/>
        <v>13.5</v>
      </c>
      <c r="H7" s="507"/>
    </row>
    <row r="8">
      <c r="A8" s="58"/>
      <c r="B8" s="10"/>
      <c r="C8" s="41" t="s">
        <v>645</v>
      </c>
      <c r="D8" s="182">
        <v>1.0</v>
      </c>
      <c r="E8" s="183"/>
      <c r="F8" s="183">
        <v>5.5</v>
      </c>
      <c r="G8" s="183">
        <f t="shared" si="1"/>
        <v>5.5</v>
      </c>
      <c r="H8" s="511"/>
    </row>
    <row r="9" ht="18.75" customHeight="1">
      <c r="A9" s="58"/>
      <c r="B9" s="41" t="s">
        <v>646</v>
      </c>
      <c r="C9" s="41" t="s">
        <v>647</v>
      </c>
      <c r="D9" s="182">
        <v>10.0</v>
      </c>
      <c r="E9" s="183"/>
      <c r="F9" s="183">
        <v>3.6</v>
      </c>
      <c r="G9" s="183">
        <f t="shared" si="1"/>
        <v>36</v>
      </c>
      <c r="H9" s="511"/>
      <c r="N9" s="512"/>
      <c r="O9" s="512"/>
      <c r="P9" s="512"/>
      <c r="Q9" s="512"/>
      <c r="R9" s="512"/>
      <c r="S9" s="512"/>
    </row>
    <row r="10">
      <c r="A10" s="58"/>
      <c r="B10" s="41" t="s">
        <v>648</v>
      </c>
      <c r="C10" s="41" t="s">
        <v>649</v>
      </c>
      <c r="D10" s="182">
        <v>7.0</v>
      </c>
      <c r="E10" s="183"/>
      <c r="F10" s="183">
        <v>5.0</v>
      </c>
      <c r="G10" s="183">
        <f t="shared" si="1"/>
        <v>35</v>
      </c>
      <c r="H10" s="511"/>
      <c r="N10" s="513"/>
      <c r="O10" s="513"/>
      <c r="P10" s="514"/>
      <c r="Q10" s="514"/>
      <c r="R10" s="514"/>
      <c r="S10" s="514"/>
    </row>
    <row r="11">
      <c r="A11" s="58"/>
      <c r="B11" s="54" t="s">
        <v>393</v>
      </c>
      <c r="C11" s="41" t="s">
        <v>651</v>
      </c>
      <c r="D11" s="182">
        <v>2.0</v>
      </c>
      <c r="E11" s="183"/>
      <c r="F11" s="183">
        <v>9.53</v>
      </c>
      <c r="G11" s="183">
        <f t="shared" si="1"/>
        <v>19.06</v>
      </c>
      <c r="H11" s="511"/>
      <c r="N11" s="516"/>
      <c r="O11" s="517"/>
      <c r="P11" s="518"/>
      <c r="Q11" s="281"/>
      <c r="R11" s="520"/>
      <c r="S11" s="281"/>
    </row>
    <row r="12">
      <c r="A12" s="58"/>
      <c r="B12" s="10"/>
      <c r="C12" s="41" t="s">
        <v>652</v>
      </c>
      <c r="D12" s="182">
        <v>1.0</v>
      </c>
      <c r="E12" s="183"/>
      <c r="F12" s="183">
        <v>22.43</v>
      </c>
      <c r="G12" s="183">
        <f t="shared" si="1"/>
        <v>22.43</v>
      </c>
      <c r="H12" s="511"/>
      <c r="N12" s="516"/>
      <c r="O12" s="516"/>
      <c r="P12" s="518"/>
      <c r="Q12" s="281"/>
      <c r="R12" s="520"/>
      <c r="S12" s="281"/>
    </row>
    <row r="13">
      <c r="A13" s="58"/>
      <c r="B13" s="41" t="s">
        <v>405</v>
      </c>
      <c r="C13" s="41" t="s">
        <v>653</v>
      </c>
      <c r="D13" s="182">
        <v>1.0</v>
      </c>
      <c r="E13" s="183" t="s">
        <v>1938</v>
      </c>
      <c r="F13" s="183">
        <v>38.1</v>
      </c>
      <c r="G13" s="183">
        <v>38.1</v>
      </c>
      <c r="H13" s="521"/>
      <c r="N13" s="516"/>
      <c r="O13" s="516"/>
      <c r="P13" s="518"/>
      <c r="Q13" s="281"/>
      <c r="R13" s="520"/>
      <c r="S13" s="281"/>
    </row>
    <row r="14">
      <c r="A14" s="10"/>
      <c r="B14" s="523" t="s">
        <v>195</v>
      </c>
      <c r="C14" s="27"/>
      <c r="D14" s="27"/>
      <c r="E14" s="27"/>
      <c r="F14" s="28"/>
      <c r="G14" s="524">
        <f>SUM(G2:G13)</f>
        <v>307.09</v>
      </c>
      <c r="H14" s="477"/>
      <c r="I14" s="452"/>
      <c r="J14" s="452"/>
      <c r="K14" s="452"/>
      <c r="L14" s="452"/>
      <c r="N14" s="516"/>
      <c r="O14" s="516"/>
      <c r="P14" s="518"/>
      <c r="Q14" s="281"/>
      <c r="R14" s="520"/>
      <c r="S14" s="281"/>
    </row>
    <row r="15">
      <c r="N15" s="525"/>
      <c r="O15" s="525"/>
      <c r="P15" s="525"/>
      <c r="Q15" s="525"/>
      <c r="R15" s="526"/>
      <c r="S15" s="526"/>
    </row>
    <row r="16">
      <c r="B16" s="527"/>
    </row>
    <row r="17">
      <c r="B17" s="527"/>
    </row>
    <row r="18">
      <c r="B18" s="527"/>
      <c r="H18" s="528"/>
      <c r="I18" s="529"/>
      <c r="J18" s="529"/>
    </row>
    <row r="19">
      <c r="H19" s="528"/>
      <c r="I19" s="529"/>
      <c r="J19" s="529"/>
    </row>
    <row r="20">
      <c r="H20" s="528"/>
      <c r="I20" s="529"/>
      <c r="J20" s="529"/>
    </row>
    <row r="21">
      <c r="H21" s="528"/>
      <c r="I21" s="529"/>
      <c r="J21" s="529"/>
    </row>
    <row r="22">
      <c r="H22" s="528"/>
      <c r="I22" s="529"/>
      <c r="J22" s="529"/>
    </row>
    <row r="23">
      <c r="H23" s="528"/>
      <c r="I23" s="529"/>
      <c r="J23" s="529"/>
    </row>
    <row r="24">
      <c r="H24" s="528"/>
      <c r="I24" s="529"/>
      <c r="J24" s="529"/>
    </row>
    <row r="25">
      <c r="H25" s="528"/>
      <c r="I25" s="529"/>
      <c r="J25" s="529"/>
    </row>
    <row r="26">
      <c r="H26" s="528"/>
      <c r="I26" s="529"/>
      <c r="J26" s="529"/>
    </row>
  </sheetData>
  <mergeCells count="4">
    <mergeCell ref="A2:A14"/>
    <mergeCell ref="B5:B8"/>
    <mergeCell ref="B11:B12"/>
    <mergeCell ref="B14:F14"/>
  </mergeCells>
  <conditionalFormatting sqref="B13:G13 H26:J26">
    <cfRule type="expression" dxfId="6" priority="1">
      <formula>$I13</formula>
    </cfRule>
  </conditionalFormatting>
  <conditionalFormatting sqref="B2:B3 C2:C12 D5:G12 B9:B11 H18:J25">
    <cfRule type="expression" dxfId="6" priority="2">
      <formula>$K2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3" max="3" width="4.63"/>
  </cols>
  <sheetData>
    <row r="1">
      <c r="A1" s="283" t="s">
        <v>101</v>
      </c>
    </row>
    <row r="7">
      <c r="A7" s="283" t="s">
        <v>1980</v>
      </c>
    </row>
    <row r="8">
      <c r="C8" s="457">
        <v>1.0</v>
      </c>
      <c r="D8" s="454" t="s">
        <v>1784</v>
      </c>
    </row>
    <row r="9">
      <c r="C9" s="457">
        <v>2.0</v>
      </c>
      <c r="D9" s="454" t="s">
        <v>315</v>
      </c>
    </row>
    <row r="10">
      <c r="C10" s="457">
        <v>3.0</v>
      </c>
      <c r="D10" s="454" t="s">
        <v>75</v>
      </c>
    </row>
    <row r="11">
      <c r="C11" s="457">
        <v>4.0</v>
      </c>
      <c r="D11" s="454" t="s">
        <v>80</v>
      </c>
    </row>
    <row r="12">
      <c r="C12" s="457">
        <v>5.0</v>
      </c>
      <c r="D12" s="454" t="s">
        <v>1804</v>
      </c>
    </row>
    <row r="13">
      <c r="C13" s="457">
        <v>6.0</v>
      </c>
      <c r="D13" s="454" t="s">
        <v>69</v>
      </c>
    </row>
    <row r="14">
      <c r="C14" s="457">
        <v>7.0</v>
      </c>
      <c r="D14" s="454" t="s">
        <v>74</v>
      </c>
    </row>
    <row r="15">
      <c r="C15" s="457">
        <v>8.0</v>
      </c>
      <c r="D15" s="461" t="s">
        <v>1026</v>
      </c>
    </row>
    <row r="16">
      <c r="C16" s="457">
        <v>9.0</v>
      </c>
      <c r="D16" s="454" t="s">
        <v>58</v>
      </c>
    </row>
    <row r="17">
      <c r="C17" s="457">
        <v>10.0</v>
      </c>
      <c r="D17" s="454" t="s">
        <v>55</v>
      </c>
    </row>
    <row r="18">
      <c r="C18" s="457">
        <v>11.0</v>
      </c>
      <c r="D18" s="454" t="s">
        <v>1134</v>
      </c>
    </row>
    <row r="19">
      <c r="C19" s="457">
        <v>12.0</v>
      </c>
      <c r="D19" s="454" t="s">
        <v>93</v>
      </c>
    </row>
    <row r="20">
      <c r="C20" s="457">
        <v>13.0</v>
      </c>
      <c r="D20" s="454" t="s">
        <v>1829</v>
      </c>
    </row>
    <row r="21">
      <c r="C21" s="457">
        <v>14.0</v>
      </c>
      <c r="D21" s="454" t="s">
        <v>680</v>
      </c>
    </row>
    <row r="22">
      <c r="C22" s="457">
        <v>15.0</v>
      </c>
      <c r="D22" s="454" t="s">
        <v>1836</v>
      </c>
    </row>
    <row r="23">
      <c r="C23" s="457">
        <v>16.0</v>
      </c>
      <c r="D23" s="461" t="s">
        <v>1837</v>
      </c>
    </row>
    <row r="24">
      <c r="C24" s="464">
        <v>17.0</v>
      </c>
      <c r="D24" s="461" t="s">
        <v>98</v>
      </c>
    </row>
  </sheetData>
  <drawing r:id="rId1"/>
</worksheet>
</file>